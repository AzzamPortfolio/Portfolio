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9A8694E-1F93-4CEA-A684-D86E12FF6AA3}" xr6:coauthVersionLast="47" xr6:coauthVersionMax="47" xr10:uidLastSave="{00000000-0000-0000-0000-000000000000}"/>
  <bookViews>
    <workbookView minimized="1" xWindow="1812" yWindow="1812" windowWidth="17280" windowHeight="8880" tabRatio="836" activeTab="5" xr2:uid="{00000000-000D-0000-FFFF-FFFF00000000}"/>
  </bookViews>
  <sheets>
    <sheet name="Cases Data" sheetId="3" r:id="rId1"/>
    <sheet name="Case Sensitivity" sheetId="5" r:id="rId2"/>
    <sheet name="Inputs" sheetId="1" r:id="rId3"/>
    <sheet name="Scenarios" sheetId="4" r:id="rId4"/>
    <sheet name="Scenarios Def" sheetId="2" r:id="rId5"/>
    <sheet name="Scenarios Sensitivity" sheetId="6" r:id="rId6"/>
    <sheet name="Option 1" sheetId="7" r:id="rId7"/>
    <sheet name="Option 2" sheetId="8" r:id="rId8"/>
    <sheet name="Option 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9" l="1"/>
  <c r="E19" i="9"/>
  <c r="D19" i="9"/>
  <c r="C19" i="9"/>
  <c r="B19" i="9"/>
  <c r="F18" i="9"/>
  <c r="E18" i="9"/>
  <c r="D18" i="9"/>
  <c r="C18" i="9"/>
  <c r="B18" i="9"/>
  <c r="F17" i="9"/>
  <c r="E17" i="9"/>
  <c r="D17" i="9"/>
  <c r="C17" i="9"/>
  <c r="B17" i="9"/>
  <c r="F16" i="9"/>
  <c r="E16" i="9"/>
  <c r="D16" i="9"/>
  <c r="C16" i="9"/>
  <c r="B16" i="9"/>
  <c r="F14" i="9"/>
  <c r="E14" i="9"/>
  <c r="D14" i="9"/>
  <c r="C14" i="9"/>
  <c r="B14" i="9"/>
  <c r="F13" i="9"/>
  <c r="E13" i="9"/>
  <c r="D13" i="9"/>
  <c r="C13" i="9"/>
  <c r="B13" i="9"/>
  <c r="F12" i="9"/>
  <c r="E12" i="9"/>
  <c r="D12" i="9"/>
  <c r="C12" i="9"/>
  <c r="B12" i="9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B8" i="9" s="1"/>
  <c r="F3" i="9"/>
  <c r="E3" i="9"/>
  <c r="D3" i="9"/>
  <c r="C3" i="9"/>
  <c r="B3" i="9"/>
  <c r="F2" i="9"/>
  <c r="F4" i="9" s="1"/>
  <c r="E2" i="9"/>
  <c r="E4" i="9" s="1"/>
  <c r="D2" i="9"/>
  <c r="D4" i="9" s="1"/>
  <c r="C2" i="9"/>
  <c r="C4" i="9" s="1"/>
  <c r="B2" i="9"/>
  <c r="B4" i="9" s="1"/>
  <c r="F19" i="8"/>
  <c r="F11" i="8" s="1"/>
  <c r="E19" i="8"/>
  <c r="E11" i="8" s="1"/>
  <c r="D19" i="8"/>
  <c r="D11" i="8" s="1"/>
  <c r="C19" i="8"/>
  <c r="C11" i="8" s="1"/>
  <c r="B19" i="8"/>
  <c r="B11" i="8" s="1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F9" i="8"/>
  <c r="E9" i="8"/>
  <c r="D9" i="8"/>
  <c r="C9" i="8"/>
  <c r="B9" i="8"/>
  <c r="F7" i="8"/>
  <c r="E7" i="8"/>
  <c r="D7" i="8"/>
  <c r="C7" i="8"/>
  <c r="B7" i="8"/>
  <c r="F6" i="8"/>
  <c r="E6" i="8"/>
  <c r="D6" i="8"/>
  <c r="C6" i="8"/>
  <c r="B6" i="8"/>
  <c r="F5" i="8"/>
  <c r="F8" i="8" s="1"/>
  <c r="E5" i="8"/>
  <c r="D5" i="8"/>
  <c r="C5" i="8"/>
  <c r="B5" i="8"/>
  <c r="F3" i="8"/>
  <c r="E3" i="8"/>
  <c r="D3" i="8"/>
  <c r="C3" i="8"/>
  <c r="B3" i="8"/>
  <c r="F2" i="8"/>
  <c r="F4" i="8" s="1"/>
  <c r="E2" i="8"/>
  <c r="E4" i="8" s="1"/>
  <c r="D2" i="8"/>
  <c r="D4" i="8" s="1"/>
  <c r="C2" i="8"/>
  <c r="C4" i="8" s="1"/>
  <c r="B2" i="8"/>
  <c r="B4" i="8" s="1"/>
  <c r="F19" i="7"/>
  <c r="F11" i="7" s="1"/>
  <c r="E19" i="7"/>
  <c r="E11" i="7" s="1"/>
  <c r="D19" i="7"/>
  <c r="D11" i="7" s="1"/>
  <c r="C19" i="7"/>
  <c r="C11" i="7" s="1"/>
  <c r="B19" i="7"/>
  <c r="B11" i="7" s="1"/>
  <c r="F18" i="7"/>
  <c r="E18" i="7"/>
  <c r="D18" i="7"/>
  <c r="C18" i="7"/>
  <c r="B18" i="7"/>
  <c r="F17" i="7"/>
  <c r="E17" i="7"/>
  <c r="D17" i="7"/>
  <c r="C17" i="7"/>
  <c r="B17" i="7"/>
  <c r="F16" i="7"/>
  <c r="E16" i="7"/>
  <c r="D16" i="7"/>
  <c r="C16" i="7"/>
  <c r="B16" i="7"/>
  <c r="F14" i="7"/>
  <c r="E14" i="7"/>
  <c r="D14" i="7"/>
  <c r="C14" i="7"/>
  <c r="B14" i="7"/>
  <c r="F13" i="7"/>
  <c r="E13" i="7"/>
  <c r="D13" i="7"/>
  <c r="C13" i="7"/>
  <c r="B13" i="7"/>
  <c r="F12" i="7"/>
  <c r="E12" i="7"/>
  <c r="D12" i="7"/>
  <c r="C12" i="7"/>
  <c r="B12" i="7"/>
  <c r="F9" i="7"/>
  <c r="E9" i="7"/>
  <c r="D9" i="7"/>
  <c r="C9" i="7"/>
  <c r="B9" i="7"/>
  <c r="F7" i="7"/>
  <c r="E7" i="7"/>
  <c r="D7" i="7"/>
  <c r="C7" i="7"/>
  <c r="B7" i="7"/>
  <c r="F6" i="7"/>
  <c r="E6" i="7"/>
  <c r="D6" i="7"/>
  <c r="C6" i="7"/>
  <c r="B6" i="7"/>
  <c r="F5" i="7"/>
  <c r="F8" i="7" s="1"/>
  <c r="E5" i="7"/>
  <c r="E8" i="7" s="1"/>
  <c r="D5" i="7"/>
  <c r="D8" i="7" s="1"/>
  <c r="C5" i="7"/>
  <c r="C8" i="7" s="1"/>
  <c r="B5" i="7"/>
  <c r="B8" i="7" s="1"/>
  <c r="F3" i="7"/>
  <c r="E3" i="7"/>
  <c r="D3" i="7"/>
  <c r="C3" i="7"/>
  <c r="B3" i="7"/>
  <c r="F2" i="7"/>
  <c r="F4" i="7" s="1"/>
  <c r="E2" i="7"/>
  <c r="D2" i="7"/>
  <c r="C2" i="7"/>
  <c r="B2" i="7"/>
  <c r="G16" i="6"/>
  <c r="F16" i="6"/>
  <c r="E16" i="6"/>
  <c r="H16" i="6" s="1"/>
  <c r="D16" i="6"/>
  <c r="C16" i="6"/>
  <c r="I16" i="6" s="1"/>
  <c r="B16" i="6"/>
  <c r="A16" i="6"/>
  <c r="G15" i="6"/>
  <c r="F15" i="6"/>
  <c r="E15" i="6"/>
  <c r="H15" i="6" s="1"/>
  <c r="D15" i="6"/>
  <c r="C15" i="6"/>
  <c r="I15" i="6" s="1"/>
  <c r="B15" i="6"/>
  <c r="A15" i="6"/>
  <c r="G14" i="6"/>
  <c r="F14" i="6"/>
  <c r="E14" i="6"/>
  <c r="D14" i="6"/>
  <c r="C14" i="6"/>
  <c r="I14" i="6" s="1"/>
  <c r="B14" i="6"/>
  <c r="A14" i="6"/>
  <c r="G13" i="6"/>
  <c r="F13" i="6"/>
  <c r="E13" i="6"/>
  <c r="D13" i="6"/>
  <c r="C13" i="6"/>
  <c r="I13" i="6" s="1"/>
  <c r="B13" i="6"/>
  <c r="A13" i="6"/>
  <c r="G12" i="6"/>
  <c r="F12" i="6"/>
  <c r="E12" i="6"/>
  <c r="D12" i="6"/>
  <c r="C12" i="6"/>
  <c r="I12" i="6" s="1"/>
  <c r="B12" i="6"/>
  <c r="A12" i="6"/>
  <c r="G11" i="6"/>
  <c r="F11" i="6"/>
  <c r="E11" i="6"/>
  <c r="H11" i="6" s="1"/>
  <c r="D11" i="6"/>
  <c r="C11" i="6"/>
  <c r="I11" i="6" s="1"/>
  <c r="B11" i="6"/>
  <c r="A11" i="6"/>
  <c r="G10" i="6"/>
  <c r="F10" i="6"/>
  <c r="E10" i="6"/>
  <c r="H10" i="6" s="1"/>
  <c r="D10" i="6"/>
  <c r="C10" i="6"/>
  <c r="I10" i="6" s="1"/>
  <c r="B10" i="6"/>
  <c r="A10" i="6"/>
  <c r="G9" i="6"/>
  <c r="F9" i="6"/>
  <c r="E9" i="6"/>
  <c r="H9" i="6" s="1"/>
  <c r="D9" i="6"/>
  <c r="C9" i="6"/>
  <c r="I9" i="6" s="1"/>
  <c r="B9" i="6"/>
  <c r="A9" i="6"/>
  <c r="G8" i="6"/>
  <c r="F8" i="6"/>
  <c r="E8" i="6"/>
  <c r="H8" i="6" s="1"/>
  <c r="D8" i="6"/>
  <c r="C8" i="6"/>
  <c r="I8" i="6" s="1"/>
  <c r="B8" i="6"/>
  <c r="A8" i="6"/>
  <c r="G7" i="6"/>
  <c r="F7" i="6"/>
  <c r="E7" i="6"/>
  <c r="H7" i="6" s="1"/>
  <c r="D7" i="6"/>
  <c r="C7" i="6"/>
  <c r="I7" i="6" s="1"/>
  <c r="B7" i="6"/>
  <c r="A7" i="6"/>
  <c r="G6" i="6"/>
  <c r="F6" i="6"/>
  <c r="E6" i="6"/>
  <c r="H6" i="6" s="1"/>
  <c r="D6" i="6"/>
  <c r="C6" i="6"/>
  <c r="I6" i="6" s="1"/>
  <c r="B6" i="6"/>
  <c r="A6" i="6"/>
  <c r="G5" i="6"/>
  <c r="F5" i="6"/>
  <c r="E5" i="6"/>
  <c r="H5" i="6" s="1"/>
  <c r="D5" i="6"/>
  <c r="C5" i="6"/>
  <c r="I5" i="6" s="1"/>
  <c r="B5" i="6"/>
  <c r="A5" i="6"/>
  <c r="G4" i="6"/>
  <c r="F4" i="6"/>
  <c r="E4" i="6"/>
  <c r="H4" i="6" s="1"/>
  <c r="D4" i="6"/>
  <c r="C4" i="6"/>
  <c r="I4" i="6" s="1"/>
  <c r="B4" i="6"/>
  <c r="A4" i="6"/>
  <c r="G3" i="6"/>
  <c r="F3" i="6"/>
  <c r="E3" i="6"/>
  <c r="H3" i="6" s="1"/>
  <c r="D3" i="6"/>
  <c r="C3" i="6"/>
  <c r="I3" i="6" s="1"/>
  <c r="B3" i="6"/>
  <c r="A3" i="6"/>
  <c r="G2" i="6"/>
  <c r="F2" i="6"/>
  <c r="E2" i="6"/>
  <c r="H2" i="6" s="1"/>
  <c r="D2" i="6"/>
  <c r="C2" i="6"/>
  <c r="I2" i="6" s="1"/>
  <c r="B2" i="6"/>
  <c r="A2" i="6"/>
  <c r="U26" i="5"/>
  <c r="N26" i="5"/>
  <c r="O26" i="5" s="1"/>
  <c r="I26" i="5"/>
  <c r="H26" i="5"/>
  <c r="L26" i="5" s="1"/>
  <c r="Q26" i="5" s="1"/>
  <c r="G26" i="5"/>
  <c r="E26" i="5"/>
  <c r="D26" i="5"/>
  <c r="F26" i="5" s="1"/>
  <c r="C26" i="5"/>
  <c r="B26" i="5"/>
  <c r="A26" i="5"/>
  <c r="U25" i="5"/>
  <c r="N25" i="5"/>
  <c r="O25" i="5" s="1"/>
  <c r="I25" i="5"/>
  <c r="H25" i="5"/>
  <c r="L25" i="5" s="1"/>
  <c r="Q25" i="5" s="1"/>
  <c r="G25" i="5"/>
  <c r="E25" i="5"/>
  <c r="D25" i="5"/>
  <c r="F25" i="5" s="1"/>
  <c r="C25" i="5"/>
  <c r="B25" i="5"/>
  <c r="A25" i="5"/>
  <c r="U24" i="5"/>
  <c r="N24" i="5"/>
  <c r="O24" i="5" s="1"/>
  <c r="I24" i="5"/>
  <c r="H24" i="5"/>
  <c r="L24" i="5" s="1"/>
  <c r="Q24" i="5" s="1"/>
  <c r="G24" i="5"/>
  <c r="E24" i="5"/>
  <c r="D24" i="5"/>
  <c r="C24" i="5"/>
  <c r="B24" i="5"/>
  <c r="A24" i="5"/>
  <c r="U23" i="5"/>
  <c r="N23" i="5"/>
  <c r="O23" i="5" s="1"/>
  <c r="I23" i="5"/>
  <c r="H23" i="5"/>
  <c r="L23" i="5" s="1"/>
  <c r="Q23" i="5" s="1"/>
  <c r="G23" i="5"/>
  <c r="E23" i="5"/>
  <c r="D23" i="5"/>
  <c r="F23" i="5" s="1"/>
  <c r="C23" i="5"/>
  <c r="B23" i="5"/>
  <c r="A23" i="5"/>
  <c r="U22" i="5"/>
  <c r="N22" i="5"/>
  <c r="O22" i="5" s="1"/>
  <c r="I22" i="5"/>
  <c r="H22" i="5"/>
  <c r="L22" i="5" s="1"/>
  <c r="Q22" i="5" s="1"/>
  <c r="G22" i="5"/>
  <c r="E22" i="5"/>
  <c r="D22" i="5"/>
  <c r="F22" i="5" s="1"/>
  <c r="C22" i="5"/>
  <c r="B22" i="5"/>
  <c r="A22" i="5"/>
  <c r="U21" i="5"/>
  <c r="N21" i="5"/>
  <c r="O21" i="5" s="1"/>
  <c r="M21" i="5"/>
  <c r="R21" i="5" s="1"/>
  <c r="L21" i="5"/>
  <c r="Q21" i="5" s="1"/>
  <c r="J21" i="5"/>
  <c r="K21" i="5" s="1"/>
  <c r="P21" i="5" s="1"/>
  <c r="S21" i="5" s="1"/>
  <c r="I21" i="5"/>
  <c r="H21" i="5"/>
  <c r="G21" i="5"/>
  <c r="E21" i="5"/>
  <c r="D21" i="5"/>
  <c r="C21" i="5"/>
  <c r="B21" i="5"/>
  <c r="A21" i="5"/>
  <c r="U20" i="5"/>
  <c r="N20" i="5"/>
  <c r="O20" i="5" s="1"/>
  <c r="I20" i="5"/>
  <c r="H20" i="5"/>
  <c r="L20" i="5" s="1"/>
  <c r="Q20" i="5" s="1"/>
  <c r="G20" i="5"/>
  <c r="E20" i="5"/>
  <c r="D20" i="5"/>
  <c r="F20" i="5" s="1"/>
  <c r="C20" i="5"/>
  <c r="B20" i="5"/>
  <c r="A20" i="5"/>
  <c r="U19" i="5"/>
  <c r="N19" i="5"/>
  <c r="O19" i="5" s="1"/>
  <c r="I19" i="5"/>
  <c r="H19" i="5"/>
  <c r="L19" i="5" s="1"/>
  <c r="Q19" i="5" s="1"/>
  <c r="G19" i="5"/>
  <c r="E19" i="5"/>
  <c r="D19" i="5"/>
  <c r="F19" i="5" s="1"/>
  <c r="C19" i="5"/>
  <c r="B19" i="5"/>
  <c r="A19" i="5"/>
  <c r="U18" i="5"/>
  <c r="N18" i="5"/>
  <c r="O18" i="5" s="1"/>
  <c r="I18" i="5"/>
  <c r="H18" i="5"/>
  <c r="L18" i="5" s="1"/>
  <c r="Q18" i="5" s="1"/>
  <c r="G18" i="5"/>
  <c r="E18" i="5"/>
  <c r="D18" i="5"/>
  <c r="F18" i="5" s="1"/>
  <c r="C18" i="5"/>
  <c r="B18" i="5"/>
  <c r="A18" i="5"/>
  <c r="U17" i="5"/>
  <c r="N17" i="5"/>
  <c r="O17" i="5" s="1"/>
  <c r="I17" i="5"/>
  <c r="H17" i="5"/>
  <c r="L17" i="5" s="1"/>
  <c r="Q17" i="5" s="1"/>
  <c r="G17" i="5"/>
  <c r="E17" i="5"/>
  <c r="D17" i="5"/>
  <c r="F17" i="5" s="1"/>
  <c r="C17" i="5"/>
  <c r="B17" i="5"/>
  <c r="A17" i="5"/>
  <c r="U16" i="5"/>
  <c r="N16" i="5"/>
  <c r="O16" i="5" s="1"/>
  <c r="I16" i="5"/>
  <c r="H16" i="5"/>
  <c r="L16" i="5" s="1"/>
  <c r="Q16" i="5" s="1"/>
  <c r="G16" i="5"/>
  <c r="E16" i="5"/>
  <c r="D16" i="5"/>
  <c r="F16" i="5" s="1"/>
  <c r="C16" i="5"/>
  <c r="B16" i="5"/>
  <c r="A16" i="5"/>
  <c r="U15" i="5"/>
  <c r="N15" i="5"/>
  <c r="O15" i="5" s="1"/>
  <c r="I15" i="5"/>
  <c r="H15" i="5"/>
  <c r="L15" i="5" s="1"/>
  <c r="Q15" i="5" s="1"/>
  <c r="G15" i="5"/>
  <c r="E15" i="5"/>
  <c r="D15" i="5"/>
  <c r="F15" i="5" s="1"/>
  <c r="C15" i="5"/>
  <c r="B15" i="5"/>
  <c r="A15" i="5"/>
  <c r="U14" i="5"/>
  <c r="N14" i="5"/>
  <c r="O14" i="5" s="1"/>
  <c r="I14" i="5"/>
  <c r="H14" i="5"/>
  <c r="L14" i="5" s="1"/>
  <c r="Q14" i="5" s="1"/>
  <c r="G14" i="5"/>
  <c r="E14" i="5"/>
  <c r="D14" i="5"/>
  <c r="F14" i="5" s="1"/>
  <c r="C14" i="5"/>
  <c r="B14" i="5"/>
  <c r="A14" i="5"/>
  <c r="U13" i="5"/>
  <c r="N13" i="5"/>
  <c r="O13" i="5" s="1"/>
  <c r="I13" i="5"/>
  <c r="H13" i="5"/>
  <c r="L13" i="5" s="1"/>
  <c r="Q13" i="5" s="1"/>
  <c r="G13" i="5"/>
  <c r="E13" i="5"/>
  <c r="D13" i="5"/>
  <c r="F13" i="5" s="1"/>
  <c r="C13" i="5"/>
  <c r="B13" i="5"/>
  <c r="A13" i="5"/>
  <c r="U12" i="5"/>
  <c r="N12" i="5"/>
  <c r="O12" i="5" s="1"/>
  <c r="I12" i="5"/>
  <c r="H12" i="5"/>
  <c r="L12" i="5" s="1"/>
  <c r="Q12" i="5" s="1"/>
  <c r="G12" i="5"/>
  <c r="E12" i="5"/>
  <c r="D12" i="5"/>
  <c r="F12" i="5" s="1"/>
  <c r="C12" i="5"/>
  <c r="B12" i="5"/>
  <c r="A12" i="5"/>
  <c r="U11" i="5"/>
  <c r="N11" i="5"/>
  <c r="O11" i="5" s="1"/>
  <c r="I11" i="5"/>
  <c r="H11" i="5"/>
  <c r="L11" i="5" s="1"/>
  <c r="Q11" i="5" s="1"/>
  <c r="G11" i="5"/>
  <c r="E11" i="5"/>
  <c r="D11" i="5"/>
  <c r="C11" i="5"/>
  <c r="B11" i="5"/>
  <c r="A11" i="5"/>
  <c r="U10" i="5"/>
  <c r="N10" i="5"/>
  <c r="O10" i="5" s="1"/>
  <c r="I10" i="5"/>
  <c r="H10" i="5"/>
  <c r="L10" i="5" s="1"/>
  <c r="Q10" i="5" s="1"/>
  <c r="G10" i="5"/>
  <c r="E10" i="5"/>
  <c r="D10" i="5"/>
  <c r="C10" i="5"/>
  <c r="B10" i="5"/>
  <c r="A10" i="5"/>
  <c r="U9" i="5"/>
  <c r="N9" i="5"/>
  <c r="O9" i="5" s="1"/>
  <c r="I9" i="5"/>
  <c r="H9" i="5"/>
  <c r="L9" i="5" s="1"/>
  <c r="Q9" i="5" s="1"/>
  <c r="G9" i="5"/>
  <c r="E9" i="5"/>
  <c r="D9" i="5"/>
  <c r="F9" i="5" s="1"/>
  <c r="C9" i="5"/>
  <c r="B9" i="5"/>
  <c r="A9" i="5"/>
  <c r="U8" i="5"/>
  <c r="N8" i="5"/>
  <c r="O8" i="5" s="1"/>
  <c r="I8" i="5"/>
  <c r="H8" i="5"/>
  <c r="L8" i="5" s="1"/>
  <c r="Q8" i="5" s="1"/>
  <c r="G8" i="5"/>
  <c r="E8" i="5"/>
  <c r="D8" i="5"/>
  <c r="C8" i="5"/>
  <c r="B8" i="5"/>
  <c r="A8" i="5"/>
  <c r="U7" i="5"/>
  <c r="N7" i="5"/>
  <c r="O7" i="5" s="1"/>
  <c r="L7" i="5"/>
  <c r="Q7" i="5" s="1"/>
  <c r="I7" i="5"/>
  <c r="H7" i="5"/>
  <c r="G7" i="5"/>
  <c r="E7" i="5"/>
  <c r="D7" i="5"/>
  <c r="F7" i="5" s="1"/>
  <c r="C7" i="5"/>
  <c r="B7" i="5"/>
  <c r="A7" i="5"/>
  <c r="U6" i="5"/>
  <c r="N6" i="5"/>
  <c r="O6" i="5" s="1"/>
  <c r="I6" i="5"/>
  <c r="H6" i="5"/>
  <c r="L6" i="5" s="1"/>
  <c r="Q6" i="5" s="1"/>
  <c r="G6" i="5"/>
  <c r="E6" i="5"/>
  <c r="D6" i="5"/>
  <c r="F6" i="5" s="1"/>
  <c r="C6" i="5"/>
  <c r="B6" i="5"/>
  <c r="A6" i="5"/>
  <c r="U5" i="5"/>
  <c r="N5" i="5"/>
  <c r="O5" i="5" s="1"/>
  <c r="I5" i="5"/>
  <c r="H5" i="5"/>
  <c r="L5" i="5" s="1"/>
  <c r="Q5" i="5" s="1"/>
  <c r="G5" i="5"/>
  <c r="E5" i="5"/>
  <c r="D5" i="5"/>
  <c r="F5" i="5" s="1"/>
  <c r="C5" i="5"/>
  <c r="B5" i="5"/>
  <c r="A5" i="5"/>
  <c r="U4" i="5"/>
  <c r="N4" i="5"/>
  <c r="O4" i="5" s="1"/>
  <c r="I4" i="5"/>
  <c r="H4" i="5"/>
  <c r="L4" i="5" s="1"/>
  <c r="Q4" i="5" s="1"/>
  <c r="G4" i="5"/>
  <c r="E4" i="5"/>
  <c r="D4" i="5"/>
  <c r="F4" i="5" s="1"/>
  <c r="C4" i="5"/>
  <c r="B4" i="5"/>
  <c r="A4" i="5"/>
  <c r="U3" i="5"/>
  <c r="N3" i="5"/>
  <c r="O3" i="5" s="1"/>
  <c r="I3" i="5"/>
  <c r="H3" i="5"/>
  <c r="L3" i="5" s="1"/>
  <c r="Q3" i="5" s="1"/>
  <c r="G3" i="5"/>
  <c r="E3" i="5"/>
  <c r="D3" i="5"/>
  <c r="F3" i="5" s="1"/>
  <c r="C3" i="5"/>
  <c r="B3" i="5"/>
  <c r="A3" i="5"/>
  <c r="U2" i="5"/>
  <c r="N2" i="5"/>
  <c r="O2" i="5" s="1"/>
  <c r="I2" i="5"/>
  <c r="H2" i="5"/>
  <c r="L2" i="5" s="1"/>
  <c r="Q2" i="5" s="1"/>
  <c r="G2" i="5"/>
  <c r="E2" i="5"/>
  <c r="D2" i="5"/>
  <c r="F2" i="5" s="1"/>
  <c r="C2" i="5"/>
  <c r="B2" i="5"/>
  <c r="A2" i="5"/>
  <c r="E4" i="7" l="1"/>
  <c r="E10" i="7" s="1"/>
  <c r="E15" i="7" s="1"/>
  <c r="F24" i="5"/>
  <c r="H14" i="6"/>
  <c r="J14" i="6" s="1"/>
  <c r="F11" i="5"/>
  <c r="F8" i="9"/>
  <c r="F10" i="9" s="1"/>
  <c r="F15" i="9" s="1"/>
  <c r="F10" i="8"/>
  <c r="F15" i="8" s="1"/>
  <c r="D4" i="7"/>
  <c r="D10" i="7" s="1"/>
  <c r="D15" i="7" s="1"/>
  <c r="C4" i="7"/>
  <c r="C10" i="7" s="1"/>
  <c r="C15" i="7" s="1"/>
  <c r="B4" i="7"/>
  <c r="B10" i="7" s="1"/>
  <c r="B15" i="7" s="1"/>
  <c r="H12" i="6"/>
  <c r="J12" i="6" s="1"/>
  <c r="J7" i="6"/>
  <c r="F21" i="5"/>
  <c r="E8" i="9"/>
  <c r="E10" i="9" s="1"/>
  <c r="E15" i="9" s="1"/>
  <c r="D8" i="9"/>
  <c r="D10" i="9" s="1"/>
  <c r="D15" i="9" s="1"/>
  <c r="C8" i="9"/>
  <c r="C10" i="9" s="1"/>
  <c r="C15" i="9" s="1"/>
  <c r="B10" i="9"/>
  <c r="B15" i="9" s="1"/>
  <c r="E8" i="8"/>
  <c r="E10" i="8" s="1"/>
  <c r="E15" i="8" s="1"/>
  <c r="D8" i="8"/>
  <c r="D10" i="8" s="1"/>
  <c r="D15" i="8" s="1"/>
  <c r="C8" i="8"/>
  <c r="C10" i="8" s="1"/>
  <c r="C15" i="8" s="1"/>
  <c r="B8" i="8"/>
  <c r="B10" i="8" s="1"/>
  <c r="B15" i="8" s="1"/>
  <c r="H13" i="6"/>
  <c r="J13" i="6" s="1"/>
  <c r="W21" i="5"/>
  <c r="F10" i="5"/>
  <c r="F8" i="5"/>
  <c r="J3" i="6"/>
  <c r="J26" i="5"/>
  <c r="M26" i="5"/>
  <c r="R26" i="5" s="1"/>
  <c r="J25" i="5"/>
  <c r="M25" i="5"/>
  <c r="R25" i="5" s="1"/>
  <c r="J24" i="5"/>
  <c r="M24" i="5"/>
  <c r="R24" i="5" s="1"/>
  <c r="M23" i="5"/>
  <c r="R23" i="5" s="1"/>
  <c r="J23" i="5"/>
  <c r="M22" i="5"/>
  <c r="R22" i="5" s="1"/>
  <c r="J22" i="5"/>
  <c r="M20" i="5"/>
  <c r="R20" i="5" s="1"/>
  <c r="J20" i="5"/>
  <c r="M19" i="5"/>
  <c r="R19" i="5" s="1"/>
  <c r="J19" i="5"/>
  <c r="J18" i="5"/>
  <c r="M18" i="5"/>
  <c r="R18" i="5" s="1"/>
  <c r="J17" i="5"/>
  <c r="M17" i="5"/>
  <c r="R17" i="5" s="1"/>
  <c r="M16" i="5"/>
  <c r="R16" i="5" s="1"/>
  <c r="J16" i="5"/>
  <c r="M15" i="5"/>
  <c r="R15" i="5" s="1"/>
  <c r="J15" i="5"/>
  <c r="M14" i="5"/>
  <c r="R14" i="5" s="1"/>
  <c r="J14" i="5"/>
  <c r="M13" i="5"/>
  <c r="R13" i="5" s="1"/>
  <c r="J13" i="5"/>
  <c r="M12" i="5"/>
  <c r="R12" i="5" s="1"/>
  <c r="J12" i="5"/>
  <c r="M11" i="5"/>
  <c r="R11" i="5" s="1"/>
  <c r="J11" i="5"/>
  <c r="J10" i="5"/>
  <c r="M10" i="5"/>
  <c r="R10" i="5" s="1"/>
  <c r="M9" i="5"/>
  <c r="R9" i="5" s="1"/>
  <c r="J9" i="5"/>
  <c r="M8" i="5"/>
  <c r="R8" i="5" s="1"/>
  <c r="J8" i="5"/>
  <c r="M7" i="5"/>
  <c r="R7" i="5" s="1"/>
  <c r="J7" i="5"/>
  <c r="M6" i="5"/>
  <c r="R6" i="5" s="1"/>
  <c r="J6" i="5"/>
  <c r="J5" i="5"/>
  <c r="M5" i="5"/>
  <c r="R5" i="5" s="1"/>
  <c r="M4" i="5"/>
  <c r="R4" i="5" s="1"/>
  <c r="J4" i="5"/>
  <c r="M3" i="5"/>
  <c r="R3" i="5" s="1"/>
  <c r="J3" i="5"/>
  <c r="J2" i="5"/>
  <c r="M2" i="5"/>
  <c r="R2" i="5" s="1"/>
  <c r="J11" i="6"/>
  <c r="J10" i="6"/>
  <c r="J9" i="6"/>
  <c r="J8" i="6"/>
  <c r="J6" i="6"/>
  <c r="J5" i="6"/>
  <c r="J4" i="6"/>
  <c r="J2" i="6"/>
  <c r="F10" i="7"/>
  <c r="F15" i="7" s="1"/>
  <c r="J15" i="6"/>
  <c r="J16" i="6"/>
  <c r="L7" i="6" l="1"/>
  <c r="K7" i="6"/>
  <c r="K3" i="6"/>
  <c r="L3" i="6"/>
  <c r="T21" i="5"/>
  <c r="V21" i="5"/>
  <c r="K26" i="5"/>
  <c r="P26" i="5" s="1"/>
  <c r="S26" i="5" s="1"/>
  <c r="W26" i="5"/>
  <c r="K25" i="5"/>
  <c r="P25" i="5" s="1"/>
  <c r="S25" i="5" s="1"/>
  <c r="W25" i="5"/>
  <c r="K24" i="5"/>
  <c r="P24" i="5" s="1"/>
  <c r="S24" i="5" s="1"/>
  <c r="W24" i="5"/>
  <c r="K23" i="5"/>
  <c r="P23" i="5" s="1"/>
  <c r="S23" i="5" s="1"/>
  <c r="W23" i="5"/>
  <c r="K22" i="5"/>
  <c r="P22" i="5" s="1"/>
  <c r="S22" i="5" s="1"/>
  <c r="W22" i="5"/>
  <c r="W20" i="5"/>
  <c r="K20" i="5"/>
  <c r="P20" i="5" s="1"/>
  <c r="S20" i="5" s="1"/>
  <c r="K19" i="5"/>
  <c r="P19" i="5" s="1"/>
  <c r="S19" i="5" s="1"/>
  <c r="W19" i="5"/>
  <c r="K18" i="5"/>
  <c r="P18" i="5" s="1"/>
  <c r="S18" i="5" s="1"/>
  <c r="W18" i="5"/>
  <c r="K17" i="5"/>
  <c r="P17" i="5" s="1"/>
  <c r="S17" i="5" s="1"/>
  <c r="T17" i="5" s="1"/>
  <c r="W17" i="5"/>
  <c r="K16" i="5"/>
  <c r="P16" i="5" s="1"/>
  <c r="S16" i="5" s="1"/>
  <c r="W16" i="5"/>
  <c r="K15" i="5"/>
  <c r="P15" i="5" s="1"/>
  <c r="S15" i="5" s="1"/>
  <c r="W15" i="5"/>
  <c r="K14" i="5"/>
  <c r="P14" i="5" s="1"/>
  <c r="S14" i="5" s="1"/>
  <c r="W14" i="5"/>
  <c r="K13" i="5"/>
  <c r="P13" i="5" s="1"/>
  <c r="S13" i="5" s="1"/>
  <c r="W13" i="5"/>
  <c r="K12" i="5"/>
  <c r="P12" i="5" s="1"/>
  <c r="S12" i="5" s="1"/>
  <c r="W12" i="5"/>
  <c r="K11" i="5"/>
  <c r="P11" i="5" s="1"/>
  <c r="S11" i="5" s="1"/>
  <c r="W11" i="5"/>
  <c r="K10" i="5"/>
  <c r="P10" i="5" s="1"/>
  <c r="S10" i="5" s="1"/>
  <c r="W10" i="5"/>
  <c r="K9" i="5"/>
  <c r="P9" i="5" s="1"/>
  <c r="S9" i="5" s="1"/>
  <c r="W9" i="5"/>
  <c r="K8" i="5"/>
  <c r="P8" i="5" s="1"/>
  <c r="S8" i="5" s="1"/>
  <c r="W8" i="5"/>
  <c r="W7" i="5"/>
  <c r="K7" i="5"/>
  <c r="P7" i="5" s="1"/>
  <c r="S7" i="5" s="1"/>
  <c r="K6" i="5"/>
  <c r="P6" i="5" s="1"/>
  <c r="S6" i="5" s="1"/>
  <c r="W6" i="5"/>
  <c r="K5" i="5"/>
  <c r="P5" i="5" s="1"/>
  <c r="S5" i="5" s="1"/>
  <c r="W5" i="5"/>
  <c r="K4" i="5"/>
  <c r="P4" i="5" s="1"/>
  <c r="S4" i="5" s="1"/>
  <c r="W4" i="5"/>
  <c r="K3" i="5"/>
  <c r="P3" i="5" s="1"/>
  <c r="S3" i="5" s="1"/>
  <c r="W3" i="5"/>
  <c r="K2" i="5"/>
  <c r="P2" i="5" s="1"/>
  <c r="S2" i="5" s="1"/>
  <c r="W2" i="5"/>
  <c r="L14" i="6"/>
  <c r="K14" i="6"/>
  <c r="L13" i="6"/>
  <c r="K13" i="6"/>
  <c r="L12" i="6"/>
  <c r="K12" i="6"/>
  <c r="L11" i="6"/>
  <c r="K11" i="6"/>
  <c r="L10" i="6"/>
  <c r="K10" i="6"/>
  <c r="K9" i="6"/>
  <c r="L9" i="6"/>
  <c r="L8" i="6"/>
  <c r="K8" i="6"/>
  <c r="L6" i="6"/>
  <c r="K6" i="6"/>
  <c r="L5" i="6"/>
  <c r="K5" i="6"/>
  <c r="L4" i="6"/>
  <c r="K4" i="6"/>
  <c r="L2" i="6"/>
  <c r="K2" i="6"/>
  <c r="L15" i="6"/>
  <c r="K15" i="6"/>
  <c r="L16" i="6"/>
  <c r="K16" i="6"/>
  <c r="V26" i="5" l="1"/>
  <c r="T26" i="5"/>
  <c r="V25" i="5"/>
  <c r="T25" i="5"/>
  <c r="V24" i="5"/>
  <c r="T24" i="5"/>
  <c r="V23" i="5"/>
  <c r="T23" i="5"/>
  <c r="V22" i="5"/>
  <c r="T22" i="5"/>
  <c r="V20" i="5"/>
  <c r="T20" i="5"/>
  <c r="V19" i="5"/>
  <c r="T19" i="5"/>
  <c r="V18" i="5"/>
  <c r="T18" i="5"/>
  <c r="V17" i="5"/>
  <c r="V16" i="5"/>
  <c r="T16" i="5"/>
  <c r="V15" i="5"/>
  <c r="T15" i="5"/>
  <c r="V14" i="5"/>
  <c r="T14" i="5"/>
  <c r="V13" i="5"/>
  <c r="T13" i="5"/>
  <c r="V12" i="5"/>
  <c r="T12" i="5"/>
  <c r="V11" i="5"/>
  <c r="T11" i="5"/>
  <c r="V10" i="5"/>
  <c r="T10" i="5"/>
  <c r="V9" i="5"/>
  <c r="T9" i="5"/>
  <c r="V8" i="5"/>
  <c r="T8" i="5"/>
  <c r="V7" i="5"/>
  <c r="T7" i="5"/>
  <c r="V6" i="5"/>
  <c r="T6" i="5"/>
  <c r="V5" i="5"/>
  <c r="T5" i="5"/>
  <c r="V4" i="5"/>
  <c r="T4" i="5"/>
  <c r="V3" i="5"/>
  <c r="T3" i="5"/>
  <c r="V2" i="5"/>
  <c r="T2" i="5"/>
</calcChain>
</file>

<file path=xl/sharedStrings.xml><?xml version="1.0" encoding="utf-8"?>
<sst xmlns="http://schemas.openxmlformats.org/spreadsheetml/2006/main" count="217" uniqueCount="157">
  <si>
    <t>Name</t>
  </si>
  <si>
    <t>Value</t>
  </si>
  <si>
    <t>Option 1</t>
  </si>
  <si>
    <t>Option 2</t>
  </si>
  <si>
    <t>Option 3</t>
  </si>
  <si>
    <t>CaseName</t>
  </si>
  <si>
    <t>CAPEX</t>
  </si>
  <si>
    <t>Revenue</t>
  </si>
  <si>
    <t>OPEX</t>
  </si>
  <si>
    <t>EBITDA</t>
  </si>
  <si>
    <t>Equity</t>
  </si>
  <si>
    <t>SeniorRate</t>
  </si>
  <si>
    <t>JuniorRate</t>
  </si>
  <si>
    <t>PublicRate</t>
  </si>
  <si>
    <t>SeniorTenor</t>
  </si>
  <si>
    <t>JuniorTenor</t>
  </si>
  <si>
    <t>PublicTenor</t>
  </si>
  <si>
    <t>Case 1</t>
  </si>
  <si>
    <t>Case 2</t>
  </si>
  <si>
    <t>Case 3</t>
  </si>
  <si>
    <t>Case 4</t>
  </si>
  <si>
    <t>Case 5</t>
  </si>
  <si>
    <t>TariffMult</t>
  </si>
  <si>
    <t>SeniorRateAdd</t>
  </si>
  <si>
    <t>CAPEXMult</t>
  </si>
  <si>
    <t>ConcessionalMult</t>
  </si>
  <si>
    <t>Baseline</t>
  </si>
  <si>
    <t>Tariff -10%</t>
  </si>
  <si>
    <t>Senior +200bps</t>
  </si>
  <si>
    <t>CAPEX +20%</t>
  </si>
  <si>
    <t>Concessional -50%</t>
  </si>
  <si>
    <t>Case</t>
  </si>
  <si>
    <t>Shortfall</t>
  </si>
  <si>
    <t>SeniorDS</t>
  </si>
  <si>
    <t>JuniorDS</t>
  </si>
  <si>
    <t>PublicDS</t>
  </si>
  <si>
    <t>TotalDS</t>
  </si>
  <si>
    <t>DSCR</t>
  </si>
  <si>
    <t>CashAfterDebt</t>
  </si>
  <si>
    <t>Option</t>
  </si>
  <si>
    <t>ConcessionalDS</t>
  </si>
  <si>
    <t>Sales (Revenue)</t>
  </si>
  <si>
    <t>Cost of sales (O&amp;M)</t>
  </si>
  <si>
    <t>Gross margin</t>
  </si>
  <si>
    <t>Wages &amp; Salaries</t>
  </si>
  <si>
    <t>Sales and marketing</t>
  </si>
  <si>
    <t>Administration expenses</t>
  </si>
  <si>
    <t>Operating expenses (total)</t>
  </si>
  <si>
    <t>Depreciation</t>
  </si>
  <si>
    <t>Operating income</t>
  </si>
  <si>
    <t>Interest on loans (total debt service)</t>
  </si>
  <si>
    <t>Net profit before tax</t>
  </si>
  <si>
    <t>Senior debt service (commercial)</t>
  </si>
  <si>
    <t>Concessional debt service</t>
  </si>
  <si>
    <t>CAPEX (total)</t>
  </si>
  <si>
    <t>Concessional amount (principal)</t>
  </si>
  <si>
    <t>Commercial amount (principal)</t>
  </si>
  <si>
    <t>Equity amount (sponsor)</t>
  </si>
  <si>
    <t>Grant amount</t>
  </si>
  <si>
    <t>Project MW</t>
  </si>
  <si>
    <t>CAPEX per kW USD</t>
  </si>
  <si>
    <t>OPEX per kW per year USD</t>
  </si>
  <si>
    <t>Capacity Factor</t>
  </si>
  <si>
    <t>Hours per year</t>
  </si>
  <si>
    <t>Tariff USD per MWh</t>
  </si>
  <si>
    <t>Senior rate base</t>
  </si>
  <si>
    <t>Senior tenor years</t>
  </si>
  <si>
    <t>Junior rate base</t>
  </si>
  <si>
    <t>Junior tenor years</t>
  </si>
  <si>
    <t>Public rate base</t>
  </si>
  <si>
    <t>Public tenor years</t>
  </si>
  <si>
    <t>Project CAPEX total USD</t>
  </si>
  <si>
    <t>Wages USD per year</t>
  </si>
  <si>
    <t>Other OpEx USD per year</t>
  </si>
  <si>
    <t>Depreciation USD per year</t>
  </si>
  <si>
    <t>concess pct</t>
  </si>
  <si>
    <t>grant pct</t>
  </si>
  <si>
    <t>comm pct</t>
  </si>
  <si>
    <t>equity pct</t>
  </si>
  <si>
    <t>a typical blended structure where concessional debt provides a modest concessional layer (20%), commercial lenders fund a majority of debt (50%), and sponsor equity covers the rest (30). This mirrors many MDB-blended project templates</t>
  </si>
  <si>
    <t>shows a grant-heavy scenario - grant replaces a chunk of CAPEX so debt burden drops; used to illustrate best-case DSCR with donor support</t>
  </si>
  <si>
    <t>mixes grant + concessional + commercial; 15% concessional echoes anchor-first-loss examples (e.g., Pentagreen anchor ~15%), and 15% grant shows some donor support - this gives a resilient but complex stack</t>
  </si>
  <si>
    <t>Option 2:
(30 grant / 50 commercial / 20 equity)</t>
  </si>
  <si>
    <r>
      <t>Option 1:
(20/50/30)</t>
    </r>
    <r>
      <rPr>
        <sz val="10"/>
        <color theme="1"/>
        <rFont val="Times New Roman"/>
        <family val="1"/>
      </rPr>
      <t xml:space="preserve"> </t>
    </r>
  </si>
  <si>
    <t>Option 3:
(15/15/40/30)</t>
  </si>
  <si>
    <t>Sales Marketing USD per year</t>
  </si>
  <si>
    <t>Admin Expenses USD per year</t>
  </si>
  <si>
    <t>Public Concessional</t>
  </si>
  <si>
    <t>Junior Debt</t>
  </si>
  <si>
    <t>Senior Debt</t>
  </si>
  <si>
    <t>Assumptions</t>
  </si>
  <si>
    <t>Concessional USD</t>
  </si>
  <si>
    <t>Grant USD</t>
  </si>
  <si>
    <t>Commercial USD</t>
  </si>
  <si>
    <t>Equity USD</t>
  </si>
  <si>
    <t>SeniorRate adj</t>
  </si>
  <si>
    <t>Cash After Debt</t>
  </si>
  <si>
    <t>CAPEX adj</t>
  </si>
  <si>
    <t>Revenue adj</t>
  </si>
  <si>
    <t>OPEX adj</t>
  </si>
  <si>
    <t>EBITDA adj</t>
  </si>
  <si>
    <t>SeniorDebt base</t>
  </si>
  <si>
    <t>JuniorDebt base</t>
  </si>
  <si>
    <t>PublicConcessional base</t>
  </si>
  <si>
    <t>SeniorDebt adj</t>
  </si>
  <si>
    <t>JuniorDebt adj</t>
  </si>
  <si>
    <t>PublicConcessional adj</t>
  </si>
  <si>
    <t>SeniorRate base</t>
  </si>
  <si>
    <t>Equity base</t>
  </si>
  <si>
    <t>Equity adj</t>
  </si>
  <si>
    <t>TariffMult = 0.9 (−10%)</t>
  </si>
  <si>
    <t>SeniorRateAdd = +0.02 (+200 bps)</t>
  </si>
  <si>
    <t>CAPEXMult = 1.2 (+20%)</t>
  </si>
  <si>
    <t>Assumption</t>
  </si>
  <si>
    <t>Source</t>
  </si>
  <si>
    <t>ConcessionalMult = 0.5 (50%)</t>
  </si>
  <si>
    <t>A 10% drop in realized revenue (lower tariff or generation) is a typical downside stress used in PF models to test price/revenue risk. It’s big enough to show sensitivity but not extreme; many lenders request a tariff stress of 5–15% in their credit memos</t>
  </si>
  <si>
    <t>Interest-rate shocks are often modeled as +100–300 bps to capture market repricing or tightening. +200 bps is a common “stressed cost of debt” scenario to test debt-service resilience</t>
  </si>
  <si>
    <t>20% cost overrun is a standard construction/contingency stress. It reflects realistic EPC risk and supply-chain inflation that projects experience</t>
  </si>
  <si>
    <t xml:space="preserve"> Half of originally-expected concessional support (grants/subsidized loans/junior tranche) is not available. To demonstrates how crucial concessional layers are for bankability</t>
  </si>
  <si>
    <t>Project definition (scaling assumption for analysis)</t>
  </si>
  <si>
    <t>10 MW is a common reference size in SEA renewable projects, easy for comparison.</t>
  </si>
  <si>
    <t>IRENA Renewable Power Generation Costs 2021 (Solar PV CAPEX, SEA avg)</t>
  </si>
  <si>
    <t>Provides realistic benchmark for SEA utility-scale solar; aligns with 2020–2022 data.</t>
  </si>
  <si>
    <t>IRENA REmap/O&amp;M benchmark database</t>
  </si>
  <si>
    <t>Typical fixed O&amp;M costs for solar PV in SEA; widely used in feasibility models.</t>
  </si>
  <si>
    <t>IRENA/ASEAN Renewable Energy statistics</t>
  </si>
  <si>
    <t>16% CF is realistic for SEA solar (moderate irradiance vs. MENA/India).</t>
  </si>
  <si>
    <t>Standard calendar assumption</t>
  </si>
  <si>
    <t>Always 365×24, used globally in generation modeling.</t>
  </si>
  <si>
    <t>BloombergNEF / Climatescope 2021 SEA tariffs</t>
  </si>
  <si>
    <t>Reflects regional PPA tariffs for renewables (Indonesia/Vietnam range).</t>
  </si>
  <si>
    <t>World Bank Enterprise Survey lending rate data (Indonesia ~9%)</t>
  </si>
  <si>
    <t>Reflects commercial loan rates in SEA for infrastructure lending.</t>
  </si>
  <si>
    <t>Typical PF structure / World Bank/ADB lending tenor</t>
  </si>
  <si>
    <t>12 years is a standard tenor acceptable for renewables in SEA.</t>
  </si>
  <si>
    <t>MDB concessional finance averages (e.g., GCF/ADB blends)</t>
  </si>
  <si>
    <t>Reflects below-market rates typically offered by MDBs for climate finance.</t>
  </si>
  <si>
    <t>Concessional loan docs (ADB/GCF examples)</t>
  </si>
  <si>
    <t>Tenors often matched to senior loans for blended tranches.</t>
  </si>
  <si>
    <t>Public concessional funds (e.g., SDG Indonesia One anchor facilities)</t>
  </si>
  <si>
    <t>Illustrates deep concessional support seen in SDG One, GAIA junior tranches.</t>
  </si>
  <si>
    <t>Long-tenor concessional loans (Green Climate Fund, KfW, JICA)</t>
  </si>
  <si>
    <t>Donor-backed concessional loans often run longer to improve affordability.</t>
  </si>
  <si>
    <t>Derived: CAPEX per kW × MW × 1000</t>
  </si>
  <si>
    <t>Benchmark total CAPEX for a 10 MW SEA solar project.</t>
  </si>
  <si>
    <t>Industry rule-of-thumb, IRENA jobs/O&amp;M survey</t>
  </si>
  <si>
    <t>Reflects local staffing costs for small plant operation in SEA.</t>
  </si>
  <si>
    <t>Internal project allocation / SG&amp;A benchmarks</t>
  </si>
  <si>
    <t>Conservative placeholder for marketing/admin overhead.</t>
  </si>
  <si>
    <t>Reflects small project-level G&amp;A.</t>
  </si>
  <si>
    <t>Benchmark from regional PF models (misc. expenses, insurance, land)</t>
  </si>
  <si>
    <t>Covers insurances, permits, land lease common in SEA projects.</t>
  </si>
  <si>
    <t>Not included in cashflow model (focus on CFADS/DSCR)</t>
  </si>
  <si>
    <t>Depreciation is non-cash; excluded for sensitivity analysis.</t>
  </si>
  <si>
    <t>Rationale</t>
  </si>
  <si>
    <t>Total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</si>
</sst>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left" vertical="center" indent="1"/>
    </xf>
    <xf numFmtId="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4" fontId="2" fillId="9" borderId="0" xfId="0" applyNumberFormat="1" applyFont="1" applyFill="1" applyAlignment="1">
      <alignment horizontal="center" vertical="center"/>
    </xf>
    <xf numFmtId="4" fontId="2" fillId="9" borderId="0" xfId="0" applyNumberFormat="1" applyFont="1" applyFill="1" applyAlignment="1">
      <alignment horizontal="left" vertical="center" wrapText="1"/>
    </xf>
    <xf numFmtId="0" fontId="2" fillId="9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showGridLines="0" workbookViewId="0">
      <selection activeCell="D9" sqref="D9"/>
    </sheetView>
  </sheetViews>
  <sheetFormatPr defaultRowHeight="14.4" x14ac:dyDescent="0.3"/>
  <cols>
    <col min="1" max="1" width="17.88671875" style="1" customWidth="1"/>
    <col min="2" max="2" width="17.88671875" customWidth="1"/>
    <col min="3" max="15" width="16.6640625" customWidth="1"/>
  </cols>
  <sheetData>
    <row r="1" spans="1:1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89</v>
      </c>
      <c r="G1" s="1" t="s">
        <v>88</v>
      </c>
      <c r="H1" s="1" t="s">
        <v>87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3">
      <c r="A2" s="1" t="s">
        <v>17</v>
      </c>
      <c r="B2" s="13">
        <v>8570000</v>
      </c>
      <c r="C2" s="13">
        <v>1071803.52</v>
      </c>
      <c r="D2" s="13">
        <v>131000</v>
      </c>
      <c r="E2" s="13">
        <v>940803.52</v>
      </c>
      <c r="F2" s="13">
        <v>2999500</v>
      </c>
      <c r="G2" s="13">
        <v>0</v>
      </c>
      <c r="H2" s="13">
        <v>4285000</v>
      </c>
      <c r="I2" s="13">
        <v>1285500</v>
      </c>
      <c r="J2" s="13">
        <v>8.7956999999999994E-2</v>
      </c>
      <c r="K2" s="13">
        <v>0.05</v>
      </c>
      <c r="L2" s="13">
        <v>0.02</v>
      </c>
      <c r="M2" s="13">
        <v>12</v>
      </c>
      <c r="N2" s="13">
        <v>12</v>
      </c>
      <c r="O2" s="13">
        <v>12</v>
      </c>
    </row>
    <row r="3" spans="1:15" hidden="1" x14ac:dyDescent="0.3">
      <c r="A3" s="1" t="s">
        <v>18</v>
      </c>
      <c r="B3" s="13">
        <v>8570000</v>
      </c>
      <c r="C3" s="13">
        <v>1071803.52</v>
      </c>
      <c r="D3" s="13">
        <v>131000</v>
      </c>
      <c r="E3" s="13">
        <v>940803.52</v>
      </c>
      <c r="F3" s="13">
        <v>1499750</v>
      </c>
      <c r="G3" s="13">
        <v>0</v>
      </c>
      <c r="H3" s="13">
        <v>0</v>
      </c>
      <c r="I3" s="13">
        <v>7070250</v>
      </c>
      <c r="J3" s="13">
        <v>8.7956999999999994E-2</v>
      </c>
      <c r="K3" s="13">
        <v>0.05</v>
      </c>
      <c r="L3" s="13">
        <v>0.02</v>
      </c>
      <c r="M3" s="13">
        <v>12</v>
      </c>
      <c r="N3" s="13">
        <v>12</v>
      </c>
      <c r="O3" s="13">
        <v>12</v>
      </c>
    </row>
    <row r="4" spans="1:15" x14ac:dyDescent="0.3">
      <c r="A4" s="1" t="s">
        <v>19</v>
      </c>
      <c r="B4" s="13">
        <v>8570000</v>
      </c>
      <c r="C4" s="13">
        <v>1071803.52</v>
      </c>
      <c r="D4" s="13">
        <v>131000</v>
      </c>
      <c r="E4" s="13">
        <v>940803.52</v>
      </c>
      <c r="F4" s="13">
        <v>2279700</v>
      </c>
      <c r="G4" s="13">
        <v>6290300</v>
      </c>
      <c r="H4" s="13">
        <v>0</v>
      </c>
      <c r="I4" s="13">
        <v>0</v>
      </c>
      <c r="J4" s="13">
        <v>8.7956999999999994E-2</v>
      </c>
      <c r="K4" s="13">
        <v>0.05</v>
      </c>
      <c r="L4" s="13">
        <v>0.02</v>
      </c>
      <c r="M4" s="13">
        <v>12</v>
      </c>
      <c r="N4" s="13">
        <v>12</v>
      </c>
      <c r="O4" s="13">
        <v>12</v>
      </c>
    </row>
    <row r="5" spans="1:15" x14ac:dyDescent="0.3">
      <c r="A5" s="1" t="s">
        <v>20</v>
      </c>
      <c r="B5" s="13">
        <v>8570000</v>
      </c>
      <c r="C5" s="13">
        <v>1071803.52</v>
      </c>
      <c r="D5" s="13">
        <v>131000</v>
      </c>
      <c r="E5" s="13">
        <v>940803.52</v>
      </c>
      <c r="F5" s="13">
        <v>5099150</v>
      </c>
      <c r="G5" s="13">
        <v>0</v>
      </c>
      <c r="H5" s="13">
        <v>1285500</v>
      </c>
      <c r="I5" s="13">
        <v>2185350</v>
      </c>
      <c r="J5" s="13">
        <v>8.7956999999999994E-2</v>
      </c>
      <c r="K5" s="13">
        <v>0.05</v>
      </c>
      <c r="L5" s="13">
        <v>0.02</v>
      </c>
      <c r="M5" s="13">
        <v>12</v>
      </c>
      <c r="N5" s="13">
        <v>12</v>
      </c>
      <c r="O5" s="13">
        <v>12</v>
      </c>
    </row>
    <row r="6" spans="1:15" x14ac:dyDescent="0.3">
      <c r="A6" s="1" t="s">
        <v>21</v>
      </c>
      <c r="B6" s="13">
        <v>8570000</v>
      </c>
      <c r="C6" s="13">
        <v>1071803.52</v>
      </c>
      <c r="D6" s="13">
        <v>131000</v>
      </c>
      <c r="E6" s="13">
        <v>940803.52</v>
      </c>
      <c r="F6" s="13">
        <v>6770300</v>
      </c>
      <c r="G6" s="13">
        <v>1799700</v>
      </c>
      <c r="H6" s="13">
        <v>0</v>
      </c>
      <c r="I6" s="13">
        <v>0</v>
      </c>
      <c r="J6" s="13">
        <v>8.7956999999999994E-2</v>
      </c>
      <c r="K6" s="13">
        <v>0.05</v>
      </c>
      <c r="L6" s="13">
        <v>0.02</v>
      </c>
      <c r="M6" s="13">
        <v>12</v>
      </c>
      <c r="N6" s="13">
        <v>12</v>
      </c>
      <c r="O6" s="13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6"/>
  <sheetViews>
    <sheetView showGridLines="0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A26" sqref="A22:XFD26"/>
    </sheetView>
  </sheetViews>
  <sheetFormatPr defaultRowHeight="13.2" outlineLevelRow="1" outlineLevelCol="1" x14ac:dyDescent="0.25"/>
  <cols>
    <col min="1" max="1" width="9.6640625" style="4" customWidth="1"/>
    <col min="2" max="2" width="22.21875" style="4" customWidth="1"/>
    <col min="3" max="19" width="18.6640625" style="4" hidden="1" customWidth="1" outlineLevel="1"/>
    <col min="20" max="20" width="18.6640625" style="4" customWidth="1" collapsed="1"/>
    <col min="21" max="21" width="18.6640625" style="4" hidden="1" customWidth="1" outlineLevel="1"/>
    <col min="22" max="22" width="18.6640625" style="4" customWidth="1" collapsed="1"/>
    <col min="23" max="23" width="18.6640625" style="4" customWidth="1"/>
    <col min="24" max="16384" width="8.88671875" style="4"/>
  </cols>
  <sheetData>
    <row r="1" spans="1:23" x14ac:dyDescent="0.25">
      <c r="A1" s="11" t="s">
        <v>31</v>
      </c>
      <c r="B1" s="11" t="s">
        <v>90</v>
      </c>
      <c r="C1" s="11" t="s">
        <v>97</v>
      </c>
      <c r="D1" s="11" t="s">
        <v>98</v>
      </c>
      <c r="E1" s="11" t="s">
        <v>99</v>
      </c>
      <c r="F1" s="11" t="s">
        <v>100</v>
      </c>
      <c r="G1" s="11" t="s">
        <v>101</v>
      </c>
      <c r="H1" s="11" t="s">
        <v>102</v>
      </c>
      <c r="I1" s="11" t="s">
        <v>103</v>
      </c>
      <c r="J1" s="11" t="s">
        <v>32</v>
      </c>
      <c r="K1" s="11" t="s">
        <v>104</v>
      </c>
      <c r="L1" s="11" t="s">
        <v>105</v>
      </c>
      <c r="M1" s="11" t="s">
        <v>106</v>
      </c>
      <c r="N1" s="11" t="s">
        <v>107</v>
      </c>
      <c r="O1" s="11" t="s">
        <v>95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108</v>
      </c>
      <c r="W1" s="11" t="s">
        <v>109</v>
      </c>
    </row>
    <row r="2" spans="1:23" x14ac:dyDescent="0.25">
      <c r="A2" s="18" t="str">
        <f>'Cases Data'!A2</f>
        <v>Case 1</v>
      </c>
      <c r="B2" s="4" t="str">
        <f>Scenarios!A2</f>
        <v>Baseline</v>
      </c>
      <c r="C2" s="17">
        <f>'Cases Data'!B2 * Scenarios!D2</f>
        <v>8570000</v>
      </c>
      <c r="D2" s="17">
        <f>'Cases Data'!C2 * Scenarios!B2 * Scenarios!D2</f>
        <v>1071803.52</v>
      </c>
      <c r="E2" s="17">
        <f>'Cases Data'!D2 * Scenarios!D2</f>
        <v>131000</v>
      </c>
      <c r="F2" s="17">
        <f t="shared" ref="F2:F26" si="0">D2 - E2</f>
        <v>940803.52</v>
      </c>
      <c r="G2" s="17">
        <f>'Cases Data'!F2</f>
        <v>2999500</v>
      </c>
      <c r="H2" s="17">
        <f>'Cases Data'!G2</f>
        <v>0</v>
      </c>
      <c r="I2" s="17">
        <f>'Cases Data'!H2</f>
        <v>4285000</v>
      </c>
      <c r="J2" s="17">
        <f>(I2 + H2) * (1 - Scenarios!E2)</f>
        <v>0</v>
      </c>
      <c r="K2" s="17">
        <f>G2 * Scenarios!D2 + 0.7 * J2</f>
        <v>2999500</v>
      </c>
      <c r="L2" s="17">
        <f>H2 * Scenarios!E2</f>
        <v>0</v>
      </c>
      <c r="M2" s="17">
        <f>I2 * Scenarios!E2</f>
        <v>4285000</v>
      </c>
      <c r="N2" s="17">
        <f>'Cases Data'!J2</f>
        <v>8.7956999999999994E-2</v>
      </c>
      <c r="O2" s="17">
        <f>N2 + Scenarios!C2</f>
        <v>8.7956999999999994E-2</v>
      </c>
      <c r="P2" s="17">
        <f ca="1">IF(K2&gt;0, PMT(INDIRECT(ADDRESS(ROW(),15)), 'Cases Data'!M2, -K2), 0)</f>
        <v>414580.91421637888</v>
      </c>
      <c r="Q2" s="17">
        <f>IF(L2&gt;0, PMT('Cases Data'!K2, 'Cases Data'!N2, -L2), 0)</f>
        <v>0</v>
      </c>
      <c r="R2" s="17">
        <f>IF(M2&gt;0, PMT('Cases Data'!L2, 'Cases Data'!O2, -M2), 0)</f>
        <v>405187.87152934709</v>
      </c>
      <c r="S2" s="17">
        <f t="shared" ref="S2:S26" ca="1" si="1">P2 + Q2 + R2</f>
        <v>819768.78574572597</v>
      </c>
      <c r="T2" s="5">
        <f t="shared" ref="T2:T26" ca="1" si="2">IF(S2&gt;0, F2 / S2, NA())</f>
        <v>1.147644965701117</v>
      </c>
      <c r="U2" s="17">
        <f>'Cases Data'!I2</f>
        <v>1285500</v>
      </c>
      <c r="V2" s="17">
        <f t="shared" ref="V2:V26" ca="1" si="3">F2 - S2</f>
        <v>121034.73425427405</v>
      </c>
      <c r="W2" s="17">
        <f>U2 * Scenarios!D2 + 0.3 * J2</f>
        <v>1285500</v>
      </c>
    </row>
    <row r="3" spans="1:23" x14ac:dyDescent="0.25">
      <c r="A3" s="18" t="str">
        <f>'Cases Data'!A2</f>
        <v>Case 1</v>
      </c>
      <c r="B3" s="4" t="str">
        <f>Scenarios!A3</f>
        <v>Tariff -10%</v>
      </c>
      <c r="C3" s="17">
        <f>'Cases Data'!B2 * Scenarios!D3</f>
        <v>8570000</v>
      </c>
      <c r="D3" s="17">
        <f>'Cases Data'!C2 * Scenarios!B3 * Scenarios!D3</f>
        <v>964623.16800000006</v>
      </c>
      <c r="E3" s="17">
        <f>'Cases Data'!D2 * Scenarios!D3</f>
        <v>131000</v>
      </c>
      <c r="F3" s="17">
        <f t="shared" si="0"/>
        <v>833623.16800000006</v>
      </c>
      <c r="G3" s="17">
        <f>'Cases Data'!F2</f>
        <v>2999500</v>
      </c>
      <c r="H3" s="17">
        <f>'Cases Data'!G2</f>
        <v>0</v>
      </c>
      <c r="I3" s="17">
        <f>'Cases Data'!H2</f>
        <v>4285000</v>
      </c>
      <c r="J3" s="17">
        <f>(I3 + H3) * (1 - Scenarios!E3)</f>
        <v>0</v>
      </c>
      <c r="K3" s="17">
        <f>G3 * Scenarios!D3 + 0.7 * J3</f>
        <v>2999500</v>
      </c>
      <c r="L3" s="17">
        <f>H3 * Scenarios!E3</f>
        <v>0</v>
      </c>
      <c r="M3" s="17">
        <f>I3 * Scenarios!E3</f>
        <v>4285000</v>
      </c>
      <c r="N3" s="17">
        <f>'Cases Data'!J2</f>
        <v>8.7956999999999994E-2</v>
      </c>
      <c r="O3" s="17">
        <f>N3 + Scenarios!C3</f>
        <v>8.7956999999999994E-2</v>
      </c>
      <c r="P3" s="17">
        <f ca="1">IF(K3&gt;0, PMT(INDIRECT(ADDRESS(ROW(),15)), 'Cases Data'!M2, -K3), 0)</f>
        <v>414580.91421637888</v>
      </c>
      <c r="Q3" s="17">
        <f>IF(L3&gt;0, PMT('Cases Data'!K2, 'Cases Data'!N2, -L3), 0)</f>
        <v>0</v>
      </c>
      <c r="R3" s="17">
        <f>IF(M3&gt;0, PMT('Cases Data'!L2, 'Cases Data'!O2, -M3), 0)</f>
        <v>405187.87152934709</v>
      </c>
      <c r="S3" s="17">
        <f t="shared" ca="1" si="1"/>
        <v>819768.78574572597</v>
      </c>
      <c r="T3" s="5">
        <f t="shared" ca="1" si="2"/>
        <v>1.0169003534840266</v>
      </c>
      <c r="U3" s="17">
        <f>'Cases Data'!I2</f>
        <v>1285500</v>
      </c>
      <c r="V3" s="17">
        <f t="shared" ca="1" si="3"/>
        <v>13854.382254274096</v>
      </c>
      <c r="W3" s="17">
        <f>U3 * Scenarios!D3 + 0.3 * J3</f>
        <v>1285500</v>
      </c>
    </row>
    <row r="4" spans="1:23" x14ac:dyDescent="0.25">
      <c r="A4" s="18" t="str">
        <f>'Cases Data'!A2</f>
        <v>Case 1</v>
      </c>
      <c r="B4" s="4" t="str">
        <f>Scenarios!A4</f>
        <v>Senior +200bps</v>
      </c>
      <c r="C4" s="17">
        <f>'Cases Data'!B2 * Scenarios!D4</f>
        <v>8570000</v>
      </c>
      <c r="D4" s="17">
        <f>'Cases Data'!C2 * Scenarios!B4 * Scenarios!D4</f>
        <v>1071803.52</v>
      </c>
      <c r="E4" s="17">
        <f>'Cases Data'!D2 * Scenarios!D4</f>
        <v>131000</v>
      </c>
      <c r="F4" s="17">
        <f t="shared" si="0"/>
        <v>940803.52</v>
      </c>
      <c r="G4" s="17">
        <f>'Cases Data'!F2</f>
        <v>2999500</v>
      </c>
      <c r="H4" s="17">
        <f>'Cases Data'!G2</f>
        <v>0</v>
      </c>
      <c r="I4" s="17">
        <f>'Cases Data'!H2</f>
        <v>4285000</v>
      </c>
      <c r="J4" s="17">
        <f>(I4 + H4) * (1 - Scenarios!E4)</f>
        <v>0</v>
      </c>
      <c r="K4" s="17">
        <f>G4 * Scenarios!D4 + 0.7 * J4</f>
        <v>2999500</v>
      </c>
      <c r="L4" s="17">
        <f>H4 * Scenarios!E4</f>
        <v>0</v>
      </c>
      <c r="M4" s="17">
        <f>I4 * Scenarios!E4</f>
        <v>4285000</v>
      </c>
      <c r="N4" s="17">
        <f>'Cases Data'!J2</f>
        <v>8.7956999999999994E-2</v>
      </c>
      <c r="O4" s="17">
        <f>N4 + Scenarios!C4</f>
        <v>0.107957</v>
      </c>
      <c r="P4" s="17">
        <f ca="1">IF(K4&gt;0, PMT(INDIRECT(ADDRESS(ROW(),15)), 'Cases Data'!M2, -K4), 0)</f>
        <v>457517.44813597709</v>
      </c>
      <c r="Q4" s="17">
        <f>IF(L4&gt;0, PMT('Cases Data'!K2, 'Cases Data'!N2, -L4), 0)</f>
        <v>0</v>
      </c>
      <c r="R4" s="17">
        <f>IF(M4&gt;0, PMT('Cases Data'!L2, 'Cases Data'!O2, -M4), 0)</f>
        <v>405187.87152934709</v>
      </c>
      <c r="S4" s="17">
        <f t="shared" ca="1" si="1"/>
        <v>862705.31966532418</v>
      </c>
      <c r="T4" s="5">
        <f t="shared" ca="1" si="2"/>
        <v>1.0905270879342359</v>
      </c>
      <c r="U4" s="17">
        <f>'Cases Data'!I2</f>
        <v>1285500</v>
      </c>
      <c r="V4" s="17">
        <f t="shared" ca="1" si="3"/>
        <v>78098.200334675843</v>
      </c>
      <c r="W4" s="17">
        <f>U4 * Scenarios!D4 + 0.3 * J4</f>
        <v>1285500</v>
      </c>
    </row>
    <row r="5" spans="1:23" x14ac:dyDescent="0.25">
      <c r="A5" s="18" t="str">
        <f>'Cases Data'!A2</f>
        <v>Case 1</v>
      </c>
      <c r="B5" s="4" t="str">
        <f>Scenarios!A5</f>
        <v>CAPEX +20%</v>
      </c>
      <c r="C5" s="17">
        <f>'Cases Data'!B2 * Scenarios!D5</f>
        <v>10284000</v>
      </c>
      <c r="D5" s="17">
        <f>'Cases Data'!C2 * Scenarios!B5 * Scenarios!D5</f>
        <v>1286164.2239999999</v>
      </c>
      <c r="E5" s="17">
        <f>'Cases Data'!D2 * Scenarios!D5</f>
        <v>157200</v>
      </c>
      <c r="F5" s="17">
        <f t="shared" si="0"/>
        <v>1128964.2239999999</v>
      </c>
      <c r="G5" s="17">
        <f>'Cases Data'!F2</f>
        <v>2999500</v>
      </c>
      <c r="H5" s="17">
        <f>'Cases Data'!G2</f>
        <v>0</v>
      </c>
      <c r="I5" s="17">
        <f>'Cases Data'!H2</f>
        <v>4285000</v>
      </c>
      <c r="J5" s="17">
        <f>(I5 + H5) * (1 - Scenarios!E5)</f>
        <v>0</v>
      </c>
      <c r="K5" s="17">
        <f>G5 * Scenarios!D5 + 0.7 * J5</f>
        <v>3599400</v>
      </c>
      <c r="L5" s="17">
        <f>H5 * Scenarios!E5</f>
        <v>0</v>
      </c>
      <c r="M5" s="17">
        <f>I5 * Scenarios!E5</f>
        <v>4285000</v>
      </c>
      <c r="N5" s="17">
        <f>'Cases Data'!J2</f>
        <v>8.7956999999999994E-2</v>
      </c>
      <c r="O5" s="17">
        <f>N5 + Scenarios!C5</f>
        <v>8.7956999999999994E-2</v>
      </c>
      <c r="P5" s="17">
        <f ca="1">IF(K5&gt;0, PMT(INDIRECT(ADDRESS(ROW(),15)), 'Cases Data'!M2, -K5), 0)</f>
        <v>497497.0970596546</v>
      </c>
      <c r="Q5" s="17">
        <f>IF(L5&gt;0, PMT('Cases Data'!K2, 'Cases Data'!N2, -L5), 0)</f>
        <v>0</v>
      </c>
      <c r="R5" s="17">
        <f>IF(M5&gt;0, PMT('Cases Data'!L2, 'Cases Data'!O2, -M5), 0)</f>
        <v>405187.87152934709</v>
      </c>
      <c r="S5" s="17">
        <f t="shared" ca="1" si="1"/>
        <v>902684.96858900168</v>
      </c>
      <c r="T5" s="5">
        <f t="shared" ca="1" si="2"/>
        <v>1.2506735608599955</v>
      </c>
      <c r="U5" s="17">
        <f>'Cases Data'!I2</f>
        <v>1285500</v>
      </c>
      <c r="V5" s="17">
        <f t="shared" ca="1" si="3"/>
        <v>226279.25541099824</v>
      </c>
      <c r="W5" s="17">
        <f>U5 * Scenarios!D5 + 0.3 * J5</f>
        <v>1542600</v>
      </c>
    </row>
    <row r="6" spans="1:23" x14ac:dyDescent="0.25">
      <c r="A6" s="18" t="str">
        <f>'Cases Data'!A2</f>
        <v>Case 1</v>
      </c>
      <c r="B6" s="4" t="str">
        <f>Scenarios!A6</f>
        <v>Concessional -50%</v>
      </c>
      <c r="C6" s="17">
        <f>'Cases Data'!B2 * Scenarios!D6</f>
        <v>8570000</v>
      </c>
      <c r="D6" s="17">
        <f>'Cases Data'!C2 * Scenarios!B6 * Scenarios!D6</f>
        <v>1071803.52</v>
      </c>
      <c r="E6" s="17">
        <f>'Cases Data'!D2 * Scenarios!D6</f>
        <v>131000</v>
      </c>
      <c r="F6" s="17">
        <f t="shared" si="0"/>
        <v>940803.52</v>
      </c>
      <c r="G6" s="17">
        <f>'Cases Data'!F2</f>
        <v>2999500</v>
      </c>
      <c r="H6" s="17">
        <f>'Cases Data'!G2</f>
        <v>0</v>
      </c>
      <c r="I6" s="17">
        <f>'Cases Data'!H2</f>
        <v>4285000</v>
      </c>
      <c r="J6" s="17">
        <f>(I6 + H6) * (1 - Scenarios!E6)</f>
        <v>2142500</v>
      </c>
      <c r="K6" s="17">
        <f>G6 * Scenarios!D6 + 0.7 * J6</f>
        <v>4499250</v>
      </c>
      <c r="L6" s="17">
        <f>H6 * Scenarios!E6</f>
        <v>0</v>
      </c>
      <c r="M6" s="17">
        <f>I6 * Scenarios!E6</f>
        <v>2142500</v>
      </c>
      <c r="N6" s="17">
        <f>'Cases Data'!J2</f>
        <v>8.7956999999999994E-2</v>
      </c>
      <c r="O6" s="17">
        <f>N6 + Scenarios!C6</f>
        <v>8.7956999999999994E-2</v>
      </c>
      <c r="P6" s="17">
        <f ca="1">IF(K6&gt;0, PMT(INDIRECT(ADDRESS(ROW(),15)), 'Cases Data'!M2, -K6), 0)</f>
        <v>621871.37132456829</v>
      </c>
      <c r="Q6" s="17">
        <f>IF(L6&gt;0, PMT('Cases Data'!K2, 'Cases Data'!N2, -L6), 0)</f>
        <v>0</v>
      </c>
      <c r="R6" s="17">
        <f>IF(M6&gt;0, PMT('Cases Data'!L2, 'Cases Data'!O2, -M6), 0)</f>
        <v>202593.93576467354</v>
      </c>
      <c r="S6" s="17">
        <f t="shared" ca="1" si="1"/>
        <v>824465.3070892418</v>
      </c>
      <c r="T6" s="5">
        <f t="shared" ca="1" si="2"/>
        <v>1.1411074691808294</v>
      </c>
      <c r="U6" s="17">
        <f>'Cases Data'!I2</f>
        <v>1285500</v>
      </c>
      <c r="V6" s="17">
        <f t="shared" ca="1" si="3"/>
        <v>116338.21291075822</v>
      </c>
      <c r="W6" s="17">
        <f>U6 * Scenarios!D6 + 0.3 * J6</f>
        <v>1928250</v>
      </c>
    </row>
    <row r="7" spans="1:23" hidden="1" outlineLevel="1" x14ac:dyDescent="0.25">
      <c r="A7" s="4" t="str">
        <f>'Cases Data'!A3</f>
        <v>Case 2</v>
      </c>
      <c r="B7" s="4" t="str">
        <f>Scenarios!A2</f>
        <v>Baseline</v>
      </c>
      <c r="C7" s="17">
        <f>'Cases Data'!B3 * Scenarios!D2</f>
        <v>8570000</v>
      </c>
      <c r="D7" s="17">
        <f>'Cases Data'!C3 * Scenarios!B2 * Scenarios!D2</f>
        <v>1071803.52</v>
      </c>
      <c r="E7" s="17">
        <f>'Cases Data'!D3 * Scenarios!D2</f>
        <v>131000</v>
      </c>
      <c r="F7" s="17">
        <f t="shared" si="0"/>
        <v>940803.52</v>
      </c>
      <c r="G7" s="17">
        <f>'Cases Data'!F3</f>
        <v>1499750</v>
      </c>
      <c r="H7" s="17">
        <f>'Cases Data'!G3</f>
        <v>0</v>
      </c>
      <c r="I7" s="17">
        <f>'Cases Data'!H3</f>
        <v>0</v>
      </c>
      <c r="J7" s="17">
        <f>(I7 + H7) * (1 - Scenarios!E2)</f>
        <v>0</v>
      </c>
      <c r="K7" s="17">
        <f>G7 * Scenarios!D2 + 0.7 * J7</f>
        <v>1499750</v>
      </c>
      <c r="L7" s="17">
        <f>H7 * Scenarios!E2</f>
        <v>0</v>
      </c>
      <c r="M7" s="17">
        <f>I7 * Scenarios!E2</f>
        <v>0</v>
      </c>
      <c r="N7" s="17">
        <f>'Cases Data'!J3</f>
        <v>8.7956999999999994E-2</v>
      </c>
      <c r="O7" s="17">
        <f>N7 + Scenarios!C2</f>
        <v>8.7956999999999994E-2</v>
      </c>
      <c r="P7" s="17">
        <f ca="1">IF(K7&gt;0, PMT(INDIRECT(ADDRESS(ROW(),15)), 'Cases Data'!M3, -K7), 0)</f>
        <v>207290.45710818944</v>
      </c>
      <c r="Q7" s="17">
        <f>IF(L7&gt;0, PMT('Cases Data'!K3, 'Cases Data'!N3, -L7), 0)</f>
        <v>0</v>
      </c>
      <c r="R7" s="17">
        <f>IF(M7&gt;0, PMT('Cases Data'!L3, 'Cases Data'!O3, -M7), 0)</f>
        <v>0</v>
      </c>
      <c r="S7" s="17">
        <f t="shared" ca="1" si="1"/>
        <v>207290.45710818944</v>
      </c>
      <c r="T7" s="5">
        <f t="shared" ca="1" si="2"/>
        <v>4.5385761270668334</v>
      </c>
      <c r="U7" s="17">
        <f>'Cases Data'!I3</f>
        <v>7070250</v>
      </c>
      <c r="V7" s="17">
        <f t="shared" ca="1" si="3"/>
        <v>733513.06289181055</v>
      </c>
      <c r="W7" s="17">
        <f>U7 * Scenarios!D2 + 0.3 * J7</f>
        <v>7070250</v>
      </c>
    </row>
    <row r="8" spans="1:23" hidden="1" outlineLevel="1" x14ac:dyDescent="0.25">
      <c r="A8" s="4" t="str">
        <f>'Cases Data'!A3</f>
        <v>Case 2</v>
      </c>
      <c r="B8" s="4" t="str">
        <f>Scenarios!A3</f>
        <v>Tariff -10%</v>
      </c>
      <c r="C8" s="17">
        <f>'Cases Data'!B3 * Scenarios!D3</f>
        <v>8570000</v>
      </c>
      <c r="D8" s="17">
        <f>'Cases Data'!C3 * Scenarios!B3 * Scenarios!D3</f>
        <v>964623.16800000006</v>
      </c>
      <c r="E8" s="17">
        <f>'Cases Data'!D3 * Scenarios!D3</f>
        <v>131000</v>
      </c>
      <c r="F8" s="17">
        <f t="shared" si="0"/>
        <v>833623.16800000006</v>
      </c>
      <c r="G8" s="17">
        <f>'Cases Data'!F3</f>
        <v>1499750</v>
      </c>
      <c r="H8" s="17">
        <f>'Cases Data'!G3</f>
        <v>0</v>
      </c>
      <c r="I8" s="17">
        <f>'Cases Data'!H3</f>
        <v>0</v>
      </c>
      <c r="J8" s="17">
        <f>(I8 + H8) * (1 - Scenarios!E3)</f>
        <v>0</v>
      </c>
      <c r="K8" s="17">
        <f>G8 * Scenarios!D3 + 0.7 * J8</f>
        <v>1499750</v>
      </c>
      <c r="L8" s="17">
        <f>H8 * Scenarios!E3</f>
        <v>0</v>
      </c>
      <c r="M8" s="17">
        <f>I8 * Scenarios!E3</f>
        <v>0</v>
      </c>
      <c r="N8" s="17">
        <f>'Cases Data'!J3</f>
        <v>8.7956999999999994E-2</v>
      </c>
      <c r="O8" s="17">
        <f>N8 + Scenarios!C3</f>
        <v>8.7956999999999994E-2</v>
      </c>
      <c r="P8" s="17">
        <f ca="1">IF(K8&gt;0, PMT(INDIRECT(ADDRESS(ROW(),15)), 'Cases Data'!M3, -K8), 0)</f>
        <v>207290.45710818944</v>
      </c>
      <c r="Q8" s="17">
        <f>IF(L8&gt;0, PMT('Cases Data'!K3, 'Cases Data'!N3, -L8), 0)</f>
        <v>0</v>
      </c>
      <c r="R8" s="17">
        <f>IF(M8&gt;0, PMT('Cases Data'!L3, 'Cases Data'!O3, -M8), 0)</f>
        <v>0</v>
      </c>
      <c r="S8" s="17">
        <f t="shared" ca="1" si="1"/>
        <v>207290.45710818944</v>
      </c>
      <c r="T8" s="5">
        <f t="shared" ca="1" si="2"/>
        <v>4.0215221657064211</v>
      </c>
      <c r="U8" s="17">
        <f>'Cases Data'!I3</f>
        <v>7070250</v>
      </c>
      <c r="V8" s="17">
        <f t="shared" ca="1" si="3"/>
        <v>626332.7108918106</v>
      </c>
      <c r="W8" s="17">
        <f>U8 * Scenarios!D3 + 0.3 * J8</f>
        <v>7070250</v>
      </c>
    </row>
    <row r="9" spans="1:23" hidden="1" outlineLevel="1" x14ac:dyDescent="0.25">
      <c r="A9" s="4" t="str">
        <f>'Cases Data'!A3</f>
        <v>Case 2</v>
      </c>
      <c r="B9" s="4" t="str">
        <f>Scenarios!A4</f>
        <v>Senior +200bps</v>
      </c>
      <c r="C9" s="17">
        <f>'Cases Data'!B3 * Scenarios!D4</f>
        <v>8570000</v>
      </c>
      <c r="D9" s="17">
        <f>'Cases Data'!C3 * Scenarios!B4 * Scenarios!D4</f>
        <v>1071803.52</v>
      </c>
      <c r="E9" s="17">
        <f>'Cases Data'!D3 * Scenarios!D4</f>
        <v>131000</v>
      </c>
      <c r="F9" s="17">
        <f t="shared" si="0"/>
        <v>940803.52</v>
      </c>
      <c r="G9" s="17">
        <f>'Cases Data'!F3</f>
        <v>1499750</v>
      </c>
      <c r="H9" s="17">
        <f>'Cases Data'!G3</f>
        <v>0</v>
      </c>
      <c r="I9" s="17">
        <f>'Cases Data'!H3</f>
        <v>0</v>
      </c>
      <c r="J9" s="17">
        <f>(I9 + H9) * (1 - Scenarios!E4)</f>
        <v>0</v>
      </c>
      <c r="K9" s="17">
        <f>G9 * Scenarios!D4 + 0.7 * J9</f>
        <v>1499750</v>
      </c>
      <c r="L9" s="17">
        <f>H9 * Scenarios!E4</f>
        <v>0</v>
      </c>
      <c r="M9" s="17">
        <f>I9 * Scenarios!E4</f>
        <v>0</v>
      </c>
      <c r="N9" s="17">
        <f>'Cases Data'!J3</f>
        <v>8.7956999999999994E-2</v>
      </c>
      <c r="O9" s="17">
        <f>N9 + Scenarios!C4</f>
        <v>0.107957</v>
      </c>
      <c r="P9" s="17">
        <f ca="1">IF(K9&gt;0, PMT(INDIRECT(ADDRESS(ROW(),15)), 'Cases Data'!M3, -K9), 0)</f>
        <v>228758.72406798854</v>
      </c>
      <c r="Q9" s="17">
        <f>IF(L9&gt;0, PMT('Cases Data'!K3, 'Cases Data'!N3, -L9), 0)</f>
        <v>0</v>
      </c>
      <c r="R9" s="17">
        <f>IF(M9&gt;0, PMT('Cases Data'!L3, 'Cases Data'!O3, -M9), 0)</f>
        <v>0</v>
      </c>
      <c r="S9" s="17">
        <f t="shared" ca="1" si="1"/>
        <v>228758.72406798854</v>
      </c>
      <c r="T9" s="5">
        <f t="shared" ca="1" si="2"/>
        <v>4.1126454251440361</v>
      </c>
      <c r="U9" s="17">
        <f>'Cases Data'!I3</f>
        <v>7070250</v>
      </c>
      <c r="V9" s="17">
        <f t="shared" ca="1" si="3"/>
        <v>712044.79593201145</v>
      </c>
      <c r="W9" s="17">
        <f>U9 * Scenarios!D4 + 0.3 * J9</f>
        <v>7070250</v>
      </c>
    </row>
    <row r="10" spans="1:23" hidden="1" outlineLevel="1" x14ac:dyDescent="0.25">
      <c r="A10" s="4" t="str">
        <f>'Cases Data'!A3</f>
        <v>Case 2</v>
      </c>
      <c r="B10" s="4" t="str">
        <f>Scenarios!A5</f>
        <v>CAPEX +20%</v>
      </c>
      <c r="C10" s="17">
        <f>'Cases Data'!B3 * Scenarios!D5</f>
        <v>10284000</v>
      </c>
      <c r="D10" s="17">
        <f>'Cases Data'!C3 * Scenarios!B5 * Scenarios!D5</f>
        <v>1286164.2239999999</v>
      </c>
      <c r="E10" s="17">
        <f>'Cases Data'!D3 * Scenarios!D5</f>
        <v>157200</v>
      </c>
      <c r="F10" s="17">
        <f t="shared" si="0"/>
        <v>1128964.2239999999</v>
      </c>
      <c r="G10" s="17">
        <f>'Cases Data'!F3</f>
        <v>1499750</v>
      </c>
      <c r="H10" s="17">
        <f>'Cases Data'!G3</f>
        <v>0</v>
      </c>
      <c r="I10" s="17">
        <f>'Cases Data'!H3</f>
        <v>0</v>
      </c>
      <c r="J10" s="17">
        <f>(I10 + H10) * (1 - Scenarios!E5)</f>
        <v>0</v>
      </c>
      <c r="K10" s="17">
        <f>G10 * Scenarios!D5 + 0.7 * J10</f>
        <v>1799700</v>
      </c>
      <c r="L10" s="17">
        <f>H10 * Scenarios!E5</f>
        <v>0</v>
      </c>
      <c r="M10" s="17">
        <f>I10 * Scenarios!E5</f>
        <v>0</v>
      </c>
      <c r="N10" s="17">
        <f>'Cases Data'!J3</f>
        <v>8.7956999999999994E-2</v>
      </c>
      <c r="O10" s="17">
        <f>N10 + Scenarios!C5</f>
        <v>8.7956999999999994E-2</v>
      </c>
      <c r="P10" s="17">
        <f ca="1">IF(K10&gt;0, PMT(INDIRECT(ADDRESS(ROW(),15)), 'Cases Data'!M3, -K10), 0)</f>
        <v>248748.5485298273</v>
      </c>
      <c r="Q10" s="17">
        <f>IF(L10&gt;0, PMT('Cases Data'!K3, 'Cases Data'!N3, -L10), 0)</f>
        <v>0</v>
      </c>
      <c r="R10" s="17">
        <f>IF(M10&gt;0, PMT('Cases Data'!L3, 'Cases Data'!O3, -M10), 0)</f>
        <v>0</v>
      </c>
      <c r="S10" s="17">
        <f t="shared" ca="1" si="1"/>
        <v>248748.5485298273</v>
      </c>
      <c r="T10" s="5">
        <f t="shared" ca="1" si="2"/>
        <v>4.5385761270668334</v>
      </c>
      <c r="U10" s="17">
        <f>'Cases Data'!I3</f>
        <v>7070250</v>
      </c>
      <c r="V10" s="17">
        <f t="shared" ca="1" si="3"/>
        <v>880215.67547017266</v>
      </c>
      <c r="W10" s="17">
        <f>U10 * Scenarios!D5 + 0.3 * J10</f>
        <v>8484300</v>
      </c>
    </row>
    <row r="11" spans="1:23" hidden="1" outlineLevel="1" x14ac:dyDescent="0.25">
      <c r="A11" s="4" t="str">
        <f>'Cases Data'!A3</f>
        <v>Case 2</v>
      </c>
      <c r="B11" s="4" t="str">
        <f>Scenarios!A6</f>
        <v>Concessional -50%</v>
      </c>
      <c r="C11" s="17">
        <f>'Cases Data'!B3 * Scenarios!D6</f>
        <v>8570000</v>
      </c>
      <c r="D11" s="17">
        <f>'Cases Data'!C3 * Scenarios!B6 * Scenarios!D6</f>
        <v>1071803.52</v>
      </c>
      <c r="E11" s="17">
        <f>'Cases Data'!D3 * Scenarios!D6</f>
        <v>131000</v>
      </c>
      <c r="F11" s="17">
        <f t="shared" si="0"/>
        <v>940803.52</v>
      </c>
      <c r="G11" s="17">
        <f>'Cases Data'!F3</f>
        <v>1499750</v>
      </c>
      <c r="H11" s="17">
        <f>'Cases Data'!G3</f>
        <v>0</v>
      </c>
      <c r="I11" s="17">
        <f>'Cases Data'!H3</f>
        <v>0</v>
      </c>
      <c r="J11" s="17">
        <f>(I11 + H11) * (1 - Scenarios!E6)</f>
        <v>0</v>
      </c>
      <c r="K11" s="17">
        <f>G11 * Scenarios!D6 + 0.7 * J11</f>
        <v>1499750</v>
      </c>
      <c r="L11" s="17">
        <f>H11 * Scenarios!E6</f>
        <v>0</v>
      </c>
      <c r="M11" s="17">
        <f>I11 * Scenarios!E6</f>
        <v>0</v>
      </c>
      <c r="N11" s="17">
        <f>'Cases Data'!J3</f>
        <v>8.7956999999999994E-2</v>
      </c>
      <c r="O11" s="17">
        <f>N11 + Scenarios!C6</f>
        <v>8.7956999999999994E-2</v>
      </c>
      <c r="P11" s="17">
        <f ca="1">IF(K11&gt;0, PMT(INDIRECT(ADDRESS(ROW(),15)), 'Cases Data'!M3, -K11), 0)</f>
        <v>207290.45710818944</v>
      </c>
      <c r="Q11" s="17">
        <f>IF(L11&gt;0, PMT('Cases Data'!K3, 'Cases Data'!N3, -L11), 0)</f>
        <v>0</v>
      </c>
      <c r="R11" s="17">
        <f>IF(M11&gt;0, PMT('Cases Data'!L3, 'Cases Data'!O3, -M11), 0)</f>
        <v>0</v>
      </c>
      <c r="S11" s="17">
        <f t="shared" ca="1" si="1"/>
        <v>207290.45710818944</v>
      </c>
      <c r="T11" s="5">
        <f t="shared" ca="1" si="2"/>
        <v>4.5385761270668334</v>
      </c>
      <c r="U11" s="17">
        <f>'Cases Data'!I3</f>
        <v>7070250</v>
      </c>
      <c r="V11" s="17">
        <f t="shared" ca="1" si="3"/>
        <v>733513.06289181055</v>
      </c>
      <c r="W11" s="17">
        <f>U11 * Scenarios!D6 + 0.3 * J11</f>
        <v>7070250</v>
      </c>
    </row>
    <row r="12" spans="1:23" collapsed="1" x14ac:dyDescent="0.25">
      <c r="A12" s="19" t="str">
        <f>'Cases Data'!A4</f>
        <v>Case 3</v>
      </c>
      <c r="B12" s="4" t="str">
        <f>Scenarios!A2</f>
        <v>Baseline</v>
      </c>
      <c r="C12" s="17">
        <f>'Cases Data'!B4 * Scenarios!D2</f>
        <v>8570000</v>
      </c>
      <c r="D12" s="17">
        <f>'Cases Data'!C4 * Scenarios!B2 * Scenarios!D2</f>
        <v>1071803.52</v>
      </c>
      <c r="E12" s="17">
        <f>'Cases Data'!D4 * Scenarios!D2</f>
        <v>131000</v>
      </c>
      <c r="F12" s="17">
        <f t="shared" si="0"/>
        <v>940803.52</v>
      </c>
      <c r="G12" s="17">
        <f>'Cases Data'!F4</f>
        <v>2279700</v>
      </c>
      <c r="H12" s="17">
        <f>'Cases Data'!G4</f>
        <v>6290300</v>
      </c>
      <c r="I12" s="17">
        <f>'Cases Data'!H4</f>
        <v>0</v>
      </c>
      <c r="J12" s="17">
        <f>(I12 + H12) * (1 - Scenarios!E2)</f>
        <v>0</v>
      </c>
      <c r="K12" s="17">
        <f>G12 * Scenarios!D2 + 0.7 * J12</f>
        <v>2279700</v>
      </c>
      <c r="L12" s="17">
        <f>H12 * Scenarios!E2</f>
        <v>6290300</v>
      </c>
      <c r="M12" s="17">
        <f>I12 * Scenarios!E2</f>
        <v>0</v>
      </c>
      <c r="N12" s="17">
        <f>'Cases Data'!J4</f>
        <v>8.7956999999999994E-2</v>
      </c>
      <c r="O12" s="17">
        <f>N12 + Scenarios!C2</f>
        <v>8.7956999999999994E-2</v>
      </c>
      <c r="P12" s="17">
        <f ca="1">IF(K12&gt;0, PMT(INDIRECT(ADDRESS(ROW(),15)), 'Cases Data'!M4, -K12), 0)</f>
        <v>315092.55213838269</v>
      </c>
      <c r="Q12" s="17">
        <f>IF(L12&gt;0, PMT('Cases Data'!K4, 'Cases Data'!N4, -L12), 0)</f>
        <v>709705.67665393511</v>
      </c>
      <c r="R12" s="17">
        <f>IF(M12&gt;0, PMT('Cases Data'!L4, 'Cases Data'!O4, -M12), 0)</f>
        <v>0</v>
      </c>
      <c r="S12" s="17">
        <f t="shared" ca="1" si="1"/>
        <v>1024798.2287923178</v>
      </c>
      <c r="T12" s="5">
        <f t="shared" ca="1" si="2"/>
        <v>0.91803780838760618</v>
      </c>
      <c r="U12" s="17">
        <f>'Cases Data'!I4</f>
        <v>0</v>
      </c>
      <c r="V12" s="17">
        <f t="shared" ca="1" si="3"/>
        <v>-83994.708792317775</v>
      </c>
      <c r="W12" s="17">
        <f>U12 * Scenarios!D2 + 0.3 * J12</f>
        <v>0</v>
      </c>
    </row>
    <row r="13" spans="1:23" x14ac:dyDescent="0.25">
      <c r="A13" s="19" t="str">
        <f>'Cases Data'!A4</f>
        <v>Case 3</v>
      </c>
      <c r="B13" s="4" t="str">
        <f>Scenarios!A3</f>
        <v>Tariff -10%</v>
      </c>
      <c r="C13" s="17">
        <f>'Cases Data'!B4 * Scenarios!D3</f>
        <v>8570000</v>
      </c>
      <c r="D13" s="17">
        <f>'Cases Data'!C4 * Scenarios!B3 * Scenarios!D3</f>
        <v>964623.16800000006</v>
      </c>
      <c r="E13" s="17">
        <f>'Cases Data'!D4 * Scenarios!D3</f>
        <v>131000</v>
      </c>
      <c r="F13" s="17">
        <f t="shared" si="0"/>
        <v>833623.16800000006</v>
      </c>
      <c r="G13" s="17">
        <f>'Cases Data'!F4</f>
        <v>2279700</v>
      </c>
      <c r="H13" s="17">
        <f>'Cases Data'!G4</f>
        <v>6290300</v>
      </c>
      <c r="I13" s="17">
        <f>'Cases Data'!H4</f>
        <v>0</v>
      </c>
      <c r="J13" s="17">
        <f>(I13 + H13) * (1 - Scenarios!E3)</f>
        <v>0</v>
      </c>
      <c r="K13" s="17">
        <f>G13 * Scenarios!D3 + 0.7 * J13</f>
        <v>2279700</v>
      </c>
      <c r="L13" s="17">
        <f>H13 * Scenarios!E3</f>
        <v>6290300</v>
      </c>
      <c r="M13" s="17">
        <f>I13 * Scenarios!E3</f>
        <v>0</v>
      </c>
      <c r="N13" s="17">
        <f>'Cases Data'!J4</f>
        <v>8.7956999999999994E-2</v>
      </c>
      <c r="O13" s="17">
        <f>N13 + Scenarios!C3</f>
        <v>8.7956999999999994E-2</v>
      </c>
      <c r="P13" s="17">
        <f ca="1">IF(K13&gt;0, PMT(INDIRECT(ADDRESS(ROW(),15)), 'Cases Data'!M4, -K13), 0)</f>
        <v>315092.55213838269</v>
      </c>
      <c r="Q13" s="17">
        <f>IF(L13&gt;0, PMT('Cases Data'!K4, 'Cases Data'!N4, -L13), 0)</f>
        <v>709705.67665393511</v>
      </c>
      <c r="R13" s="17">
        <f>IF(M13&gt;0, PMT('Cases Data'!L4, 'Cases Data'!O4, -M13), 0)</f>
        <v>0</v>
      </c>
      <c r="S13" s="17">
        <f t="shared" ca="1" si="1"/>
        <v>1024798.2287923178</v>
      </c>
      <c r="T13" s="5">
        <f t="shared" ca="1" si="2"/>
        <v>0.81345102341013054</v>
      </c>
      <c r="U13" s="17">
        <f>'Cases Data'!I4</f>
        <v>0</v>
      </c>
      <c r="V13" s="17">
        <f t="shared" ca="1" si="3"/>
        <v>-191175.06079231773</v>
      </c>
      <c r="W13" s="17">
        <f>U13 * Scenarios!D3 + 0.3 * J13</f>
        <v>0</v>
      </c>
    </row>
    <row r="14" spans="1:23" x14ac:dyDescent="0.25">
      <c r="A14" s="19" t="str">
        <f>'Cases Data'!A4</f>
        <v>Case 3</v>
      </c>
      <c r="B14" s="4" t="str">
        <f>Scenarios!A4</f>
        <v>Senior +200bps</v>
      </c>
      <c r="C14" s="17">
        <f>'Cases Data'!B4 * Scenarios!D4</f>
        <v>8570000</v>
      </c>
      <c r="D14" s="17">
        <f>'Cases Data'!C4 * Scenarios!B4 * Scenarios!D4</f>
        <v>1071803.52</v>
      </c>
      <c r="E14" s="17">
        <f>'Cases Data'!D4 * Scenarios!D4</f>
        <v>131000</v>
      </c>
      <c r="F14" s="17">
        <f t="shared" si="0"/>
        <v>940803.52</v>
      </c>
      <c r="G14" s="17">
        <f>'Cases Data'!F4</f>
        <v>2279700</v>
      </c>
      <c r="H14" s="17">
        <f>'Cases Data'!G4</f>
        <v>6290300</v>
      </c>
      <c r="I14" s="17">
        <f>'Cases Data'!H4</f>
        <v>0</v>
      </c>
      <c r="J14" s="17">
        <f>(I14 + H14) * (1 - Scenarios!E4)</f>
        <v>0</v>
      </c>
      <c r="K14" s="17">
        <f>G14 * Scenarios!D4 + 0.7 * J14</f>
        <v>2279700</v>
      </c>
      <c r="L14" s="17">
        <f>H14 * Scenarios!E4</f>
        <v>6290300</v>
      </c>
      <c r="M14" s="17">
        <f>I14 * Scenarios!E4</f>
        <v>0</v>
      </c>
      <c r="N14" s="17">
        <f>'Cases Data'!J4</f>
        <v>8.7956999999999994E-2</v>
      </c>
      <c r="O14" s="17">
        <f>N14 + Scenarios!C4</f>
        <v>0.107957</v>
      </c>
      <c r="P14" s="17">
        <f ca="1">IF(K14&gt;0, PMT(INDIRECT(ADDRESS(ROW(),15)), 'Cases Data'!M4, -K14), 0)</f>
        <v>347725.46308237605</v>
      </c>
      <c r="Q14" s="17">
        <f>IF(L14&gt;0, PMT('Cases Data'!K4, 'Cases Data'!N4, -L14), 0)</f>
        <v>709705.67665393511</v>
      </c>
      <c r="R14" s="17">
        <f>IF(M14&gt;0, PMT('Cases Data'!L4, 'Cases Data'!O4, -M14), 0)</f>
        <v>0</v>
      </c>
      <c r="S14" s="17">
        <f t="shared" ca="1" si="1"/>
        <v>1057431.139736311</v>
      </c>
      <c r="T14" s="5">
        <f t="shared" ca="1" si="2"/>
        <v>0.88970665289335604</v>
      </c>
      <c r="U14" s="17">
        <f>'Cases Data'!I4</f>
        <v>0</v>
      </c>
      <c r="V14" s="17">
        <f t="shared" ca="1" si="3"/>
        <v>-116627.61973631103</v>
      </c>
      <c r="W14" s="17">
        <f>U14 * Scenarios!D4 + 0.3 * J14</f>
        <v>0</v>
      </c>
    </row>
    <row r="15" spans="1:23" x14ac:dyDescent="0.25">
      <c r="A15" s="19" t="str">
        <f>'Cases Data'!A4</f>
        <v>Case 3</v>
      </c>
      <c r="B15" s="4" t="str">
        <f>Scenarios!A5</f>
        <v>CAPEX +20%</v>
      </c>
      <c r="C15" s="17">
        <f>'Cases Data'!B4 * Scenarios!D5</f>
        <v>10284000</v>
      </c>
      <c r="D15" s="17">
        <f>'Cases Data'!C4 * Scenarios!B5 * Scenarios!D5</f>
        <v>1286164.2239999999</v>
      </c>
      <c r="E15" s="17">
        <f>'Cases Data'!D4 * Scenarios!D5</f>
        <v>157200</v>
      </c>
      <c r="F15" s="17">
        <f t="shared" si="0"/>
        <v>1128964.2239999999</v>
      </c>
      <c r="G15" s="17">
        <f>'Cases Data'!F4</f>
        <v>2279700</v>
      </c>
      <c r="H15" s="17">
        <f>'Cases Data'!G4</f>
        <v>6290300</v>
      </c>
      <c r="I15" s="17">
        <f>'Cases Data'!H4</f>
        <v>0</v>
      </c>
      <c r="J15" s="17">
        <f>(I15 + H15) * (1 - Scenarios!E5)</f>
        <v>0</v>
      </c>
      <c r="K15" s="17">
        <f>G15 * Scenarios!D5 + 0.7 * J15</f>
        <v>2735640</v>
      </c>
      <c r="L15" s="17">
        <f>H15 * Scenarios!E5</f>
        <v>6290300</v>
      </c>
      <c r="M15" s="17">
        <f>I15 * Scenarios!E5</f>
        <v>0</v>
      </c>
      <c r="N15" s="17">
        <f>'Cases Data'!J4</f>
        <v>8.7956999999999994E-2</v>
      </c>
      <c r="O15" s="17">
        <f>N15 + Scenarios!C5</f>
        <v>8.7956999999999994E-2</v>
      </c>
      <c r="P15" s="17">
        <f ca="1">IF(K15&gt;0, PMT(INDIRECT(ADDRESS(ROW(),15)), 'Cases Data'!M4, -K15), 0)</f>
        <v>378111.06256605923</v>
      </c>
      <c r="Q15" s="17">
        <f>IF(L15&gt;0, PMT('Cases Data'!K4, 'Cases Data'!N4, -L15), 0)</f>
        <v>709705.67665393511</v>
      </c>
      <c r="R15" s="17">
        <f>IF(M15&gt;0, PMT('Cases Data'!L4, 'Cases Data'!O4, -M15), 0)</f>
        <v>0</v>
      </c>
      <c r="S15" s="17">
        <f t="shared" ca="1" si="1"/>
        <v>1087816.7392199943</v>
      </c>
      <c r="T15" s="5">
        <f t="shared" ca="1" si="2"/>
        <v>1.0378257506953883</v>
      </c>
      <c r="U15" s="17">
        <f>'Cases Data'!I4</f>
        <v>0</v>
      </c>
      <c r="V15" s="17">
        <f t="shared" ca="1" si="3"/>
        <v>41147.484780005645</v>
      </c>
      <c r="W15" s="17">
        <f>U15 * Scenarios!D5 + 0.3 * J15</f>
        <v>0</v>
      </c>
    </row>
    <row r="16" spans="1:23" x14ac:dyDescent="0.25">
      <c r="A16" s="19" t="str">
        <f>'Cases Data'!A4</f>
        <v>Case 3</v>
      </c>
      <c r="B16" s="4" t="str">
        <f>Scenarios!A6</f>
        <v>Concessional -50%</v>
      </c>
      <c r="C16" s="17">
        <f>'Cases Data'!B4 * Scenarios!D6</f>
        <v>8570000</v>
      </c>
      <c r="D16" s="17">
        <f>'Cases Data'!C4 * Scenarios!B6 * Scenarios!D6</f>
        <v>1071803.52</v>
      </c>
      <c r="E16" s="17">
        <f>'Cases Data'!D4 * Scenarios!D6</f>
        <v>131000</v>
      </c>
      <c r="F16" s="17">
        <f t="shared" si="0"/>
        <v>940803.52</v>
      </c>
      <c r="G16" s="17">
        <f>'Cases Data'!F4</f>
        <v>2279700</v>
      </c>
      <c r="H16" s="17">
        <f>'Cases Data'!G4</f>
        <v>6290300</v>
      </c>
      <c r="I16" s="17">
        <f>'Cases Data'!H4</f>
        <v>0</v>
      </c>
      <c r="J16" s="17">
        <f>(I16 + H16) * (1 - Scenarios!E6)</f>
        <v>3145150</v>
      </c>
      <c r="K16" s="17">
        <f>G16 * Scenarios!D6 + 0.7 * J16</f>
        <v>4481305</v>
      </c>
      <c r="L16" s="17">
        <f>H16 * Scenarios!E6</f>
        <v>3145150</v>
      </c>
      <c r="M16" s="17">
        <f>I16 * Scenarios!E6</f>
        <v>0</v>
      </c>
      <c r="N16" s="17">
        <f>'Cases Data'!J4</f>
        <v>8.7956999999999994E-2</v>
      </c>
      <c r="O16" s="17">
        <f>N16 + Scenarios!C6</f>
        <v>8.7956999999999994E-2</v>
      </c>
      <c r="P16" s="17">
        <f ca="1">IF(K16&gt;0, PMT(INDIRECT(ADDRESS(ROW(),15)), 'Cases Data'!M4, -K16), 0)</f>
        <v>619391.07310632768</v>
      </c>
      <c r="Q16" s="17">
        <f>IF(L16&gt;0, PMT('Cases Data'!K4, 'Cases Data'!N4, -L16), 0)</f>
        <v>354852.83832696755</v>
      </c>
      <c r="R16" s="17">
        <f>IF(M16&gt;0, PMT('Cases Data'!L4, 'Cases Data'!O4, -M16), 0)</f>
        <v>0</v>
      </c>
      <c r="S16" s="17">
        <f t="shared" ca="1" si="1"/>
        <v>974243.91143329523</v>
      </c>
      <c r="T16" s="5">
        <f t="shared" ca="1" si="2"/>
        <v>0.96567554486011808</v>
      </c>
      <c r="U16" s="17">
        <f>'Cases Data'!I4</f>
        <v>0</v>
      </c>
      <c r="V16" s="17">
        <f t="shared" ca="1" si="3"/>
        <v>-33440.391433295212</v>
      </c>
      <c r="W16" s="17">
        <f>U16 * Scenarios!D6 + 0.3 * J16</f>
        <v>943545</v>
      </c>
    </row>
    <row r="17" spans="1:23" x14ac:dyDescent="0.25">
      <c r="A17" s="20" t="str">
        <f>'Cases Data'!A5</f>
        <v>Case 4</v>
      </c>
      <c r="B17" s="4" t="str">
        <f>Scenarios!A2</f>
        <v>Baseline</v>
      </c>
      <c r="C17" s="17">
        <f>'Cases Data'!B5 * Scenarios!D2</f>
        <v>8570000</v>
      </c>
      <c r="D17" s="17">
        <f>'Cases Data'!C5 * Scenarios!B2 * Scenarios!D2</f>
        <v>1071803.52</v>
      </c>
      <c r="E17" s="17">
        <f>'Cases Data'!D5 * Scenarios!D2</f>
        <v>131000</v>
      </c>
      <c r="F17" s="17">
        <f t="shared" si="0"/>
        <v>940803.52</v>
      </c>
      <c r="G17" s="17">
        <f>'Cases Data'!F5</f>
        <v>5099150</v>
      </c>
      <c r="H17" s="17">
        <f>'Cases Data'!G5</f>
        <v>0</v>
      </c>
      <c r="I17" s="17">
        <f>'Cases Data'!H5</f>
        <v>1285500</v>
      </c>
      <c r="J17" s="17">
        <f>(I17 + H17) * (1 - Scenarios!E2)</f>
        <v>0</v>
      </c>
      <c r="K17" s="17">
        <f>G17 * Scenarios!D2 + 0.7 * J17</f>
        <v>5099150</v>
      </c>
      <c r="L17" s="17">
        <f>H17 * Scenarios!E2</f>
        <v>0</v>
      </c>
      <c r="M17" s="17">
        <f>I17 * Scenarios!E2</f>
        <v>1285500</v>
      </c>
      <c r="N17" s="17">
        <f>'Cases Data'!J5</f>
        <v>8.7956999999999994E-2</v>
      </c>
      <c r="O17" s="17">
        <f>N17 + Scenarios!C2</f>
        <v>8.7956999999999994E-2</v>
      </c>
      <c r="P17" s="17">
        <f ca="1">IF(K17&gt;0, PMT(INDIRECT(ADDRESS(ROW(),15)), 'Cases Data'!M5, -K17), 0)</f>
        <v>704787.55416784401</v>
      </c>
      <c r="Q17" s="17">
        <f>IF(L17&gt;0, PMT('Cases Data'!K5, 'Cases Data'!N5, -L17), 0)</f>
        <v>0</v>
      </c>
      <c r="R17" s="17">
        <f>IF(M17&gt;0, PMT('Cases Data'!L5, 'Cases Data'!O5, -M17), 0)</f>
        <v>121556.36145880412</v>
      </c>
      <c r="S17" s="17">
        <f t="shared" ca="1" si="1"/>
        <v>826343.91562664811</v>
      </c>
      <c r="T17" s="5">
        <f ca="1">IF(S17&gt;0, F17 / S17, NA())</f>
        <v>1.1385132778360845</v>
      </c>
      <c r="U17" s="17">
        <f>'Cases Data'!I5</f>
        <v>2185350</v>
      </c>
      <c r="V17" s="17">
        <f t="shared" ca="1" si="3"/>
        <v>114459.6043733519</v>
      </c>
      <c r="W17" s="17">
        <f>U17 * Scenarios!D2 + 0.3 * J17</f>
        <v>2185350</v>
      </c>
    </row>
    <row r="18" spans="1:23" x14ac:dyDescent="0.25">
      <c r="A18" s="20" t="str">
        <f>'Cases Data'!A5</f>
        <v>Case 4</v>
      </c>
      <c r="B18" s="4" t="str">
        <f>Scenarios!A3</f>
        <v>Tariff -10%</v>
      </c>
      <c r="C18" s="17">
        <f>'Cases Data'!B5 * Scenarios!D3</f>
        <v>8570000</v>
      </c>
      <c r="D18" s="17">
        <f>'Cases Data'!C5 * Scenarios!B3 * Scenarios!D3</f>
        <v>964623.16800000006</v>
      </c>
      <c r="E18" s="17">
        <f>'Cases Data'!D5 * Scenarios!D3</f>
        <v>131000</v>
      </c>
      <c r="F18" s="17">
        <f t="shared" si="0"/>
        <v>833623.16800000006</v>
      </c>
      <c r="G18" s="17">
        <f>'Cases Data'!F5</f>
        <v>5099150</v>
      </c>
      <c r="H18" s="17">
        <f>'Cases Data'!G5</f>
        <v>0</v>
      </c>
      <c r="I18" s="17">
        <f>'Cases Data'!H5</f>
        <v>1285500</v>
      </c>
      <c r="J18" s="17">
        <f>(I18 + H18) * (1 - Scenarios!E3)</f>
        <v>0</v>
      </c>
      <c r="K18" s="17">
        <f>G18 * Scenarios!D3 + 0.7 * J18</f>
        <v>5099150</v>
      </c>
      <c r="L18" s="17">
        <f>H18 * Scenarios!E3</f>
        <v>0</v>
      </c>
      <c r="M18" s="17">
        <f>I18 * Scenarios!E3</f>
        <v>1285500</v>
      </c>
      <c r="N18" s="17">
        <f>'Cases Data'!J5</f>
        <v>8.7956999999999994E-2</v>
      </c>
      <c r="O18" s="17">
        <f>N18 + Scenarios!C3</f>
        <v>8.7956999999999994E-2</v>
      </c>
      <c r="P18" s="17">
        <f ca="1">IF(K18&gt;0, PMT(INDIRECT(ADDRESS(ROW(),15)), 'Cases Data'!M5, -K18), 0)</f>
        <v>704787.55416784401</v>
      </c>
      <c r="Q18" s="17">
        <f>IF(L18&gt;0, PMT('Cases Data'!K5, 'Cases Data'!N5, -L18), 0)</f>
        <v>0</v>
      </c>
      <c r="R18" s="17">
        <f>IF(M18&gt;0, PMT('Cases Data'!L5, 'Cases Data'!O5, -M18), 0)</f>
        <v>121556.36145880412</v>
      </c>
      <c r="S18" s="17">
        <f t="shared" ca="1" si="1"/>
        <v>826343.91562664811</v>
      </c>
      <c r="T18" s="5">
        <f t="shared" ca="1" si="2"/>
        <v>1.0088089864712464</v>
      </c>
      <c r="U18" s="17">
        <f>'Cases Data'!I5</f>
        <v>2185350</v>
      </c>
      <c r="V18" s="17">
        <f t="shared" ca="1" si="3"/>
        <v>7279.2523733519483</v>
      </c>
      <c r="W18" s="17">
        <f>U18 * Scenarios!D3 + 0.3 * J18</f>
        <v>2185350</v>
      </c>
    </row>
    <row r="19" spans="1:23" x14ac:dyDescent="0.25">
      <c r="A19" s="20" t="str">
        <f>'Cases Data'!A5</f>
        <v>Case 4</v>
      </c>
      <c r="B19" s="4" t="str">
        <f>Scenarios!A4</f>
        <v>Senior +200bps</v>
      </c>
      <c r="C19" s="17">
        <f>'Cases Data'!B5 * Scenarios!D4</f>
        <v>8570000</v>
      </c>
      <c r="D19" s="17">
        <f>'Cases Data'!C5 * Scenarios!B4 * Scenarios!D4</f>
        <v>1071803.52</v>
      </c>
      <c r="E19" s="17">
        <f>'Cases Data'!D5 * Scenarios!D4</f>
        <v>131000</v>
      </c>
      <c r="F19" s="17">
        <f t="shared" si="0"/>
        <v>940803.52</v>
      </c>
      <c r="G19" s="17">
        <f>'Cases Data'!F5</f>
        <v>5099150</v>
      </c>
      <c r="H19" s="17">
        <f>'Cases Data'!G5</f>
        <v>0</v>
      </c>
      <c r="I19" s="17">
        <f>'Cases Data'!H5</f>
        <v>1285500</v>
      </c>
      <c r="J19" s="17">
        <f>(I19 + H19) * (1 - Scenarios!E4)</f>
        <v>0</v>
      </c>
      <c r="K19" s="17">
        <f>G19 * Scenarios!D4 + 0.7 * J19</f>
        <v>5099150</v>
      </c>
      <c r="L19" s="17">
        <f>H19 * Scenarios!E4</f>
        <v>0</v>
      </c>
      <c r="M19" s="17">
        <f>I19 * Scenarios!E4</f>
        <v>1285500</v>
      </c>
      <c r="N19" s="17">
        <f>'Cases Data'!J5</f>
        <v>8.7956999999999994E-2</v>
      </c>
      <c r="O19" s="17">
        <f>N19 + Scenarios!C4</f>
        <v>0.107957</v>
      </c>
      <c r="P19" s="17">
        <f ca="1">IF(K19&gt;0, PMT(INDIRECT(ADDRESS(ROW(),15)), 'Cases Data'!M5, -K19), 0)</f>
        <v>777779.66183116101</v>
      </c>
      <c r="Q19" s="17">
        <f>IF(L19&gt;0, PMT('Cases Data'!K5, 'Cases Data'!N5, -L19), 0)</f>
        <v>0</v>
      </c>
      <c r="R19" s="17">
        <f>IF(M19&gt;0, PMT('Cases Data'!L5, 'Cases Data'!O5, -M19), 0)</f>
        <v>121556.36145880412</v>
      </c>
      <c r="S19" s="17">
        <f t="shared" ca="1" si="1"/>
        <v>899336.02328996512</v>
      </c>
      <c r="T19" s="5">
        <f t="shared" ca="1" si="2"/>
        <v>1.0461090133566961</v>
      </c>
      <c r="U19" s="17">
        <f>'Cases Data'!I5</f>
        <v>2185350</v>
      </c>
      <c r="V19" s="17">
        <f t="shared" ca="1" si="3"/>
        <v>41467.496710034902</v>
      </c>
      <c r="W19" s="17">
        <f>U19 * Scenarios!D4 + 0.3 * J19</f>
        <v>2185350</v>
      </c>
    </row>
    <row r="20" spans="1:23" x14ac:dyDescent="0.25">
      <c r="A20" s="20" t="str">
        <f>'Cases Data'!A5</f>
        <v>Case 4</v>
      </c>
      <c r="B20" s="4" t="str">
        <f>Scenarios!A5</f>
        <v>CAPEX +20%</v>
      </c>
      <c r="C20" s="17">
        <f>'Cases Data'!B5 * Scenarios!D5</f>
        <v>10284000</v>
      </c>
      <c r="D20" s="17">
        <f>'Cases Data'!C5 * Scenarios!B5 * Scenarios!D5</f>
        <v>1286164.2239999999</v>
      </c>
      <c r="E20" s="17">
        <f>'Cases Data'!D5 * Scenarios!D5</f>
        <v>157200</v>
      </c>
      <c r="F20" s="17">
        <f t="shared" si="0"/>
        <v>1128964.2239999999</v>
      </c>
      <c r="G20" s="17">
        <f>'Cases Data'!F5</f>
        <v>5099150</v>
      </c>
      <c r="H20" s="17">
        <f>'Cases Data'!G5</f>
        <v>0</v>
      </c>
      <c r="I20" s="17">
        <f>'Cases Data'!H5</f>
        <v>1285500</v>
      </c>
      <c r="J20" s="17">
        <f>(I20 + H20) * (1 - Scenarios!E5)</f>
        <v>0</v>
      </c>
      <c r="K20" s="17">
        <f>G20 * Scenarios!D5 + 0.7 * J20</f>
        <v>6118980</v>
      </c>
      <c r="L20" s="17">
        <f>H20 * Scenarios!E5</f>
        <v>0</v>
      </c>
      <c r="M20" s="17">
        <f>I20 * Scenarios!E5</f>
        <v>1285500</v>
      </c>
      <c r="N20" s="17">
        <f>'Cases Data'!J5</f>
        <v>8.7956999999999994E-2</v>
      </c>
      <c r="O20" s="17">
        <f>N20 + Scenarios!C5</f>
        <v>8.7956999999999994E-2</v>
      </c>
      <c r="P20" s="17">
        <f ca="1">IF(K20&gt;0, PMT(INDIRECT(ADDRESS(ROW(),15)), 'Cases Data'!M5, -K20), 0)</f>
        <v>845745.06500141288</v>
      </c>
      <c r="Q20" s="17">
        <f>IF(L20&gt;0, PMT('Cases Data'!K5, 'Cases Data'!N5, -L20), 0)</f>
        <v>0</v>
      </c>
      <c r="R20" s="17">
        <f>IF(M20&gt;0, PMT('Cases Data'!L5, 'Cases Data'!O5, -M20), 0)</f>
        <v>121556.36145880412</v>
      </c>
      <c r="S20" s="17">
        <f t="shared" ca="1" si="1"/>
        <v>967301.42646021699</v>
      </c>
      <c r="T20" s="5">
        <f t="shared" ca="1" si="2"/>
        <v>1.1671276327291054</v>
      </c>
      <c r="U20" s="17">
        <f>'Cases Data'!I5</f>
        <v>2185350</v>
      </c>
      <c r="V20" s="17">
        <f t="shared" ca="1" si="3"/>
        <v>161662.79753978294</v>
      </c>
      <c r="W20" s="17">
        <f>U20 * Scenarios!D5 + 0.3 * J20</f>
        <v>2622420</v>
      </c>
    </row>
    <row r="21" spans="1:23" x14ac:dyDescent="0.25">
      <c r="A21" s="20" t="str">
        <f>'Cases Data'!A5</f>
        <v>Case 4</v>
      </c>
      <c r="B21" s="4" t="str">
        <f>Scenarios!A6</f>
        <v>Concessional -50%</v>
      </c>
      <c r="C21" s="17">
        <f>'Cases Data'!B5 * Scenarios!D6</f>
        <v>8570000</v>
      </c>
      <c r="D21" s="17">
        <f>'Cases Data'!C5 * Scenarios!B6 * Scenarios!D6</f>
        <v>1071803.52</v>
      </c>
      <c r="E21" s="17">
        <f>'Cases Data'!D5 * Scenarios!D6</f>
        <v>131000</v>
      </c>
      <c r="F21" s="17">
        <f t="shared" si="0"/>
        <v>940803.52</v>
      </c>
      <c r="G21" s="17">
        <f>'Cases Data'!F5</f>
        <v>5099150</v>
      </c>
      <c r="H21" s="17">
        <f>'Cases Data'!G5</f>
        <v>0</v>
      </c>
      <c r="I21" s="17">
        <f>'Cases Data'!H5</f>
        <v>1285500</v>
      </c>
      <c r="J21" s="17">
        <f>(I21 + H21) * (1 - Scenarios!E6)</f>
        <v>642750</v>
      </c>
      <c r="K21" s="17">
        <f>G21 * Scenarios!D6 + 0.7 * J21</f>
        <v>5549075</v>
      </c>
      <c r="L21" s="17">
        <f>H21 * Scenarios!E6</f>
        <v>0</v>
      </c>
      <c r="M21" s="17">
        <f>I21 * Scenarios!E6</f>
        <v>642750</v>
      </c>
      <c r="N21" s="17">
        <f>'Cases Data'!J5</f>
        <v>8.7956999999999994E-2</v>
      </c>
      <c r="O21" s="17">
        <f>N21 + Scenarios!C6</f>
        <v>8.7956999999999994E-2</v>
      </c>
      <c r="P21" s="17">
        <f ca="1">IF(K21&gt;0, PMT(INDIRECT(ADDRESS(ROW(),15)), 'Cases Data'!M5, -K21), 0)</f>
        <v>766974.691300301</v>
      </c>
      <c r="Q21" s="17">
        <f>IF(L21&gt;0, PMT('Cases Data'!K5, 'Cases Data'!N5, -L21), 0)</f>
        <v>0</v>
      </c>
      <c r="R21" s="17">
        <f>IF(M21&gt;0, PMT('Cases Data'!L5, 'Cases Data'!O5, -M21), 0)</f>
        <v>60778.180729402062</v>
      </c>
      <c r="S21" s="17">
        <f t="shared" ca="1" si="1"/>
        <v>827752.87202970311</v>
      </c>
      <c r="T21" s="5">
        <f t="shared" ca="1" si="2"/>
        <v>1.1365753617901555</v>
      </c>
      <c r="U21" s="17">
        <f>'Cases Data'!I5</f>
        <v>2185350</v>
      </c>
      <c r="V21" s="17">
        <f t="shared" ca="1" si="3"/>
        <v>113050.64797029691</v>
      </c>
      <c r="W21" s="17">
        <f>U21 * Scenarios!D6 + 0.3 * J21</f>
        <v>2378175</v>
      </c>
    </row>
    <row r="22" spans="1:23" x14ac:dyDescent="0.25">
      <c r="A22" s="21" t="str">
        <f>'Cases Data'!A6</f>
        <v>Case 5</v>
      </c>
      <c r="B22" s="4" t="str">
        <f>Scenarios!A2</f>
        <v>Baseline</v>
      </c>
      <c r="C22" s="17">
        <f>'Cases Data'!B6 * Scenarios!D2</f>
        <v>8570000</v>
      </c>
      <c r="D22" s="17">
        <f>'Cases Data'!C6 * Scenarios!B2 * Scenarios!D2</f>
        <v>1071803.52</v>
      </c>
      <c r="E22" s="17">
        <f>'Cases Data'!D6 * Scenarios!D2</f>
        <v>131000</v>
      </c>
      <c r="F22" s="17">
        <f t="shared" si="0"/>
        <v>940803.52</v>
      </c>
      <c r="G22" s="17">
        <f>'Cases Data'!F6</f>
        <v>6770300</v>
      </c>
      <c r="H22" s="17">
        <f>'Cases Data'!G6</f>
        <v>1799700</v>
      </c>
      <c r="I22" s="17">
        <f>'Cases Data'!H6</f>
        <v>0</v>
      </c>
      <c r="J22" s="17">
        <f>(I22 + H22) * (1 - Scenarios!E2)</f>
        <v>0</v>
      </c>
      <c r="K22" s="17">
        <f>G22 * Scenarios!D2 + 0.7 * J22</f>
        <v>6770300</v>
      </c>
      <c r="L22" s="17">
        <f>H22 * Scenarios!E2</f>
        <v>1799700</v>
      </c>
      <c r="M22" s="17">
        <f>I22 * Scenarios!E2</f>
        <v>0</v>
      </c>
      <c r="N22" s="17">
        <f>'Cases Data'!J6</f>
        <v>8.7956999999999994E-2</v>
      </c>
      <c r="O22" s="17">
        <f>N22 + Scenarios!C2</f>
        <v>8.7956999999999994E-2</v>
      </c>
      <c r="P22" s="17">
        <f ca="1">IF(K22&gt;0, PMT(INDIRECT(ADDRESS(ROW(),15)), 'Cases Data'!M6, -K22), 0)</f>
        <v>935768.34923125512</v>
      </c>
      <c r="Q22" s="17">
        <f>IF(L22&gt;0, PMT('Cases Data'!K6, 'Cases Data'!N6, -L22), 0)</f>
        <v>203051.89041446149</v>
      </c>
      <c r="R22" s="17">
        <f>IF(M22&gt;0, PMT('Cases Data'!L6, 'Cases Data'!O6, -M22), 0)</f>
        <v>0</v>
      </c>
      <c r="S22" s="17">
        <f t="shared" ca="1" si="1"/>
        <v>1138820.2396457167</v>
      </c>
      <c r="T22" s="5">
        <f t="shared" ca="1" si="2"/>
        <v>0.82612117983842726</v>
      </c>
      <c r="U22" s="17">
        <f>'Cases Data'!I6</f>
        <v>0</v>
      </c>
      <c r="V22" s="17">
        <f t="shared" ca="1" si="3"/>
        <v>-198016.71964571672</v>
      </c>
      <c r="W22" s="17">
        <f>U22 * Scenarios!D2 + 0.3 * J22</f>
        <v>0</v>
      </c>
    </row>
    <row r="23" spans="1:23" x14ac:dyDescent="0.25">
      <c r="A23" s="21" t="str">
        <f>'Cases Data'!A6</f>
        <v>Case 5</v>
      </c>
      <c r="B23" s="4" t="str">
        <f>Scenarios!A3</f>
        <v>Tariff -10%</v>
      </c>
      <c r="C23" s="17">
        <f>'Cases Data'!B6 * Scenarios!D3</f>
        <v>8570000</v>
      </c>
      <c r="D23" s="17">
        <f>'Cases Data'!C6 * Scenarios!B3 * Scenarios!D3</f>
        <v>964623.16800000006</v>
      </c>
      <c r="E23" s="17">
        <f>'Cases Data'!D6 * Scenarios!D3</f>
        <v>131000</v>
      </c>
      <c r="F23" s="17">
        <f t="shared" si="0"/>
        <v>833623.16800000006</v>
      </c>
      <c r="G23" s="17">
        <f>'Cases Data'!F6</f>
        <v>6770300</v>
      </c>
      <c r="H23" s="17">
        <f>'Cases Data'!G6</f>
        <v>1799700</v>
      </c>
      <c r="I23" s="17">
        <f>'Cases Data'!H6</f>
        <v>0</v>
      </c>
      <c r="J23" s="17">
        <f>(I23 + H23) * (1 - Scenarios!E3)</f>
        <v>0</v>
      </c>
      <c r="K23" s="17">
        <f>G23 * Scenarios!D3 + 0.7 * J23</f>
        <v>6770300</v>
      </c>
      <c r="L23" s="17">
        <f>H23 * Scenarios!E3</f>
        <v>1799700</v>
      </c>
      <c r="M23" s="17">
        <f>I23 * Scenarios!E3</f>
        <v>0</v>
      </c>
      <c r="N23" s="17">
        <f>'Cases Data'!J6</f>
        <v>8.7956999999999994E-2</v>
      </c>
      <c r="O23" s="17">
        <f>N23 + Scenarios!C3</f>
        <v>8.7956999999999994E-2</v>
      </c>
      <c r="P23" s="17">
        <f ca="1">IF(K23&gt;0, PMT(INDIRECT(ADDRESS(ROW(),15)), 'Cases Data'!M6, -K23), 0)</f>
        <v>935768.34923125512</v>
      </c>
      <c r="Q23" s="17">
        <f>IF(L23&gt;0, PMT('Cases Data'!K6, 'Cases Data'!N6, -L23), 0)</f>
        <v>203051.89041446149</v>
      </c>
      <c r="R23" s="17">
        <f>IF(M23&gt;0, PMT('Cases Data'!L6, 'Cases Data'!O6, -M23), 0)</f>
        <v>0</v>
      </c>
      <c r="S23" s="17">
        <f t="shared" ca="1" si="1"/>
        <v>1138820.2396457167</v>
      </c>
      <c r="T23" s="5">
        <f t="shared" ca="1" si="2"/>
        <v>0.73200592945146248</v>
      </c>
      <c r="U23" s="17">
        <f>'Cases Data'!I6</f>
        <v>0</v>
      </c>
      <c r="V23" s="17">
        <f t="shared" ca="1" si="3"/>
        <v>-305197.07164571667</v>
      </c>
      <c r="W23" s="17">
        <f>U23 * Scenarios!D3 + 0.3 * J23</f>
        <v>0</v>
      </c>
    </row>
    <row r="24" spans="1:23" x14ac:dyDescent="0.25">
      <c r="A24" s="21" t="str">
        <f>'Cases Data'!A6</f>
        <v>Case 5</v>
      </c>
      <c r="B24" s="4" t="str">
        <f>Scenarios!A4</f>
        <v>Senior +200bps</v>
      </c>
      <c r="C24" s="17">
        <f>'Cases Data'!B6 * Scenarios!D4</f>
        <v>8570000</v>
      </c>
      <c r="D24" s="17">
        <f>'Cases Data'!C6 * Scenarios!B4 * Scenarios!D4</f>
        <v>1071803.52</v>
      </c>
      <c r="E24" s="17">
        <f>'Cases Data'!D6 * Scenarios!D4</f>
        <v>131000</v>
      </c>
      <c r="F24" s="17">
        <f t="shared" si="0"/>
        <v>940803.52</v>
      </c>
      <c r="G24" s="17">
        <f>'Cases Data'!F6</f>
        <v>6770300</v>
      </c>
      <c r="H24" s="17">
        <f>'Cases Data'!G6</f>
        <v>1799700</v>
      </c>
      <c r="I24" s="17">
        <f>'Cases Data'!H6</f>
        <v>0</v>
      </c>
      <c r="J24" s="17">
        <f>(I24 + H24) * (1 - Scenarios!E4)</f>
        <v>0</v>
      </c>
      <c r="K24" s="17">
        <f>G24 * Scenarios!D4 + 0.7 * J24</f>
        <v>6770300</v>
      </c>
      <c r="L24" s="17">
        <f>H24 * Scenarios!E4</f>
        <v>1799700</v>
      </c>
      <c r="M24" s="17">
        <f>I24 * Scenarios!E4</f>
        <v>0</v>
      </c>
      <c r="N24" s="17">
        <f>'Cases Data'!J6</f>
        <v>8.7956999999999994E-2</v>
      </c>
      <c r="O24" s="17">
        <f>N24 + Scenarios!C4</f>
        <v>0.107957</v>
      </c>
      <c r="P24" s="17">
        <f ca="1">IF(K24&gt;0, PMT(INDIRECT(ADDRESS(ROW(),15)), 'Cases Data'!M6, -K24), 0)</f>
        <v>1032682.2400783483</v>
      </c>
      <c r="Q24" s="17">
        <f>IF(L24&gt;0, PMT('Cases Data'!K6, 'Cases Data'!N6, -L24), 0)</f>
        <v>203051.89041446149</v>
      </c>
      <c r="R24" s="17">
        <f>IF(M24&gt;0, PMT('Cases Data'!L6, 'Cases Data'!O6, -M24), 0)</f>
        <v>0</v>
      </c>
      <c r="S24" s="17">
        <f t="shared" ca="1" si="1"/>
        <v>1235734.1304928097</v>
      </c>
      <c r="T24" s="5">
        <f t="shared" ca="1" si="2"/>
        <v>0.76133166251935469</v>
      </c>
      <c r="U24" s="17">
        <f>'Cases Data'!I6</f>
        <v>0</v>
      </c>
      <c r="V24" s="17">
        <f t="shared" ca="1" si="3"/>
        <v>-294930.61049280968</v>
      </c>
      <c r="W24" s="17">
        <f>U24 * Scenarios!D4 + 0.3 * J24</f>
        <v>0</v>
      </c>
    </row>
    <row r="25" spans="1:23" x14ac:dyDescent="0.25">
      <c r="A25" s="21" t="str">
        <f>'Cases Data'!A6</f>
        <v>Case 5</v>
      </c>
      <c r="B25" s="4" t="str">
        <f>Scenarios!A5</f>
        <v>CAPEX +20%</v>
      </c>
      <c r="C25" s="17">
        <f>'Cases Data'!B6 * Scenarios!D5</f>
        <v>10284000</v>
      </c>
      <c r="D25" s="17">
        <f>'Cases Data'!C6 * Scenarios!B5 * Scenarios!D5</f>
        <v>1286164.2239999999</v>
      </c>
      <c r="E25" s="17">
        <f>'Cases Data'!D6 * Scenarios!D5</f>
        <v>157200</v>
      </c>
      <c r="F25" s="17">
        <f t="shared" si="0"/>
        <v>1128964.2239999999</v>
      </c>
      <c r="G25" s="17">
        <f>'Cases Data'!F6</f>
        <v>6770300</v>
      </c>
      <c r="H25" s="17">
        <f>'Cases Data'!G6</f>
        <v>1799700</v>
      </c>
      <c r="I25" s="17">
        <f>'Cases Data'!H6</f>
        <v>0</v>
      </c>
      <c r="J25" s="17">
        <f>(I25 + H25) * (1 - Scenarios!E5)</f>
        <v>0</v>
      </c>
      <c r="K25" s="17">
        <f>G25 * Scenarios!D5 + 0.7 * J25</f>
        <v>8124360</v>
      </c>
      <c r="L25" s="17">
        <f>H25 * Scenarios!E5</f>
        <v>1799700</v>
      </c>
      <c r="M25" s="17">
        <f>I25 * Scenarios!E5</f>
        <v>0</v>
      </c>
      <c r="N25" s="17">
        <f>'Cases Data'!J6</f>
        <v>8.7956999999999994E-2</v>
      </c>
      <c r="O25" s="17">
        <f>N25 + Scenarios!C5</f>
        <v>8.7956999999999994E-2</v>
      </c>
      <c r="P25" s="17">
        <f ca="1">IF(K25&gt;0, PMT(INDIRECT(ADDRESS(ROW(),15)), 'Cases Data'!M6, -K25), 0)</f>
        <v>1122922.0190775061</v>
      </c>
      <c r="Q25" s="17">
        <f>IF(L25&gt;0, PMT('Cases Data'!K6, 'Cases Data'!N6, -L25), 0)</f>
        <v>203051.89041446149</v>
      </c>
      <c r="R25" s="17">
        <f>IF(M25&gt;0, PMT('Cases Data'!L6, 'Cases Data'!O6, -M25), 0)</f>
        <v>0</v>
      </c>
      <c r="S25" s="17">
        <f t="shared" ca="1" si="1"/>
        <v>1325973.9094919676</v>
      </c>
      <c r="T25" s="5">
        <f t="shared" ca="1" si="2"/>
        <v>0.85142265312938936</v>
      </c>
      <c r="U25" s="17">
        <f>'Cases Data'!I6</f>
        <v>0</v>
      </c>
      <c r="V25" s="17">
        <f t="shared" ca="1" si="3"/>
        <v>-197009.68549196771</v>
      </c>
      <c r="W25" s="17">
        <f>U25 * Scenarios!D5 + 0.3 * J25</f>
        <v>0</v>
      </c>
    </row>
    <row r="26" spans="1:23" x14ac:dyDescent="0.25">
      <c r="A26" s="21" t="str">
        <f>'Cases Data'!A6</f>
        <v>Case 5</v>
      </c>
      <c r="B26" s="4" t="str">
        <f>Scenarios!A6</f>
        <v>Concessional -50%</v>
      </c>
      <c r="C26" s="17">
        <f>'Cases Data'!B6 * Scenarios!D6</f>
        <v>8570000</v>
      </c>
      <c r="D26" s="17">
        <f>'Cases Data'!C6 * Scenarios!B6 * Scenarios!D6</f>
        <v>1071803.52</v>
      </c>
      <c r="E26" s="17">
        <f>'Cases Data'!D6 * Scenarios!D6</f>
        <v>131000</v>
      </c>
      <c r="F26" s="17">
        <f t="shared" si="0"/>
        <v>940803.52</v>
      </c>
      <c r="G26" s="17">
        <f>'Cases Data'!F6</f>
        <v>6770300</v>
      </c>
      <c r="H26" s="17">
        <f>'Cases Data'!G6</f>
        <v>1799700</v>
      </c>
      <c r="I26" s="17">
        <f>'Cases Data'!H6</f>
        <v>0</v>
      </c>
      <c r="J26" s="17">
        <f>(I26 + H26) * (1 - Scenarios!E6)</f>
        <v>899850</v>
      </c>
      <c r="K26" s="17">
        <f>G26 * Scenarios!D6 + 0.7 * J26</f>
        <v>7400195</v>
      </c>
      <c r="L26" s="17">
        <f>H26 * Scenarios!E6</f>
        <v>899850</v>
      </c>
      <c r="M26" s="17">
        <f>I26 * Scenarios!E6</f>
        <v>0</v>
      </c>
      <c r="N26" s="17">
        <f>'Cases Data'!J6</f>
        <v>8.7956999999999994E-2</v>
      </c>
      <c r="O26" s="17">
        <f>N26 + Scenarios!C6</f>
        <v>8.7956999999999994E-2</v>
      </c>
      <c r="P26" s="17">
        <f ca="1">IF(K26&gt;0, PMT(INDIRECT(ADDRESS(ROW(),15)), 'Cases Data'!M6, -K26), 0)</f>
        <v>1022830.3412166948</v>
      </c>
      <c r="Q26" s="17">
        <f>IF(L26&gt;0, PMT('Cases Data'!K6, 'Cases Data'!N6, -L26), 0)</f>
        <v>101525.94520723075</v>
      </c>
      <c r="R26" s="17">
        <f>IF(M26&gt;0, PMT('Cases Data'!L6, 'Cases Data'!O6, -M26), 0)</f>
        <v>0</v>
      </c>
      <c r="S26" s="17">
        <f t="shared" ca="1" si="1"/>
        <v>1124356.2864239255</v>
      </c>
      <c r="T26" s="5">
        <f t="shared" ca="1" si="2"/>
        <v>0.83674857459309027</v>
      </c>
      <c r="U26" s="17">
        <f>'Cases Data'!I6</f>
        <v>0</v>
      </c>
      <c r="V26" s="17">
        <f t="shared" ca="1" si="3"/>
        <v>-183552.76642392552</v>
      </c>
      <c r="W26" s="17">
        <f>U26 * Scenarios!D6 + 0.3 * J26</f>
        <v>269955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="115" zoomScaleNormal="115" workbookViewId="0">
      <selection activeCell="C9" sqref="C9"/>
    </sheetView>
  </sheetViews>
  <sheetFormatPr defaultRowHeight="13.2" x14ac:dyDescent="0.25"/>
  <cols>
    <col min="1" max="1" width="24.21875" style="4" customWidth="1"/>
    <col min="2" max="2" width="17.109375" style="4" customWidth="1"/>
    <col min="3" max="3" width="58.88671875" style="4" customWidth="1"/>
    <col min="4" max="4" width="63.33203125" style="4" customWidth="1"/>
    <col min="5" max="16384" width="8.88671875" style="4"/>
  </cols>
  <sheetData>
    <row r="1" spans="1:4" x14ac:dyDescent="0.25">
      <c r="A1" s="32" t="s">
        <v>0</v>
      </c>
      <c r="B1" s="32" t="s">
        <v>1</v>
      </c>
      <c r="C1" s="32" t="s">
        <v>114</v>
      </c>
      <c r="D1" s="33" t="s">
        <v>155</v>
      </c>
    </row>
    <row r="2" spans="1:4" x14ac:dyDescent="0.25">
      <c r="A2" s="28" t="s">
        <v>59</v>
      </c>
      <c r="B2" s="29">
        <v>10</v>
      </c>
      <c r="C2" s="30" t="s">
        <v>120</v>
      </c>
      <c r="D2" s="31" t="s">
        <v>121</v>
      </c>
    </row>
    <row r="3" spans="1:4" x14ac:dyDescent="0.25">
      <c r="A3" s="12" t="s">
        <v>60</v>
      </c>
      <c r="B3" s="10">
        <v>857</v>
      </c>
      <c r="C3" s="27" t="s">
        <v>122</v>
      </c>
      <c r="D3" s="25" t="s">
        <v>123</v>
      </c>
    </row>
    <row r="4" spans="1:4" x14ac:dyDescent="0.25">
      <c r="A4" s="28" t="s">
        <v>61</v>
      </c>
      <c r="B4" s="29">
        <v>13.1</v>
      </c>
      <c r="C4" s="30" t="s">
        <v>124</v>
      </c>
      <c r="D4" s="31" t="s">
        <v>125</v>
      </c>
    </row>
    <row r="5" spans="1:4" x14ac:dyDescent="0.25">
      <c r="A5" s="12" t="s">
        <v>62</v>
      </c>
      <c r="B5" s="10">
        <v>0.16</v>
      </c>
      <c r="C5" s="27" t="s">
        <v>126</v>
      </c>
      <c r="D5" s="25" t="s">
        <v>127</v>
      </c>
    </row>
    <row r="6" spans="1:4" x14ac:dyDescent="0.25">
      <c r="A6" s="28" t="s">
        <v>63</v>
      </c>
      <c r="B6" s="29">
        <v>8760</v>
      </c>
      <c r="C6" s="30" t="s">
        <v>128</v>
      </c>
      <c r="D6" s="31" t="s">
        <v>129</v>
      </c>
    </row>
    <row r="7" spans="1:4" x14ac:dyDescent="0.25">
      <c r="A7" s="12" t="s">
        <v>64</v>
      </c>
      <c r="B7" s="10">
        <v>76.47</v>
      </c>
      <c r="C7" s="27" t="s">
        <v>130</v>
      </c>
      <c r="D7" s="25" t="s">
        <v>131</v>
      </c>
    </row>
    <row r="8" spans="1:4" x14ac:dyDescent="0.25">
      <c r="A8" s="28" t="s">
        <v>65</v>
      </c>
      <c r="B8" s="29">
        <v>8.7956999999999994E-2</v>
      </c>
      <c r="C8" s="30" t="s">
        <v>132</v>
      </c>
      <c r="D8" s="31" t="s">
        <v>133</v>
      </c>
    </row>
    <row r="9" spans="1:4" x14ac:dyDescent="0.25">
      <c r="A9" s="12" t="s">
        <v>66</v>
      </c>
      <c r="B9" s="10">
        <v>12</v>
      </c>
      <c r="C9" s="27" t="s">
        <v>134</v>
      </c>
      <c r="D9" s="25" t="s">
        <v>135</v>
      </c>
    </row>
    <row r="10" spans="1:4" x14ac:dyDescent="0.25">
      <c r="A10" s="28" t="s">
        <v>67</v>
      </c>
      <c r="B10" s="29">
        <v>0.05</v>
      </c>
      <c r="C10" s="30" t="s">
        <v>136</v>
      </c>
      <c r="D10" s="31" t="s">
        <v>137</v>
      </c>
    </row>
    <row r="11" spans="1:4" x14ac:dyDescent="0.25">
      <c r="A11" s="12" t="s">
        <v>68</v>
      </c>
      <c r="B11" s="10">
        <v>12</v>
      </c>
      <c r="C11" s="27" t="s">
        <v>138</v>
      </c>
      <c r="D11" s="25" t="s">
        <v>139</v>
      </c>
    </row>
    <row r="12" spans="1:4" x14ac:dyDescent="0.25">
      <c r="A12" s="28" t="s">
        <v>69</v>
      </c>
      <c r="B12" s="29">
        <v>0.02</v>
      </c>
      <c r="C12" s="30" t="s">
        <v>140</v>
      </c>
      <c r="D12" s="31" t="s">
        <v>141</v>
      </c>
    </row>
    <row r="13" spans="1:4" x14ac:dyDescent="0.25">
      <c r="A13" s="12" t="s">
        <v>70</v>
      </c>
      <c r="B13" s="10">
        <v>20</v>
      </c>
      <c r="C13" s="27" t="s">
        <v>142</v>
      </c>
      <c r="D13" s="25" t="s">
        <v>143</v>
      </c>
    </row>
    <row r="14" spans="1:4" x14ac:dyDescent="0.25">
      <c r="A14" s="28" t="s">
        <v>71</v>
      </c>
      <c r="B14" s="29">
        <v>8570000</v>
      </c>
      <c r="C14" s="30" t="s">
        <v>144</v>
      </c>
      <c r="D14" s="31" t="s">
        <v>145</v>
      </c>
    </row>
    <row r="15" spans="1:4" x14ac:dyDescent="0.25">
      <c r="A15" s="12" t="s">
        <v>72</v>
      </c>
      <c r="B15" s="10">
        <v>50000</v>
      </c>
      <c r="C15" s="27" t="s">
        <v>146</v>
      </c>
      <c r="D15" s="25" t="s">
        <v>147</v>
      </c>
    </row>
    <row r="16" spans="1:4" x14ac:dyDescent="0.25">
      <c r="A16" s="28" t="s">
        <v>85</v>
      </c>
      <c r="B16" s="29">
        <v>6000</v>
      </c>
      <c r="C16" s="30" t="s">
        <v>148</v>
      </c>
      <c r="D16" s="31" t="s">
        <v>149</v>
      </c>
    </row>
    <row r="17" spans="1:4" x14ac:dyDescent="0.25">
      <c r="A17" s="12" t="s">
        <v>86</v>
      </c>
      <c r="B17" s="10">
        <v>6000</v>
      </c>
      <c r="C17" s="27" t="s">
        <v>148</v>
      </c>
      <c r="D17" s="25" t="s">
        <v>150</v>
      </c>
    </row>
    <row r="18" spans="1:4" x14ac:dyDescent="0.25">
      <c r="A18" s="28" t="s">
        <v>73</v>
      </c>
      <c r="B18" s="29">
        <v>30000</v>
      </c>
      <c r="C18" s="30" t="s">
        <v>151</v>
      </c>
      <c r="D18" s="31" t="s">
        <v>152</v>
      </c>
    </row>
    <row r="19" spans="1:4" x14ac:dyDescent="0.25">
      <c r="A19" s="12" t="s">
        <v>74</v>
      </c>
      <c r="B19" s="10">
        <v>0</v>
      </c>
      <c r="C19" s="27" t="s">
        <v>153</v>
      </c>
      <c r="D19" s="25" t="s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zoomScale="115" zoomScaleNormal="115" workbookViewId="0">
      <selection activeCell="D4" sqref="D4"/>
    </sheetView>
  </sheetViews>
  <sheetFormatPr defaultRowHeight="13.2" x14ac:dyDescent="0.25"/>
  <cols>
    <col min="1" max="1" width="30.109375" style="4" customWidth="1"/>
    <col min="2" max="2" width="19.33203125" style="4" customWidth="1"/>
    <col min="3" max="3" width="25.44140625" style="4" customWidth="1"/>
    <col min="4" max="4" width="18.21875" style="4" customWidth="1"/>
    <col min="5" max="5" width="27.88671875" style="4" customWidth="1"/>
    <col min="6" max="16384" width="8.88671875" style="4"/>
  </cols>
  <sheetData>
    <row r="1" spans="1:5" x14ac:dyDescent="0.25">
      <c r="A1" s="11" t="s">
        <v>90</v>
      </c>
      <c r="B1" s="11" t="s">
        <v>22</v>
      </c>
      <c r="C1" s="11" t="s">
        <v>23</v>
      </c>
      <c r="D1" s="11" t="s">
        <v>24</v>
      </c>
      <c r="E1" s="11" t="s">
        <v>25</v>
      </c>
    </row>
    <row r="2" spans="1:5" x14ac:dyDescent="0.25">
      <c r="A2" s="3" t="s">
        <v>26</v>
      </c>
      <c r="B2" s="3">
        <v>1</v>
      </c>
      <c r="C2" s="5">
        <v>0</v>
      </c>
      <c r="D2" s="3">
        <v>1</v>
      </c>
      <c r="E2" s="3">
        <v>1</v>
      </c>
    </row>
    <row r="3" spans="1:5" x14ac:dyDescent="0.25">
      <c r="A3" s="3" t="s">
        <v>27</v>
      </c>
      <c r="B3" s="3">
        <v>0.9</v>
      </c>
      <c r="C3" s="5">
        <v>0</v>
      </c>
      <c r="D3" s="3">
        <v>1</v>
      </c>
      <c r="E3" s="3">
        <v>1</v>
      </c>
    </row>
    <row r="4" spans="1:5" x14ac:dyDescent="0.25">
      <c r="A4" s="3" t="s">
        <v>28</v>
      </c>
      <c r="B4" s="3">
        <v>1</v>
      </c>
      <c r="C4" s="5">
        <v>0.02</v>
      </c>
      <c r="D4" s="3">
        <v>1</v>
      </c>
      <c r="E4" s="3">
        <v>1</v>
      </c>
    </row>
    <row r="5" spans="1:5" x14ac:dyDescent="0.25">
      <c r="A5" s="3" t="s">
        <v>29</v>
      </c>
      <c r="B5" s="3">
        <v>1</v>
      </c>
      <c r="C5" s="5">
        <v>0</v>
      </c>
      <c r="D5" s="3">
        <v>1.2</v>
      </c>
      <c r="E5" s="3">
        <v>1</v>
      </c>
    </row>
    <row r="6" spans="1:5" x14ac:dyDescent="0.25">
      <c r="A6" s="3" t="s">
        <v>30</v>
      </c>
      <c r="B6" s="3">
        <v>1</v>
      </c>
      <c r="C6" s="5">
        <v>0</v>
      </c>
      <c r="D6" s="3">
        <v>1</v>
      </c>
      <c r="E6" s="3">
        <v>0.5</v>
      </c>
    </row>
    <row r="7" spans="1:5" x14ac:dyDescent="0.25">
      <c r="A7" s="9"/>
    </row>
    <row r="8" spans="1:5" ht="78" customHeight="1" x14ac:dyDescent="0.25">
      <c r="A8" s="6" t="s">
        <v>110</v>
      </c>
      <c r="B8" s="34" t="s">
        <v>116</v>
      </c>
      <c r="C8" s="34"/>
      <c r="D8" s="34"/>
      <c r="E8" s="34"/>
    </row>
    <row r="9" spans="1:5" ht="63" customHeight="1" x14ac:dyDescent="0.25">
      <c r="A9" s="6" t="s">
        <v>111</v>
      </c>
      <c r="B9" s="34" t="s">
        <v>117</v>
      </c>
      <c r="C9" s="34"/>
      <c r="D9" s="34"/>
      <c r="E9" s="34"/>
    </row>
    <row r="10" spans="1:5" ht="66.599999999999994" customHeight="1" x14ac:dyDescent="0.25">
      <c r="A10" s="6" t="s">
        <v>112</v>
      </c>
      <c r="B10" s="34" t="s">
        <v>118</v>
      </c>
      <c r="C10" s="34"/>
      <c r="D10" s="34"/>
      <c r="E10" s="34"/>
    </row>
    <row r="11" spans="1:5" ht="64.2" customHeight="1" x14ac:dyDescent="0.25">
      <c r="A11" s="6" t="s">
        <v>115</v>
      </c>
      <c r="B11" s="34" t="s">
        <v>119</v>
      </c>
      <c r="C11" s="34"/>
      <c r="D11" s="34"/>
      <c r="E11" s="34"/>
    </row>
  </sheetData>
  <mergeCells count="4">
    <mergeCell ref="B8:E8"/>
    <mergeCell ref="B9:E9"/>
    <mergeCell ref="B10:E10"/>
    <mergeCell ref="B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selection activeCell="I6" sqref="I6"/>
    </sheetView>
  </sheetViews>
  <sheetFormatPr defaultRowHeight="13.2" x14ac:dyDescent="0.25"/>
  <cols>
    <col min="1" max="1" width="16.33203125" style="4" customWidth="1"/>
    <col min="2" max="2" width="16.44140625" style="4" customWidth="1"/>
    <col min="3" max="3" width="15.6640625" style="4" customWidth="1"/>
    <col min="4" max="4" width="15.33203125" style="4" customWidth="1"/>
    <col min="5" max="5" width="15.88671875" style="4" customWidth="1"/>
    <col min="6" max="6" width="8.88671875" style="4"/>
    <col min="7" max="7" width="8.88671875" style="4" customWidth="1"/>
    <col min="8" max="9" width="8.88671875" style="4"/>
    <col min="10" max="11" width="8.88671875" style="4" customWidth="1"/>
    <col min="12" max="16384" width="8.88671875" style="4"/>
  </cols>
  <sheetData>
    <row r="1" spans="1:5" x14ac:dyDescent="0.25">
      <c r="A1" s="3" t="s">
        <v>39</v>
      </c>
      <c r="B1" s="3" t="s">
        <v>75</v>
      </c>
      <c r="C1" s="3" t="s">
        <v>76</v>
      </c>
      <c r="D1" s="3" t="s">
        <v>77</v>
      </c>
      <c r="E1" s="3" t="s">
        <v>78</v>
      </c>
    </row>
    <row r="2" spans="1:5" x14ac:dyDescent="0.25">
      <c r="A2" s="3" t="s">
        <v>2</v>
      </c>
      <c r="B2" s="5">
        <v>0.2</v>
      </c>
      <c r="C2" s="5">
        <v>0</v>
      </c>
      <c r="D2" s="5">
        <v>0.5</v>
      </c>
      <c r="E2" s="5">
        <v>0.3</v>
      </c>
    </row>
    <row r="3" spans="1:5" x14ac:dyDescent="0.25">
      <c r="A3" s="3" t="s">
        <v>3</v>
      </c>
      <c r="B3" s="5">
        <v>0</v>
      </c>
      <c r="C3" s="5">
        <v>0.3</v>
      </c>
      <c r="D3" s="5">
        <v>0.5</v>
      </c>
      <c r="E3" s="5">
        <v>0.2</v>
      </c>
    </row>
    <row r="4" spans="1:5" x14ac:dyDescent="0.25">
      <c r="A4" s="3" t="s">
        <v>4</v>
      </c>
      <c r="B4" s="5">
        <v>0.15</v>
      </c>
      <c r="C4" s="5">
        <v>0.15</v>
      </c>
      <c r="D4" s="5">
        <v>0.4</v>
      </c>
      <c r="E4" s="5">
        <v>0.3</v>
      </c>
    </row>
    <row r="6" spans="1:5" ht="78.599999999999994" customHeight="1" x14ac:dyDescent="0.25">
      <c r="A6" s="6" t="s">
        <v>83</v>
      </c>
      <c r="B6" s="34" t="s">
        <v>79</v>
      </c>
      <c r="C6" s="34"/>
      <c r="D6" s="34"/>
      <c r="E6" s="34"/>
    </row>
    <row r="7" spans="1:5" x14ac:dyDescent="0.25">
      <c r="A7" s="7"/>
      <c r="B7" s="8"/>
      <c r="C7" s="8"/>
      <c r="D7" s="8"/>
      <c r="E7" s="8"/>
    </row>
    <row r="8" spans="1:5" ht="69.599999999999994" customHeight="1" x14ac:dyDescent="0.25">
      <c r="A8" s="6" t="s">
        <v>82</v>
      </c>
      <c r="B8" s="34" t="s">
        <v>80</v>
      </c>
      <c r="C8" s="34"/>
      <c r="D8" s="34"/>
      <c r="E8" s="34"/>
    </row>
    <row r="9" spans="1:5" x14ac:dyDescent="0.25">
      <c r="A9" s="9"/>
      <c r="B9" s="8"/>
      <c r="C9" s="8"/>
      <c r="D9" s="8"/>
      <c r="E9" s="8"/>
    </row>
    <row r="10" spans="1:5" ht="76.8" customHeight="1" x14ac:dyDescent="0.25">
      <c r="A10" s="6" t="s">
        <v>84</v>
      </c>
      <c r="B10" s="34" t="s">
        <v>81</v>
      </c>
      <c r="C10" s="34"/>
      <c r="D10" s="34"/>
      <c r="E10" s="34"/>
    </row>
  </sheetData>
  <mergeCells count="3">
    <mergeCell ref="B6:E6"/>
    <mergeCell ref="B8:E8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defaultRowHeight="14.4" x14ac:dyDescent="0.3"/>
  <cols>
    <col min="1" max="1" width="13.33203125" customWidth="1"/>
    <col min="2" max="2" width="22.88671875" customWidth="1"/>
    <col min="3" max="3" width="16.5546875" bestFit="1" customWidth="1"/>
    <col min="4" max="4" width="14.109375" bestFit="1" customWidth="1"/>
    <col min="5" max="5" width="15.6640625" bestFit="1" customWidth="1"/>
    <col min="6" max="6" width="14.109375" bestFit="1" customWidth="1"/>
    <col min="7" max="7" width="13.77734375" bestFit="1" customWidth="1"/>
    <col min="8" max="8" width="12.44140625" bestFit="1" customWidth="1"/>
    <col min="9" max="9" width="14.21875" bestFit="1" customWidth="1"/>
    <col min="10" max="10" width="12.44140625" bestFit="1" customWidth="1"/>
    <col min="11" max="11" width="12.109375" customWidth="1"/>
    <col min="12" max="12" width="20.44140625" customWidth="1"/>
  </cols>
  <sheetData>
    <row r="1" spans="1:12" s="1" customFormat="1" x14ac:dyDescent="0.3">
      <c r="A1" s="11" t="s">
        <v>39</v>
      </c>
      <c r="B1" s="11" t="s">
        <v>90</v>
      </c>
      <c r="C1" s="11" t="s">
        <v>91</v>
      </c>
      <c r="D1" s="11" t="s">
        <v>92</v>
      </c>
      <c r="E1" s="11" t="s">
        <v>93</v>
      </c>
      <c r="F1" s="11" t="s">
        <v>94</v>
      </c>
      <c r="G1" s="11" t="s">
        <v>95</v>
      </c>
      <c r="H1" s="11" t="s">
        <v>33</v>
      </c>
      <c r="I1" s="11" t="s">
        <v>40</v>
      </c>
      <c r="J1" s="11" t="s">
        <v>156</v>
      </c>
      <c r="K1" s="11" t="s">
        <v>37</v>
      </c>
      <c r="L1" s="11" t="s">
        <v>96</v>
      </c>
    </row>
    <row r="2" spans="1:12" x14ac:dyDescent="0.3">
      <c r="A2" s="22" t="str">
        <f>'Scenarios Def'!A2</f>
        <v>Option 1</v>
      </c>
      <c r="B2" s="4" t="str">
        <f>Scenarios!A2</f>
        <v>Baseline</v>
      </c>
      <c r="C2" s="5">
        <f>Inputs!B14 * 'Scenarios Def'!B2</f>
        <v>1714000</v>
      </c>
      <c r="D2" s="5">
        <f>Inputs!B14 * 'Scenarios Def'!C2</f>
        <v>0</v>
      </c>
      <c r="E2" s="5">
        <f>Inputs!B14 * 'Scenarios Def'!D2</f>
        <v>4285000</v>
      </c>
      <c r="F2" s="5">
        <f>Inputs!B14 * 'Scenarios Def'!E2</f>
        <v>2571000</v>
      </c>
      <c r="G2" s="5">
        <f>Inputs!B8 + Scenarios!C2</f>
        <v>8.7956999999999994E-2</v>
      </c>
      <c r="H2" s="5">
        <f>IF(E2&gt;0, PMT(G2, Inputs!B9, -E2), 0)</f>
        <v>592258.44888054125</v>
      </c>
      <c r="I2" s="5">
        <f>IF(C2&gt;0, PMT(Inputs!B10, Inputs!B11, -C2), 0)</f>
        <v>193382.7527756776</v>
      </c>
      <c r="J2" s="5">
        <f t="shared" ref="J2:J16" si="0">H2 + I2</f>
        <v>785641.20165621885</v>
      </c>
      <c r="K2" s="5">
        <f>IF(J2&gt;0, ((Inputs!B2*Inputs!B5*Inputs!B6*Scenarios!B2) - (Inputs!B2*1000*Inputs!B4*Scenarios!D2)) / J2, NA())</f>
        <v>-0.14890257760589026</v>
      </c>
      <c r="L2" s="5">
        <f>((Inputs!B2*Inputs!B5*Inputs!B6*Scenarios!B2) - (Inputs!B2*1000*Inputs!B4*Scenarios!D2)) - J2</f>
        <v>-902625.20165621885</v>
      </c>
    </row>
    <row r="3" spans="1:12" x14ac:dyDescent="0.3">
      <c r="A3" s="22" t="str">
        <f>'Scenarios Def'!A2</f>
        <v>Option 1</v>
      </c>
      <c r="B3" s="4" t="str">
        <f>Scenarios!A3</f>
        <v>Tariff -10%</v>
      </c>
      <c r="C3" s="5">
        <f>Inputs!B14 * 'Scenarios Def'!B2</f>
        <v>1714000</v>
      </c>
      <c r="D3" s="5">
        <f>Inputs!B14 * 'Scenarios Def'!C2</f>
        <v>0</v>
      </c>
      <c r="E3" s="5">
        <f>Inputs!B14 * 'Scenarios Def'!D2</f>
        <v>4285000</v>
      </c>
      <c r="F3" s="5">
        <f>Inputs!B14 * 'Scenarios Def'!E2</f>
        <v>2571000</v>
      </c>
      <c r="G3" s="5">
        <f>Inputs!B8 + Scenarios!C3</f>
        <v>8.7956999999999994E-2</v>
      </c>
      <c r="H3" s="5">
        <f>IF(E3&gt;0, PMT(G3, Inputs!B9, -E3), 0)</f>
        <v>592258.44888054125</v>
      </c>
      <c r="I3" s="5">
        <f>IF(C3&gt;0, PMT(Inputs!B10, Inputs!B11, -C3), 0)</f>
        <v>193382.7527756776</v>
      </c>
      <c r="J3" s="5">
        <f t="shared" si="0"/>
        <v>785641.20165621885</v>
      </c>
      <c r="K3" s="5">
        <f>IF(J3&gt;0, ((Inputs!B2*Inputs!B5*Inputs!B6*Scenarios!B3) - (Inputs!B2*1000*Inputs!B4*Scenarios!D3)) / J3, NA())</f>
        <v>-0.15068659809392637</v>
      </c>
      <c r="L3" s="5">
        <f>((Inputs!B2*Inputs!B5*Inputs!B6*Scenarios!B3) - (Inputs!B2*1000*Inputs!B4*Scenarios!D3)) - J3</f>
        <v>-904026.80165621883</v>
      </c>
    </row>
    <row r="4" spans="1:12" x14ac:dyDescent="0.3">
      <c r="A4" s="22" t="str">
        <f>'Scenarios Def'!A2</f>
        <v>Option 1</v>
      </c>
      <c r="B4" s="4" t="str">
        <f>Scenarios!A4</f>
        <v>Senior +200bps</v>
      </c>
      <c r="C4" s="5">
        <f>Inputs!B14 * 'Scenarios Def'!B2</f>
        <v>1714000</v>
      </c>
      <c r="D4" s="5">
        <f>Inputs!B14 * 'Scenarios Def'!C2</f>
        <v>0</v>
      </c>
      <c r="E4" s="5">
        <f>Inputs!B14 * 'Scenarios Def'!D2</f>
        <v>4285000</v>
      </c>
      <c r="F4" s="5">
        <f>Inputs!B14 * 'Scenarios Def'!E2</f>
        <v>2571000</v>
      </c>
      <c r="G4" s="5">
        <f>Inputs!B8 + Scenarios!C4</f>
        <v>0.107957</v>
      </c>
      <c r="H4" s="5">
        <f>IF(E4&gt;0, PMT(G4, Inputs!B9, -E4), 0)</f>
        <v>653596.35447996727</v>
      </c>
      <c r="I4" s="5">
        <f>IF(C4&gt;0, PMT(Inputs!B10, Inputs!B11, -C4), 0)</f>
        <v>193382.7527756776</v>
      </c>
      <c r="J4" s="5">
        <f t="shared" si="0"/>
        <v>846979.10725564486</v>
      </c>
      <c r="K4" s="5">
        <f>IF(J4&gt;0, ((Inputs!B2*Inputs!B5*Inputs!B6*Scenarios!B4) - (Inputs!B2*1000*Inputs!B4*Scenarios!D4)) / J4, NA())</f>
        <v>-0.13811910943003999</v>
      </c>
      <c r="L4" s="5">
        <f>((Inputs!B2*Inputs!B5*Inputs!B6*Scenarios!B4) - (Inputs!B2*1000*Inputs!B4*Scenarios!D4)) - J4</f>
        <v>-963963.10725564486</v>
      </c>
    </row>
    <row r="5" spans="1:12" x14ac:dyDescent="0.3">
      <c r="A5" s="22" t="str">
        <f>'Scenarios Def'!A2</f>
        <v>Option 1</v>
      </c>
      <c r="B5" s="4" t="str">
        <f>Scenarios!A5</f>
        <v>CAPEX +20%</v>
      </c>
      <c r="C5" s="5">
        <f>Inputs!B14 * 'Scenarios Def'!B2</f>
        <v>1714000</v>
      </c>
      <c r="D5" s="5">
        <f>Inputs!B14 * 'Scenarios Def'!C2</f>
        <v>0</v>
      </c>
      <c r="E5" s="5">
        <f>Inputs!B14 * 'Scenarios Def'!D2</f>
        <v>4285000</v>
      </c>
      <c r="F5" s="5">
        <f>Inputs!B14 * 'Scenarios Def'!E2</f>
        <v>2571000</v>
      </c>
      <c r="G5" s="5">
        <f>Inputs!B8 + Scenarios!C5</f>
        <v>8.7956999999999994E-2</v>
      </c>
      <c r="H5" s="5">
        <f>IF(E5&gt;0, PMT(G5, Inputs!B9, -E5), 0)</f>
        <v>592258.44888054125</v>
      </c>
      <c r="I5" s="5">
        <f>IF(C5&gt;0, PMT(Inputs!B10, Inputs!B11, -C5), 0)</f>
        <v>193382.7527756776</v>
      </c>
      <c r="J5" s="5">
        <f t="shared" si="0"/>
        <v>785641.20165621885</v>
      </c>
      <c r="K5" s="5">
        <f>IF(J5&gt;0, ((Inputs!B2*Inputs!B5*Inputs!B6*Scenarios!B5) - (Inputs!B2*1000*Inputs!B4*Scenarios!D5)) / J5, NA())</f>
        <v>-0.18225113410314051</v>
      </c>
      <c r="L5" s="5">
        <f>((Inputs!B2*Inputs!B5*Inputs!B6*Scenarios!B5) - (Inputs!B2*1000*Inputs!B4*Scenarios!D5)) - J5</f>
        <v>-928825.20165621885</v>
      </c>
    </row>
    <row r="6" spans="1:12" x14ac:dyDescent="0.3">
      <c r="A6" s="22" t="str">
        <f>'Scenarios Def'!A2</f>
        <v>Option 1</v>
      </c>
      <c r="B6" s="4" t="str">
        <f>Scenarios!A6</f>
        <v>Concessional -50%</v>
      </c>
      <c r="C6" s="5">
        <f>Inputs!B14 * 'Scenarios Def'!B2</f>
        <v>1714000</v>
      </c>
      <c r="D6" s="5">
        <f>Inputs!B14 * 'Scenarios Def'!C2</f>
        <v>0</v>
      </c>
      <c r="E6" s="5">
        <f>Inputs!B14 * 'Scenarios Def'!D2</f>
        <v>4285000</v>
      </c>
      <c r="F6" s="5">
        <f>Inputs!B14 * 'Scenarios Def'!E2</f>
        <v>2571000</v>
      </c>
      <c r="G6" s="5">
        <f>Inputs!B8 + Scenarios!C6</f>
        <v>8.7956999999999994E-2</v>
      </c>
      <c r="H6" s="5">
        <f>IF(E6&gt;0, PMT(G6, Inputs!B9, -E6), 0)</f>
        <v>592258.44888054125</v>
      </c>
      <c r="I6" s="5">
        <f>IF(C6&gt;0, PMT(Inputs!B10, Inputs!B11, -C6), 0)</f>
        <v>193382.7527756776</v>
      </c>
      <c r="J6" s="5">
        <f t="shared" si="0"/>
        <v>785641.20165621885</v>
      </c>
      <c r="K6" s="5">
        <f>IF(J6&gt;0, ((Inputs!B2*Inputs!B5*Inputs!B6*Scenarios!B6) - (Inputs!B2*1000*Inputs!B4*Scenarios!D6)) / J6, NA())</f>
        <v>-0.14890257760589026</v>
      </c>
      <c r="L6" s="5">
        <f>((Inputs!B2*Inputs!B5*Inputs!B6*Scenarios!B6) - (Inputs!B2*1000*Inputs!B4*Scenarios!D6)) - J6</f>
        <v>-902625.20165621885</v>
      </c>
    </row>
    <row r="7" spans="1:12" x14ac:dyDescent="0.3">
      <c r="A7" s="23" t="str">
        <f>'Scenarios Def'!A3</f>
        <v>Option 2</v>
      </c>
      <c r="B7" s="4" t="str">
        <f>Scenarios!A2</f>
        <v>Baseline</v>
      </c>
      <c r="C7" s="5">
        <f>Inputs!B14 * 'Scenarios Def'!B3</f>
        <v>0</v>
      </c>
      <c r="D7" s="5">
        <f>Inputs!B14 * 'Scenarios Def'!C3</f>
        <v>2571000</v>
      </c>
      <c r="E7" s="5">
        <f>Inputs!B14 * 'Scenarios Def'!D3</f>
        <v>4285000</v>
      </c>
      <c r="F7" s="5">
        <f>Inputs!B14 * 'Scenarios Def'!E3</f>
        <v>1714000</v>
      </c>
      <c r="G7" s="5">
        <f>Inputs!B8 + Scenarios!C2</f>
        <v>8.7956999999999994E-2</v>
      </c>
      <c r="H7" s="5">
        <f>IF(E7&gt;0, PMT(G7, Inputs!B9, -E7), 0)</f>
        <v>592258.44888054125</v>
      </c>
      <c r="I7" s="5">
        <f>IF(C7&gt;0, PMT(Inputs!B10, Inputs!B11, -C7), 0)</f>
        <v>0</v>
      </c>
      <c r="J7" s="5">
        <f t="shared" si="0"/>
        <v>592258.44888054125</v>
      </c>
      <c r="K7" s="5">
        <f>IF(J7&gt;0, ((Inputs!B2*Inputs!B5*Inputs!B6*Scenarios!B2) - (Inputs!B2*1000*Inputs!B4*Scenarios!D2)) / J7, NA())</f>
        <v>-0.19752187616929331</v>
      </c>
      <c r="L7" s="5">
        <f>((Inputs!B2*Inputs!B5*Inputs!B6*Scenarios!B2) - (Inputs!B2*1000*Inputs!B4*Scenarios!D2)) - J7</f>
        <v>-709242.44888054125</v>
      </c>
    </row>
    <row r="8" spans="1:12" x14ac:dyDescent="0.3">
      <c r="A8" s="23" t="str">
        <f>'Scenarios Def'!A3</f>
        <v>Option 2</v>
      </c>
      <c r="B8" s="4" t="str">
        <f>Scenarios!A3</f>
        <v>Tariff -10%</v>
      </c>
      <c r="C8" s="5">
        <f>Inputs!B14 * 'Scenarios Def'!B3</f>
        <v>0</v>
      </c>
      <c r="D8" s="5">
        <f>Inputs!B14 * 'Scenarios Def'!C3</f>
        <v>2571000</v>
      </c>
      <c r="E8" s="5">
        <f>Inputs!B14 * 'Scenarios Def'!D3</f>
        <v>4285000</v>
      </c>
      <c r="F8" s="5">
        <f>Inputs!B14 * 'Scenarios Def'!E3</f>
        <v>1714000</v>
      </c>
      <c r="G8" s="5">
        <f>Inputs!B8 + Scenarios!C3</f>
        <v>8.7956999999999994E-2</v>
      </c>
      <c r="H8" s="5">
        <f>IF(E8&gt;0, PMT(G8, Inputs!B9, -E8), 0)</f>
        <v>592258.44888054125</v>
      </c>
      <c r="I8" s="5">
        <f>IF(C8&gt;0, PMT(Inputs!B10, Inputs!B11, -C8), 0)</f>
        <v>0</v>
      </c>
      <c r="J8" s="5">
        <f t="shared" si="0"/>
        <v>592258.44888054125</v>
      </c>
      <c r="K8" s="5">
        <f>IF(J8&gt;0, ((Inputs!B2*Inputs!B5*Inputs!B6*Scenarios!B3) - (Inputs!B2*1000*Inputs!B4*Scenarios!D3)) / J8, NA())</f>
        <v>-0.19988841058116913</v>
      </c>
      <c r="L8" s="5">
        <f>((Inputs!B2*Inputs!B5*Inputs!B6*Scenarios!B3) - (Inputs!B2*1000*Inputs!B4*Scenarios!D3)) - J8</f>
        <v>-710644.04888054123</v>
      </c>
    </row>
    <row r="9" spans="1:12" x14ac:dyDescent="0.3">
      <c r="A9" s="23" t="str">
        <f>'Scenarios Def'!A3</f>
        <v>Option 2</v>
      </c>
      <c r="B9" s="4" t="str">
        <f>Scenarios!A4</f>
        <v>Senior +200bps</v>
      </c>
      <c r="C9" s="5">
        <f>Inputs!B14 * 'Scenarios Def'!B3</f>
        <v>0</v>
      </c>
      <c r="D9" s="5">
        <f>Inputs!B14 * 'Scenarios Def'!C3</f>
        <v>2571000</v>
      </c>
      <c r="E9" s="5">
        <f>Inputs!B14 * 'Scenarios Def'!D3</f>
        <v>4285000</v>
      </c>
      <c r="F9" s="5">
        <f>Inputs!B14 * 'Scenarios Def'!E3</f>
        <v>1714000</v>
      </c>
      <c r="G9" s="5">
        <f>Inputs!B8 + Scenarios!C4</f>
        <v>0.107957</v>
      </c>
      <c r="H9" s="5">
        <f>IF(E9&gt;0, PMT(G9, Inputs!B9, -E9), 0)</f>
        <v>653596.35447996727</v>
      </c>
      <c r="I9" s="5">
        <f>IF(C9&gt;0, PMT(Inputs!B10, Inputs!B11, -C9), 0)</f>
        <v>0</v>
      </c>
      <c r="J9" s="5">
        <f t="shared" si="0"/>
        <v>653596.35447996727</v>
      </c>
      <c r="K9" s="5">
        <f>IF(J9&gt;0, ((Inputs!B2*Inputs!B5*Inputs!B6*Scenarios!B4) - (Inputs!B2*1000*Inputs!B4*Scenarios!D4)) / J9, NA())</f>
        <v>-0.17898508643469729</v>
      </c>
      <c r="L9" s="5">
        <f>((Inputs!B2*Inputs!B5*Inputs!B6*Scenarios!B4) - (Inputs!B2*1000*Inputs!B4*Scenarios!D4)) - J9</f>
        <v>-770580.35447996727</v>
      </c>
    </row>
    <row r="10" spans="1:12" x14ac:dyDescent="0.3">
      <c r="A10" s="23" t="str">
        <f>'Scenarios Def'!A3</f>
        <v>Option 2</v>
      </c>
      <c r="B10" s="4" t="str">
        <f>Scenarios!A5</f>
        <v>CAPEX +20%</v>
      </c>
      <c r="C10" s="5">
        <f>Inputs!B14 * 'Scenarios Def'!B3</f>
        <v>0</v>
      </c>
      <c r="D10" s="5">
        <f>Inputs!B14 * 'Scenarios Def'!C3</f>
        <v>2571000</v>
      </c>
      <c r="E10" s="5">
        <f>Inputs!B14 * 'Scenarios Def'!D3</f>
        <v>4285000</v>
      </c>
      <c r="F10" s="5">
        <f>Inputs!B14 * 'Scenarios Def'!E3</f>
        <v>1714000</v>
      </c>
      <c r="G10" s="5">
        <f>Inputs!B8 + Scenarios!C5</f>
        <v>8.7956999999999994E-2</v>
      </c>
      <c r="H10" s="5">
        <f>IF(E10&gt;0, PMT(G10, Inputs!B9, -E10), 0)</f>
        <v>592258.44888054125</v>
      </c>
      <c r="I10" s="5">
        <f>IF(C10&gt;0, PMT(Inputs!B10, Inputs!B11, -C10), 0)</f>
        <v>0</v>
      </c>
      <c r="J10" s="5">
        <f t="shared" si="0"/>
        <v>592258.44888054125</v>
      </c>
      <c r="K10" s="5">
        <f>IF(J10&gt;0, ((Inputs!B2*Inputs!B5*Inputs!B6*Scenarios!B5) - (Inputs!B2*1000*Inputs!B4*Scenarios!D5)) / J10, NA())</f>
        <v>-0.24175932022690361</v>
      </c>
      <c r="L10" s="5">
        <f>((Inputs!B2*Inputs!B5*Inputs!B6*Scenarios!B5) - (Inputs!B2*1000*Inputs!B4*Scenarios!D5)) - J10</f>
        <v>-735442.44888054125</v>
      </c>
    </row>
    <row r="11" spans="1:12" x14ac:dyDescent="0.3">
      <c r="A11" s="23" t="str">
        <f>'Scenarios Def'!A3</f>
        <v>Option 2</v>
      </c>
      <c r="B11" s="4" t="str">
        <f>Scenarios!A6</f>
        <v>Concessional -50%</v>
      </c>
      <c r="C11" s="5">
        <f>Inputs!B14 * 'Scenarios Def'!B3</f>
        <v>0</v>
      </c>
      <c r="D11" s="5">
        <f>Inputs!B14 * 'Scenarios Def'!C3</f>
        <v>2571000</v>
      </c>
      <c r="E11" s="5">
        <f>Inputs!B14 * 'Scenarios Def'!D3</f>
        <v>4285000</v>
      </c>
      <c r="F11" s="5">
        <f>Inputs!B14 * 'Scenarios Def'!E3</f>
        <v>1714000</v>
      </c>
      <c r="G11" s="5">
        <f>Inputs!B8 + Scenarios!C6</f>
        <v>8.7956999999999994E-2</v>
      </c>
      <c r="H11" s="5">
        <f>IF(E11&gt;0, PMT(G11, Inputs!B9, -E11), 0)</f>
        <v>592258.44888054125</v>
      </c>
      <c r="I11" s="5">
        <f>IF(C11&gt;0, PMT(Inputs!B10, Inputs!B11, -C11), 0)</f>
        <v>0</v>
      </c>
      <c r="J11" s="5">
        <f t="shared" si="0"/>
        <v>592258.44888054125</v>
      </c>
      <c r="K11" s="5">
        <f>IF(J11&gt;0, ((Inputs!B2*Inputs!B5*Inputs!B6*Scenarios!B6) - (Inputs!B2*1000*Inputs!B4*Scenarios!D6)) / J11, NA())</f>
        <v>-0.19752187616929331</v>
      </c>
      <c r="L11" s="5">
        <f>((Inputs!B2*Inputs!B5*Inputs!B6*Scenarios!B6) - (Inputs!B2*1000*Inputs!B4*Scenarios!D6)) - J11</f>
        <v>-709242.44888054125</v>
      </c>
    </row>
    <row r="12" spans="1:12" x14ac:dyDescent="0.3">
      <c r="A12" s="24" t="str">
        <f>'Scenarios Def'!A4</f>
        <v>Option 3</v>
      </c>
      <c r="B12" s="4" t="str">
        <f>Scenarios!A2</f>
        <v>Baseline</v>
      </c>
      <c r="C12" s="5">
        <f>Inputs!B14 * 'Scenarios Def'!B4</f>
        <v>1285500</v>
      </c>
      <c r="D12" s="5">
        <f>Inputs!B14 * 'Scenarios Def'!C4</f>
        <v>1285500</v>
      </c>
      <c r="E12" s="5">
        <f>Inputs!B14 * 'Scenarios Def'!D4</f>
        <v>3428000</v>
      </c>
      <c r="F12" s="5">
        <f>Inputs!B14 * 'Scenarios Def'!E4</f>
        <v>2571000</v>
      </c>
      <c r="G12" s="5">
        <f>Inputs!B8 + Scenarios!C2</f>
        <v>8.7956999999999994E-2</v>
      </c>
      <c r="H12" s="5">
        <f>IF(E12&gt;0, PMT(G12, Inputs!B9, -E12), 0)</f>
        <v>473806.75910443295</v>
      </c>
      <c r="I12" s="5">
        <f>IF(C12&gt;0, PMT(Inputs!B10, Inputs!B11, -C12), 0)</f>
        <v>145037.0645817582</v>
      </c>
      <c r="J12" s="5">
        <f t="shared" si="0"/>
        <v>618843.82368619111</v>
      </c>
      <c r="K12" s="5">
        <f>IF(J12&gt;0, ((Inputs!B2*Inputs!B5*Inputs!B6*Scenarios!B2) - (Inputs!B2*1000*Inputs!B4*Scenarios!D2)) / J12, NA())</f>
        <v>-0.18903638611625104</v>
      </c>
      <c r="L12" s="5">
        <f>((Inputs!B2*Inputs!B5*Inputs!B6*Scenarios!B2) - (Inputs!B2*1000*Inputs!B4*Scenarios!D2)) - J12</f>
        <v>-735827.82368619111</v>
      </c>
    </row>
    <row r="13" spans="1:12" x14ac:dyDescent="0.3">
      <c r="A13" s="24" t="str">
        <f>'Scenarios Def'!A4</f>
        <v>Option 3</v>
      </c>
      <c r="B13" s="4" t="str">
        <f>Scenarios!A3</f>
        <v>Tariff -10%</v>
      </c>
      <c r="C13" s="5">
        <f>Inputs!B14 * 'Scenarios Def'!B4</f>
        <v>1285500</v>
      </c>
      <c r="D13" s="5">
        <f>Inputs!B14 * 'Scenarios Def'!C4</f>
        <v>1285500</v>
      </c>
      <c r="E13" s="5">
        <f>Inputs!B14 * 'Scenarios Def'!D4</f>
        <v>3428000</v>
      </c>
      <c r="F13" s="5">
        <f>Inputs!B14 * 'Scenarios Def'!E4</f>
        <v>2571000</v>
      </c>
      <c r="G13" s="5">
        <f>Inputs!B8 + Scenarios!C3</f>
        <v>8.7956999999999994E-2</v>
      </c>
      <c r="H13" s="5">
        <f>IF(E13&gt;0, PMT(G13, Inputs!B9, -E13), 0)</f>
        <v>473806.75910443295</v>
      </c>
      <c r="I13" s="5">
        <f>IF(C13&gt;0, PMT(Inputs!B10, Inputs!B11, -C13), 0)</f>
        <v>145037.0645817582</v>
      </c>
      <c r="J13" s="5">
        <f t="shared" si="0"/>
        <v>618843.82368619111</v>
      </c>
      <c r="K13" s="5">
        <f>IF(J13&gt;0, ((Inputs!B2*Inputs!B5*Inputs!B6*Scenarios!B3) - (Inputs!B2*1000*Inputs!B4*Scenarios!D3)) / J13, NA())</f>
        <v>-0.19130125480582003</v>
      </c>
      <c r="L13" s="5">
        <f>((Inputs!B2*Inputs!B5*Inputs!B6*Scenarios!B3) - (Inputs!B2*1000*Inputs!B4*Scenarios!D3)) - J13</f>
        <v>-737229.42368619109</v>
      </c>
    </row>
    <row r="14" spans="1:12" x14ac:dyDescent="0.3">
      <c r="A14" s="24" t="str">
        <f>'Scenarios Def'!A4</f>
        <v>Option 3</v>
      </c>
      <c r="B14" s="4" t="str">
        <f>Scenarios!A4</f>
        <v>Senior +200bps</v>
      </c>
      <c r="C14" s="5">
        <f>Inputs!B14 * 'Scenarios Def'!B4</f>
        <v>1285500</v>
      </c>
      <c r="D14" s="5">
        <f>Inputs!B14 * 'Scenarios Def'!C4</f>
        <v>1285500</v>
      </c>
      <c r="E14" s="5">
        <f>Inputs!B14 * 'Scenarios Def'!D4</f>
        <v>3428000</v>
      </c>
      <c r="F14" s="5">
        <f>Inputs!B14 * 'Scenarios Def'!E4</f>
        <v>2571000</v>
      </c>
      <c r="G14" s="5">
        <f>Inputs!B8 + Scenarios!C4</f>
        <v>0.107957</v>
      </c>
      <c r="H14" s="5">
        <f>IF(E14&gt;0, PMT(G14, Inputs!B9, -E14), 0)</f>
        <v>522877.08358397381</v>
      </c>
      <c r="I14" s="5">
        <f>IF(C14&gt;0, PMT(Inputs!B10, Inputs!B11, -C14), 0)</f>
        <v>145037.0645817582</v>
      </c>
      <c r="J14" s="5">
        <f t="shared" si="0"/>
        <v>667914.14816573204</v>
      </c>
      <c r="K14" s="5">
        <f>IF(J14&gt;0, ((Inputs!B2*Inputs!B5*Inputs!B6*Scenarios!B4) - (Inputs!B2*1000*Inputs!B4*Scenarios!D4)) / J14, NA())</f>
        <v>-0.17514825868155187</v>
      </c>
      <c r="L14" s="5">
        <f>((Inputs!B2*Inputs!B5*Inputs!B6*Scenarios!B4) - (Inputs!B2*1000*Inputs!B4*Scenarios!D4)) - J14</f>
        <v>-784898.14816573204</v>
      </c>
    </row>
    <row r="15" spans="1:12" x14ac:dyDescent="0.3">
      <c r="A15" s="24" t="str">
        <f>'Scenarios Def'!A4</f>
        <v>Option 3</v>
      </c>
      <c r="B15" s="4" t="str">
        <f>Scenarios!A5</f>
        <v>CAPEX +20%</v>
      </c>
      <c r="C15" s="5">
        <f>Inputs!B14 * 'Scenarios Def'!B4</f>
        <v>1285500</v>
      </c>
      <c r="D15" s="5">
        <f>Inputs!B14 * 'Scenarios Def'!C4</f>
        <v>1285500</v>
      </c>
      <c r="E15" s="5">
        <f>Inputs!B14 * 'Scenarios Def'!D4</f>
        <v>3428000</v>
      </c>
      <c r="F15" s="5">
        <f>Inputs!B14 * 'Scenarios Def'!E4</f>
        <v>2571000</v>
      </c>
      <c r="G15" s="5">
        <f>Inputs!B8 + Scenarios!C5</f>
        <v>8.7956999999999994E-2</v>
      </c>
      <c r="H15" s="5">
        <f>IF(E15&gt;0, PMT(G15, Inputs!B9, -E15), 0)</f>
        <v>473806.75910443295</v>
      </c>
      <c r="I15" s="5">
        <f>IF(C15&gt;0, PMT(Inputs!B10, Inputs!B11, -C15), 0)</f>
        <v>145037.0645817582</v>
      </c>
      <c r="J15" s="5">
        <f t="shared" si="0"/>
        <v>618843.82368619111</v>
      </c>
      <c r="K15" s="5">
        <f>IF(J15&gt;0, ((Inputs!B2*Inputs!B5*Inputs!B6*Scenarios!B5) - (Inputs!B2*1000*Inputs!B4*Scenarios!D5)) / J15, NA())</f>
        <v>-0.23137340071863921</v>
      </c>
      <c r="L15" s="5">
        <f>((Inputs!B2*Inputs!B5*Inputs!B6*Scenarios!B5) - (Inputs!B2*1000*Inputs!B4*Scenarios!D5)) - J15</f>
        <v>-762027.82368619111</v>
      </c>
    </row>
    <row r="16" spans="1:12" x14ac:dyDescent="0.3">
      <c r="A16" s="24" t="str">
        <f>'Scenarios Def'!A4</f>
        <v>Option 3</v>
      </c>
      <c r="B16" s="4" t="str">
        <f>Scenarios!A6</f>
        <v>Concessional -50%</v>
      </c>
      <c r="C16" s="5">
        <f>Inputs!B14 * 'Scenarios Def'!B4</f>
        <v>1285500</v>
      </c>
      <c r="D16" s="5">
        <f>Inputs!B14 * 'Scenarios Def'!C4</f>
        <v>1285500</v>
      </c>
      <c r="E16" s="5">
        <f>Inputs!B14 * 'Scenarios Def'!D4</f>
        <v>3428000</v>
      </c>
      <c r="F16" s="5">
        <f>Inputs!B14 * 'Scenarios Def'!E4</f>
        <v>2571000</v>
      </c>
      <c r="G16" s="5">
        <f>Inputs!B8 + Scenarios!C6</f>
        <v>8.7956999999999994E-2</v>
      </c>
      <c r="H16" s="5">
        <f>IF(E16&gt;0, PMT(G16, Inputs!B9, -E16), 0)</f>
        <v>473806.75910443295</v>
      </c>
      <c r="I16" s="5">
        <f>IF(C16&gt;0, PMT(Inputs!B10, Inputs!B11, -C16), 0)</f>
        <v>145037.0645817582</v>
      </c>
      <c r="J16" s="5">
        <f t="shared" si="0"/>
        <v>618843.82368619111</v>
      </c>
      <c r="K16" s="5">
        <f>IF(J16&gt;0, ((Inputs!B2*Inputs!B5*Inputs!B6*Scenarios!B6) - (Inputs!B2*1000*Inputs!B4*Scenarios!D6)) / J16, NA())</f>
        <v>-0.18903638611625104</v>
      </c>
      <c r="L16" s="5">
        <f>((Inputs!B2*Inputs!B5*Inputs!B6*Scenarios!B6) - (Inputs!B2*1000*Inputs!B4*Scenarios!D6)) - J16</f>
        <v>-735827.82368619111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activeCell="F8" sqref="F8"/>
    </sheetView>
  </sheetViews>
  <sheetFormatPr defaultRowHeight="14.4" x14ac:dyDescent="0.3"/>
  <cols>
    <col min="1" max="1" width="30.88671875" bestFit="1" customWidth="1"/>
    <col min="2" max="6" width="18.6640625" customWidth="1"/>
  </cols>
  <sheetData>
    <row r="1" spans="1:6" s="2" customFormat="1" x14ac:dyDescent="0.3">
      <c r="A1" s="11" t="s">
        <v>113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</row>
    <row r="2" spans="1:6" x14ac:dyDescent="0.3">
      <c r="A2" s="4" t="s">
        <v>41</v>
      </c>
      <c r="B2" s="26">
        <f>Inputs!$B$2*Inputs!$B$5*Inputs!$B$6*Inputs!$B$7*Scenarios!B2</f>
        <v>1071803.52</v>
      </c>
      <c r="C2" s="26">
        <f>Inputs!$B$2*Inputs!$B$5*Inputs!$B$6*Inputs!$B$7*Scenarios!B3</f>
        <v>964623.16800000006</v>
      </c>
      <c r="D2" s="26">
        <f>Inputs!$B$2*Inputs!$B$5*Inputs!$B$6*Inputs!$B$7*Scenarios!B4</f>
        <v>1071803.52</v>
      </c>
      <c r="E2" s="26">
        <f>Inputs!$B$2*Inputs!$B$5*Inputs!$B$6*Inputs!$B$7*Scenarios!B5</f>
        <v>1071803.52</v>
      </c>
      <c r="F2" s="26">
        <f>Inputs!$B$2*Inputs!$B$5*Inputs!$B$6*Inputs!$B$7*Scenarios!B6</f>
        <v>1071803.52</v>
      </c>
    </row>
    <row r="3" spans="1:6" x14ac:dyDescent="0.3">
      <c r="A3" s="4" t="s">
        <v>42</v>
      </c>
      <c r="B3" s="26">
        <f>Inputs!$B$2*1000*Inputs!$B$4*Scenarios!D2</f>
        <v>131000</v>
      </c>
      <c r="C3" s="26">
        <f>Inputs!$B$2*1000*Inputs!$B$4*Scenarios!D3</f>
        <v>131000</v>
      </c>
      <c r="D3" s="26">
        <f>Inputs!$B$2*1000*Inputs!$B$4*Scenarios!D4</f>
        <v>131000</v>
      </c>
      <c r="E3" s="26">
        <f>Inputs!$B$2*1000*Inputs!$B$4*Scenarios!D5</f>
        <v>157200</v>
      </c>
      <c r="F3" s="26">
        <f>Inputs!$B$2*1000*Inputs!$B$4*Scenarios!D6</f>
        <v>131000</v>
      </c>
    </row>
    <row r="4" spans="1:6" x14ac:dyDescent="0.3">
      <c r="A4" s="4" t="s">
        <v>43</v>
      </c>
      <c r="B4" s="26">
        <f>B$2 - B$3</f>
        <v>940803.52</v>
      </c>
      <c r="C4" s="26">
        <f>C$2 - C$3</f>
        <v>833623.16800000006</v>
      </c>
      <c r="D4" s="26">
        <f>D$2 - D$3</f>
        <v>940803.52</v>
      </c>
      <c r="E4" s="26">
        <f>E$2 - E$3</f>
        <v>914603.52000000002</v>
      </c>
      <c r="F4" s="26">
        <f>F$2 - F$3</f>
        <v>940803.52</v>
      </c>
    </row>
    <row r="5" spans="1:6" x14ac:dyDescent="0.3">
      <c r="A5" s="4" t="s">
        <v>44</v>
      </c>
      <c r="B5" s="26">
        <f>Inputs!$B$14 * Scenarios!D2</f>
        <v>8570000</v>
      </c>
      <c r="C5" s="26">
        <f>Inputs!$B$14 * Scenarios!D3</f>
        <v>8570000</v>
      </c>
      <c r="D5" s="26">
        <f>Inputs!$B$14 * Scenarios!D4</f>
        <v>8570000</v>
      </c>
      <c r="E5" s="26">
        <f>Inputs!$B$14 * Scenarios!D5</f>
        <v>10284000</v>
      </c>
      <c r="F5" s="26">
        <f>Inputs!$B$14 * Scenarios!D6</f>
        <v>8570000</v>
      </c>
    </row>
    <row r="6" spans="1:6" x14ac:dyDescent="0.3">
      <c r="A6" s="4" t="s">
        <v>45</v>
      </c>
      <c r="B6" s="26">
        <f>Inputs!$B$15 * Scenarios!D2</f>
        <v>50000</v>
      </c>
      <c r="C6" s="26">
        <f>Inputs!$B$15 * Scenarios!D3</f>
        <v>50000</v>
      </c>
      <c r="D6" s="26">
        <f>Inputs!$B$15 * Scenarios!D4</f>
        <v>50000</v>
      </c>
      <c r="E6" s="26">
        <f>Inputs!$B$15 * Scenarios!D5</f>
        <v>60000</v>
      </c>
      <c r="F6" s="26">
        <f>Inputs!$B$15 * Scenarios!D6</f>
        <v>50000</v>
      </c>
    </row>
    <row r="7" spans="1:6" x14ac:dyDescent="0.3">
      <c r="A7" s="4" t="s">
        <v>46</v>
      </c>
      <c r="B7" s="26">
        <f>Inputs!$B$16 * Scenarios!D2</f>
        <v>6000</v>
      </c>
      <c r="C7" s="26">
        <f>Inputs!$B$16 * Scenarios!D3</f>
        <v>6000</v>
      </c>
      <c r="D7" s="26">
        <f>Inputs!$B$16 * Scenarios!D4</f>
        <v>6000</v>
      </c>
      <c r="E7" s="26">
        <f>Inputs!$B$16 * Scenarios!D5</f>
        <v>7200</v>
      </c>
      <c r="F7" s="26">
        <f>Inputs!$B$16 * Scenarios!D6</f>
        <v>6000</v>
      </c>
    </row>
    <row r="8" spans="1:6" x14ac:dyDescent="0.3">
      <c r="A8" s="4" t="s">
        <v>47</v>
      </c>
      <c r="B8" s="26">
        <f>(B$5 + B$6 + B$7 + Inputs!$B$17 * Scenarios!D2)</f>
        <v>8632000</v>
      </c>
      <c r="C8" s="26">
        <f>(C$5 + C$6 + C$7 + Inputs!$B$17 * Scenarios!D3)</f>
        <v>8632000</v>
      </c>
      <c r="D8" s="26">
        <f>(D$5 + D$6 + D$7 + Inputs!$B$17 * Scenarios!D4)</f>
        <v>8632000</v>
      </c>
      <c r="E8" s="26">
        <f>(E$5 + E$6 + E$7 + Inputs!$B$17 * Scenarios!D5)</f>
        <v>10358400</v>
      </c>
      <c r="F8" s="26">
        <f>(F$5 + F$6 + F$7 + Inputs!$B$17 * Scenarios!D6)</f>
        <v>8632000</v>
      </c>
    </row>
    <row r="9" spans="1:6" x14ac:dyDescent="0.3">
      <c r="A9" s="4" t="s">
        <v>48</v>
      </c>
      <c r="B9" s="26">
        <f>Inputs!$B$18 * Scenarios!D2</f>
        <v>30000</v>
      </c>
      <c r="C9" s="26">
        <f>Inputs!$B$18 * Scenarios!D3</f>
        <v>30000</v>
      </c>
      <c r="D9" s="26">
        <f>Inputs!$B$18 * Scenarios!D4</f>
        <v>30000</v>
      </c>
      <c r="E9" s="26">
        <f>Inputs!$B$18 * Scenarios!D5</f>
        <v>36000</v>
      </c>
      <c r="F9" s="26">
        <f>Inputs!$B$18 * Scenarios!D6</f>
        <v>30000</v>
      </c>
    </row>
    <row r="10" spans="1:6" x14ac:dyDescent="0.3">
      <c r="A10" s="4" t="s">
        <v>49</v>
      </c>
      <c r="B10" s="26">
        <f>B$4 - B$8</f>
        <v>-7691196.4800000004</v>
      </c>
      <c r="C10" s="26">
        <f>C$4 - C$8</f>
        <v>-7798376.8320000004</v>
      </c>
      <c r="D10" s="26">
        <f>D$4 - D$8</f>
        <v>-7691196.4800000004</v>
      </c>
      <c r="E10" s="26">
        <f>E$4 - E$8</f>
        <v>-9443796.4800000004</v>
      </c>
      <c r="F10" s="26">
        <f>F$4 - F$8</f>
        <v>-7691196.4800000004</v>
      </c>
    </row>
    <row r="11" spans="1:6" x14ac:dyDescent="0.3">
      <c r="A11" s="4" t="s">
        <v>50</v>
      </c>
      <c r="B11" s="26">
        <f>IF(Inputs!$B$14*'Scenarios Def'!D2&gt;0, PMT(B$19, Inputs!$B$9, -Inputs!$B$14*'Scenarios Def'!D2), 0)</f>
        <v>592258.44888054125</v>
      </c>
      <c r="C11" s="26">
        <f>IF(Inputs!$B$14*'Scenarios Def'!D2&gt;0, PMT(C$19, Inputs!$B$9, -Inputs!$B$14*'Scenarios Def'!D2), 0)</f>
        <v>592258.44888054125</v>
      </c>
      <c r="D11" s="26">
        <f>IF(Inputs!$B$14*'Scenarios Def'!D2&gt;0, PMT(D$19, Inputs!$B$9, -Inputs!$B$14*'Scenarios Def'!D2), 0)</f>
        <v>653596.35447996727</v>
      </c>
      <c r="E11" s="26">
        <f>IF(Inputs!$B$14*'Scenarios Def'!D2&gt;0, PMT(E$19, Inputs!$B$9, -Inputs!$B$14*'Scenarios Def'!D2), 0)</f>
        <v>592258.44888054125</v>
      </c>
      <c r="F11" s="26">
        <f>IF(Inputs!$B$14*'Scenarios Def'!D2&gt;0, PMT(F$19, Inputs!$B$9, -Inputs!$B$14*'Scenarios Def'!D2), 0)</f>
        <v>592258.44888054125</v>
      </c>
    </row>
    <row r="12" spans="1:6" x14ac:dyDescent="0.3">
      <c r="A12" s="4" t="s">
        <v>51</v>
      </c>
      <c r="B12" s="26">
        <f>Inputs!$B$14 * 'Scenarios Def'!D2</f>
        <v>4285000</v>
      </c>
      <c r="C12" s="26">
        <f>Inputs!$B$14 * 'Scenarios Def'!D2</f>
        <v>4285000</v>
      </c>
      <c r="D12" s="26">
        <f>Inputs!$B$14 * 'Scenarios Def'!D2</f>
        <v>4285000</v>
      </c>
      <c r="E12" s="26">
        <f>Inputs!$B$14 * 'Scenarios Def'!D2</f>
        <v>4285000</v>
      </c>
      <c r="F12" s="26">
        <f>Inputs!$B$14 * 'Scenarios Def'!D2</f>
        <v>4285000</v>
      </c>
    </row>
    <row r="13" spans="1:6" x14ac:dyDescent="0.3">
      <c r="A13" s="4" t="s">
        <v>52</v>
      </c>
      <c r="B13" s="26">
        <f>Inputs!$B$14 * 'Scenarios Def'!B2</f>
        <v>1714000</v>
      </c>
      <c r="C13" s="26">
        <f>Inputs!$B$14 * 'Scenarios Def'!B2</f>
        <v>1714000</v>
      </c>
      <c r="D13" s="26">
        <f>Inputs!$B$14 * 'Scenarios Def'!B2</f>
        <v>1714000</v>
      </c>
      <c r="E13" s="26">
        <f>Inputs!$B$14 * 'Scenarios Def'!B2</f>
        <v>1714000</v>
      </c>
      <c r="F13" s="26">
        <f>Inputs!$B$14 * 'Scenarios Def'!B2</f>
        <v>1714000</v>
      </c>
    </row>
    <row r="14" spans="1:6" x14ac:dyDescent="0.3">
      <c r="A14" s="4" t="s">
        <v>53</v>
      </c>
      <c r="B14" s="26">
        <f>IF(Inputs!$B$14*'Scenarios Def'!B2&gt;0, PMT(Inputs!$B$12, Inputs!$B$13, -Inputs!$B$14*'Scenarios Def'!B2), 0)</f>
        <v>104822.61486674772</v>
      </c>
      <c r="C14" s="26">
        <f>IF(Inputs!$B$14*'Scenarios Def'!B2&gt;0, PMT(Inputs!$B$12, Inputs!$B$13, -Inputs!$B$14*'Scenarios Def'!B2), 0)</f>
        <v>104822.61486674772</v>
      </c>
      <c r="D14" s="26">
        <f>IF(Inputs!$B$14*'Scenarios Def'!B2&gt;0, PMT(Inputs!$B$12, Inputs!$B$13, -Inputs!$B$14*'Scenarios Def'!B2), 0)</f>
        <v>104822.61486674772</v>
      </c>
      <c r="E14" s="26">
        <f>IF(Inputs!$B$14*'Scenarios Def'!B2&gt;0, PMT(Inputs!$B$12, Inputs!$B$13, -Inputs!$B$14*'Scenarios Def'!B2), 0)</f>
        <v>104822.61486674772</v>
      </c>
      <c r="F14" s="26">
        <f>IF(Inputs!$B$14*'Scenarios Def'!B2&gt;0, PMT(Inputs!$B$12, Inputs!$B$13, -Inputs!$B$14*'Scenarios Def'!B2), 0)</f>
        <v>104822.61486674772</v>
      </c>
    </row>
    <row r="15" spans="1:6" x14ac:dyDescent="0.3">
      <c r="A15" s="4" t="s">
        <v>54</v>
      </c>
      <c r="B15" s="26">
        <f>B$10 - (B$11 + B$14)</f>
        <v>-8388277.5437472891</v>
      </c>
      <c r="C15" s="26">
        <f>C$10 - (C$11 + C$14)</f>
        <v>-8495457.8957472891</v>
      </c>
      <c r="D15" s="26">
        <f>D$10 - (D$11 + D$14)</f>
        <v>-8449615.4493467156</v>
      </c>
      <c r="E15" s="26">
        <f>E$10 - (E$11 + E$14)</f>
        <v>-10140877.543747289</v>
      </c>
      <c r="F15" s="26">
        <f>F$10 - (F$11 + F$14)</f>
        <v>-8388277.5437472891</v>
      </c>
    </row>
    <row r="16" spans="1:6" x14ac:dyDescent="0.3">
      <c r="A16" s="4" t="s">
        <v>55</v>
      </c>
      <c r="B16" s="26">
        <f>Inputs!$B$14 * 'Scenarios Def'!D2</f>
        <v>4285000</v>
      </c>
      <c r="C16" s="26">
        <f>Inputs!$B$14 * 'Scenarios Def'!D2</f>
        <v>4285000</v>
      </c>
      <c r="D16" s="26">
        <f>Inputs!$B$14 * 'Scenarios Def'!D2</f>
        <v>4285000</v>
      </c>
      <c r="E16" s="26">
        <f>Inputs!$B$14 * 'Scenarios Def'!D2</f>
        <v>4285000</v>
      </c>
      <c r="F16" s="26">
        <f>Inputs!$B$14 * 'Scenarios Def'!D2</f>
        <v>4285000</v>
      </c>
    </row>
    <row r="17" spans="1:6" x14ac:dyDescent="0.3">
      <c r="A17" s="4" t="s">
        <v>56</v>
      </c>
      <c r="B17" s="26">
        <f>Inputs!$B$14 * 'Scenarios Def'!E2</f>
        <v>2571000</v>
      </c>
      <c r="C17" s="26">
        <f>Inputs!$B$14 * 'Scenarios Def'!E2</f>
        <v>2571000</v>
      </c>
      <c r="D17" s="26">
        <f>Inputs!$B$14 * 'Scenarios Def'!E2</f>
        <v>2571000</v>
      </c>
      <c r="E17" s="26">
        <f>Inputs!$B$14 * 'Scenarios Def'!E2</f>
        <v>2571000</v>
      </c>
      <c r="F17" s="26">
        <f>Inputs!$B$14 * 'Scenarios Def'!E2</f>
        <v>2571000</v>
      </c>
    </row>
    <row r="18" spans="1:6" x14ac:dyDescent="0.3">
      <c r="A18" s="4" t="s">
        <v>57</v>
      </c>
      <c r="B18" s="26">
        <f>Inputs!$B$14 * 'Scenarios Def'!C2</f>
        <v>0</v>
      </c>
      <c r="C18" s="26">
        <f>Inputs!$B$14 * 'Scenarios Def'!C2</f>
        <v>0</v>
      </c>
      <c r="D18" s="26">
        <f>Inputs!$B$14 * 'Scenarios Def'!C2</f>
        <v>0</v>
      </c>
      <c r="E18" s="26">
        <f>Inputs!$B$14 * 'Scenarios Def'!C2</f>
        <v>0</v>
      </c>
      <c r="F18" s="26">
        <f>Inputs!$B$14 * 'Scenarios Def'!C2</f>
        <v>0</v>
      </c>
    </row>
    <row r="19" spans="1:6" x14ac:dyDescent="0.3">
      <c r="A19" s="4" t="s">
        <v>58</v>
      </c>
      <c r="B19" s="26">
        <f>Inputs!$B$8 + Scenarios!C2</f>
        <v>8.7956999999999994E-2</v>
      </c>
      <c r="C19" s="26">
        <f>Inputs!$B$8 + Scenarios!C3</f>
        <v>8.7956999999999994E-2</v>
      </c>
      <c r="D19" s="26">
        <f>Inputs!$B$8 + Scenarios!C4</f>
        <v>0.107957</v>
      </c>
      <c r="E19" s="26">
        <f>Inputs!$B$8 + Scenarios!C5</f>
        <v>8.7956999999999994E-2</v>
      </c>
      <c r="F19" s="26">
        <f>Inputs!$B$8 + Scenarios!C6</f>
        <v>8.7956999999999994E-2</v>
      </c>
    </row>
    <row r="20" spans="1:6" x14ac:dyDescent="0.3">
      <c r="A20" s="4"/>
      <c r="B20" s="4"/>
      <c r="C20" s="4"/>
      <c r="D20" s="4"/>
      <c r="E20" s="4"/>
      <c r="F20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G26" sqref="G26"/>
    </sheetView>
  </sheetViews>
  <sheetFormatPr defaultRowHeight="14.4" x14ac:dyDescent="0.3"/>
  <cols>
    <col min="1" max="1" width="30.88671875" bestFit="1" customWidth="1"/>
    <col min="2" max="6" width="18.6640625" customWidth="1"/>
  </cols>
  <sheetData>
    <row r="1" spans="1:6" s="2" customFormat="1" x14ac:dyDescent="0.3">
      <c r="A1" s="11" t="s">
        <v>113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</row>
    <row r="2" spans="1:6" x14ac:dyDescent="0.3">
      <c r="A2" s="4" t="s">
        <v>41</v>
      </c>
      <c r="B2" s="16">
        <f>Inputs!$B$2*Inputs!$B$5*Inputs!$B$6*Inputs!$B$7*Scenarios!B2</f>
        <v>1071803.52</v>
      </c>
      <c r="C2" s="16">
        <f>Inputs!$B$2*Inputs!$B$5*Inputs!$B$6*Inputs!$B$7*Scenarios!B3</f>
        <v>964623.16800000006</v>
      </c>
      <c r="D2" s="16">
        <f>Inputs!$B$2*Inputs!$B$5*Inputs!$B$6*Inputs!$B$7*Scenarios!B4</f>
        <v>1071803.52</v>
      </c>
      <c r="E2" s="16">
        <f>Inputs!$B$2*Inputs!$B$5*Inputs!$B$6*Inputs!$B$7*Scenarios!B5</f>
        <v>1071803.52</v>
      </c>
      <c r="F2" s="16">
        <f>Inputs!$B$2*Inputs!$B$5*Inputs!$B$6*Inputs!$B$7*Scenarios!B6</f>
        <v>1071803.52</v>
      </c>
    </row>
    <row r="3" spans="1:6" x14ac:dyDescent="0.3">
      <c r="A3" s="4" t="s">
        <v>42</v>
      </c>
      <c r="B3" s="16">
        <f>Inputs!$B$2*1000*Inputs!$B$4*Scenarios!D2</f>
        <v>131000</v>
      </c>
      <c r="C3" s="16">
        <f>Inputs!$B$2*1000*Inputs!$B$4*Scenarios!D3</f>
        <v>131000</v>
      </c>
      <c r="D3" s="16">
        <f>Inputs!$B$2*1000*Inputs!$B$4*Scenarios!D4</f>
        <v>131000</v>
      </c>
      <c r="E3" s="16">
        <f>Inputs!$B$2*1000*Inputs!$B$4*Scenarios!D5</f>
        <v>157200</v>
      </c>
      <c r="F3" s="16">
        <f>Inputs!$B$2*1000*Inputs!$B$4*Scenarios!D6</f>
        <v>131000</v>
      </c>
    </row>
    <row r="4" spans="1:6" x14ac:dyDescent="0.3">
      <c r="A4" s="4" t="s">
        <v>43</v>
      </c>
      <c r="B4" s="16">
        <f>B$2 - B$3</f>
        <v>940803.52</v>
      </c>
      <c r="C4" s="16">
        <f>C$2 - C$3</f>
        <v>833623.16800000006</v>
      </c>
      <c r="D4" s="16">
        <f>D$2 - D$3</f>
        <v>940803.52</v>
      </c>
      <c r="E4" s="16">
        <f>E$2 - E$3</f>
        <v>914603.52000000002</v>
      </c>
      <c r="F4" s="16">
        <f>F$2 - F$3</f>
        <v>940803.52</v>
      </c>
    </row>
    <row r="5" spans="1:6" x14ac:dyDescent="0.3">
      <c r="A5" s="4" t="s">
        <v>44</v>
      </c>
      <c r="B5" s="16">
        <f>Inputs!$B$14 * Scenarios!D2</f>
        <v>8570000</v>
      </c>
      <c r="C5" s="16">
        <f>Inputs!$B$14 * Scenarios!D3</f>
        <v>8570000</v>
      </c>
      <c r="D5" s="16">
        <f>Inputs!$B$14 * Scenarios!D4</f>
        <v>8570000</v>
      </c>
      <c r="E5" s="16">
        <f>Inputs!$B$14 * Scenarios!D5</f>
        <v>10284000</v>
      </c>
      <c r="F5" s="16">
        <f>Inputs!$B$14 * Scenarios!D6</f>
        <v>8570000</v>
      </c>
    </row>
    <row r="6" spans="1:6" x14ac:dyDescent="0.3">
      <c r="A6" s="4" t="s">
        <v>45</v>
      </c>
      <c r="B6" s="16">
        <f>Inputs!$B$15 * Scenarios!D2</f>
        <v>50000</v>
      </c>
      <c r="C6" s="16">
        <f>Inputs!$B$15 * Scenarios!D3</f>
        <v>50000</v>
      </c>
      <c r="D6" s="16">
        <f>Inputs!$B$15 * Scenarios!D4</f>
        <v>50000</v>
      </c>
      <c r="E6" s="16">
        <f>Inputs!$B$15 * Scenarios!D5</f>
        <v>60000</v>
      </c>
      <c r="F6" s="16">
        <f>Inputs!$B$15 * Scenarios!D6</f>
        <v>50000</v>
      </c>
    </row>
    <row r="7" spans="1:6" x14ac:dyDescent="0.3">
      <c r="A7" s="4" t="s">
        <v>46</v>
      </c>
      <c r="B7" s="16">
        <f>Inputs!$B$16 * Scenarios!D2</f>
        <v>6000</v>
      </c>
      <c r="C7" s="16">
        <f>Inputs!$B$16 * Scenarios!D3</f>
        <v>6000</v>
      </c>
      <c r="D7" s="16">
        <f>Inputs!$B$16 * Scenarios!D4</f>
        <v>6000</v>
      </c>
      <c r="E7" s="16">
        <f>Inputs!$B$16 * Scenarios!D5</f>
        <v>7200</v>
      </c>
      <c r="F7" s="16">
        <f>Inputs!$B$16 * Scenarios!D6</f>
        <v>6000</v>
      </c>
    </row>
    <row r="8" spans="1:6" x14ac:dyDescent="0.3">
      <c r="A8" s="4" t="s">
        <v>47</v>
      </c>
      <c r="B8" s="16">
        <f>(B$5 + B$6 + B$7 + Inputs!$B$17 * Scenarios!D2)</f>
        <v>8632000</v>
      </c>
      <c r="C8" s="16">
        <f>(C$5 + C$6 + C$7 + Inputs!$B$17 * Scenarios!D3)</f>
        <v>8632000</v>
      </c>
      <c r="D8" s="16">
        <f>(D$5 + D$6 + D$7 + Inputs!$B$17 * Scenarios!D4)</f>
        <v>8632000</v>
      </c>
      <c r="E8" s="16">
        <f>(E$5 + E$6 + E$7 + Inputs!$B$17 * Scenarios!D5)</f>
        <v>10358400</v>
      </c>
      <c r="F8" s="16">
        <f>(F$5 + F$6 + F$7 + Inputs!$B$17 * Scenarios!D6)</f>
        <v>8632000</v>
      </c>
    </row>
    <row r="9" spans="1:6" x14ac:dyDescent="0.3">
      <c r="A9" s="4" t="s">
        <v>48</v>
      </c>
      <c r="B9" s="16">
        <f>Inputs!$B$18 * Scenarios!D2</f>
        <v>30000</v>
      </c>
      <c r="C9" s="16">
        <f>Inputs!$B$18 * Scenarios!D3</f>
        <v>30000</v>
      </c>
      <c r="D9" s="16">
        <f>Inputs!$B$18 * Scenarios!D4</f>
        <v>30000</v>
      </c>
      <c r="E9" s="16">
        <f>Inputs!$B$18 * Scenarios!D5</f>
        <v>36000</v>
      </c>
      <c r="F9" s="16">
        <f>Inputs!$B$18 * Scenarios!D6</f>
        <v>30000</v>
      </c>
    </row>
    <row r="10" spans="1:6" x14ac:dyDescent="0.3">
      <c r="A10" s="4" t="s">
        <v>49</v>
      </c>
      <c r="B10" s="16">
        <f>B$4 - B$8</f>
        <v>-7691196.4800000004</v>
      </c>
      <c r="C10" s="16">
        <f>C$4 - C$8</f>
        <v>-7798376.8320000004</v>
      </c>
      <c r="D10" s="16">
        <f>D$4 - D$8</f>
        <v>-7691196.4800000004</v>
      </c>
      <c r="E10" s="16">
        <f>E$4 - E$8</f>
        <v>-9443796.4800000004</v>
      </c>
      <c r="F10" s="16">
        <f>F$4 - F$8</f>
        <v>-7691196.4800000004</v>
      </c>
    </row>
    <row r="11" spans="1:6" x14ac:dyDescent="0.3">
      <c r="A11" s="4" t="s">
        <v>50</v>
      </c>
      <c r="B11" s="16">
        <f>IF(Inputs!$B$14*'Scenarios Def'!D3&gt;0, PMT(B$19, Inputs!$B$9, -Inputs!$B$14*'Scenarios Def'!D3), 0)</f>
        <v>592258.44888054125</v>
      </c>
      <c r="C11" s="16">
        <f>IF(Inputs!$B$14*'Scenarios Def'!D3&gt;0, PMT(C$19, Inputs!$B$9, -Inputs!$B$14*'Scenarios Def'!D3), 0)</f>
        <v>592258.44888054125</v>
      </c>
      <c r="D11" s="16">
        <f>IF(Inputs!$B$14*'Scenarios Def'!D3&gt;0, PMT(D$19, Inputs!$B$9, -Inputs!$B$14*'Scenarios Def'!D3), 0)</f>
        <v>653596.35447996727</v>
      </c>
      <c r="E11" s="16">
        <f>IF(Inputs!$B$14*'Scenarios Def'!D3&gt;0, PMT(E$19, Inputs!$B$9, -Inputs!$B$14*'Scenarios Def'!D3), 0)</f>
        <v>592258.44888054125</v>
      </c>
      <c r="F11" s="16">
        <f>IF(Inputs!$B$14*'Scenarios Def'!D3&gt;0, PMT(F$19, Inputs!$B$9, -Inputs!$B$14*'Scenarios Def'!D3), 0)</f>
        <v>592258.44888054125</v>
      </c>
    </row>
    <row r="12" spans="1:6" x14ac:dyDescent="0.3">
      <c r="A12" s="4" t="s">
        <v>51</v>
      </c>
      <c r="B12" s="16">
        <f>Inputs!$B$14 * 'Scenarios Def'!D3</f>
        <v>4285000</v>
      </c>
      <c r="C12" s="16">
        <f>Inputs!$B$14 * 'Scenarios Def'!D3</f>
        <v>4285000</v>
      </c>
      <c r="D12" s="16">
        <f>Inputs!$B$14 * 'Scenarios Def'!D3</f>
        <v>4285000</v>
      </c>
      <c r="E12" s="16">
        <f>Inputs!$B$14 * 'Scenarios Def'!D3</f>
        <v>4285000</v>
      </c>
      <c r="F12" s="16">
        <f>Inputs!$B$14 * 'Scenarios Def'!D3</f>
        <v>4285000</v>
      </c>
    </row>
    <row r="13" spans="1:6" x14ac:dyDescent="0.3">
      <c r="A13" s="4" t="s">
        <v>52</v>
      </c>
      <c r="B13" s="16">
        <f>Inputs!$B$14 * 'Scenarios Def'!B3</f>
        <v>0</v>
      </c>
      <c r="C13" s="16">
        <f>Inputs!$B$14 * 'Scenarios Def'!B3</f>
        <v>0</v>
      </c>
      <c r="D13" s="16">
        <f>Inputs!$B$14 * 'Scenarios Def'!B3</f>
        <v>0</v>
      </c>
      <c r="E13" s="16">
        <f>Inputs!$B$14 * 'Scenarios Def'!B3</f>
        <v>0</v>
      </c>
      <c r="F13" s="16">
        <f>Inputs!$B$14 * 'Scenarios Def'!B3</f>
        <v>0</v>
      </c>
    </row>
    <row r="14" spans="1:6" x14ac:dyDescent="0.3">
      <c r="A14" s="4" t="s">
        <v>53</v>
      </c>
      <c r="B14" s="16">
        <f>IF(Inputs!$B$14*'Scenarios Def'!B3&gt;0, PMT(Inputs!$B$12, Inputs!$B$13, -Inputs!$B$14*'Scenarios Def'!B3), 0)</f>
        <v>0</v>
      </c>
      <c r="C14" s="16">
        <f>IF(Inputs!$B$14*'Scenarios Def'!B3&gt;0, PMT(Inputs!$B$12, Inputs!$B$13, -Inputs!$B$14*'Scenarios Def'!B3), 0)</f>
        <v>0</v>
      </c>
      <c r="D14" s="16">
        <f>IF(Inputs!$B$14*'Scenarios Def'!B3&gt;0, PMT(Inputs!$B$12, Inputs!$B$13, -Inputs!$B$14*'Scenarios Def'!B3), 0)</f>
        <v>0</v>
      </c>
      <c r="E14" s="16">
        <f>IF(Inputs!$B$14*'Scenarios Def'!B3&gt;0, PMT(Inputs!$B$12, Inputs!$B$13, -Inputs!$B$14*'Scenarios Def'!B3), 0)</f>
        <v>0</v>
      </c>
      <c r="F14" s="16">
        <f>IF(Inputs!$B$14*'Scenarios Def'!B3&gt;0, PMT(Inputs!$B$12, Inputs!$B$13, -Inputs!$B$14*'Scenarios Def'!B3), 0)</f>
        <v>0</v>
      </c>
    </row>
    <row r="15" spans="1:6" x14ac:dyDescent="0.3">
      <c r="A15" s="4" t="s">
        <v>54</v>
      </c>
      <c r="B15" s="16">
        <f>B$10 - (B$11 + B$14)</f>
        <v>-8283454.9288805416</v>
      </c>
      <c r="C15" s="16">
        <f>C$10 - (C$11 + C$14)</f>
        <v>-8390635.2808805425</v>
      </c>
      <c r="D15" s="16">
        <f>D$10 - (D$11 + D$14)</f>
        <v>-8344792.8344799681</v>
      </c>
      <c r="E15" s="16">
        <f>E$10 - (E$11 + E$14)</f>
        <v>-10036054.928880543</v>
      </c>
      <c r="F15" s="16">
        <f>F$10 - (F$11 + F$14)</f>
        <v>-8283454.9288805416</v>
      </c>
    </row>
    <row r="16" spans="1:6" x14ac:dyDescent="0.3">
      <c r="A16" s="4" t="s">
        <v>55</v>
      </c>
      <c r="B16" s="16">
        <f>Inputs!$B$14 * 'Scenarios Def'!D3</f>
        <v>4285000</v>
      </c>
      <c r="C16" s="16">
        <f>Inputs!$B$14 * 'Scenarios Def'!D3</f>
        <v>4285000</v>
      </c>
      <c r="D16" s="16">
        <f>Inputs!$B$14 * 'Scenarios Def'!D3</f>
        <v>4285000</v>
      </c>
      <c r="E16" s="16">
        <f>Inputs!$B$14 * 'Scenarios Def'!D3</f>
        <v>4285000</v>
      </c>
      <c r="F16" s="16">
        <f>Inputs!$B$14 * 'Scenarios Def'!D3</f>
        <v>4285000</v>
      </c>
    </row>
    <row r="17" spans="1:6" x14ac:dyDescent="0.3">
      <c r="A17" s="4" t="s">
        <v>56</v>
      </c>
      <c r="B17" s="16">
        <f>Inputs!$B$14 * 'Scenarios Def'!E3</f>
        <v>1714000</v>
      </c>
      <c r="C17" s="16">
        <f>Inputs!$B$14 * 'Scenarios Def'!E3</f>
        <v>1714000</v>
      </c>
      <c r="D17" s="16">
        <f>Inputs!$B$14 * 'Scenarios Def'!E3</f>
        <v>1714000</v>
      </c>
      <c r="E17" s="16">
        <f>Inputs!$B$14 * 'Scenarios Def'!E3</f>
        <v>1714000</v>
      </c>
      <c r="F17" s="16">
        <f>Inputs!$B$14 * 'Scenarios Def'!E3</f>
        <v>1714000</v>
      </c>
    </row>
    <row r="18" spans="1:6" x14ac:dyDescent="0.3">
      <c r="A18" s="4" t="s">
        <v>57</v>
      </c>
      <c r="B18" s="16">
        <f>Inputs!$B$14 * 'Scenarios Def'!C3</f>
        <v>2571000</v>
      </c>
      <c r="C18" s="16">
        <f>Inputs!$B$14 * 'Scenarios Def'!C3</f>
        <v>2571000</v>
      </c>
      <c r="D18" s="16">
        <f>Inputs!$B$14 * 'Scenarios Def'!C3</f>
        <v>2571000</v>
      </c>
      <c r="E18" s="16">
        <f>Inputs!$B$14 * 'Scenarios Def'!C3</f>
        <v>2571000</v>
      </c>
      <c r="F18" s="16">
        <f>Inputs!$B$14 * 'Scenarios Def'!C3</f>
        <v>2571000</v>
      </c>
    </row>
    <row r="19" spans="1:6" x14ac:dyDescent="0.3">
      <c r="A19" s="4" t="s">
        <v>58</v>
      </c>
      <c r="B19" s="16">
        <f>Inputs!$B$8 + Scenarios!C2</f>
        <v>8.7956999999999994E-2</v>
      </c>
      <c r="C19" s="16">
        <f>Inputs!$B$8 + Scenarios!C3</f>
        <v>8.7956999999999994E-2</v>
      </c>
      <c r="D19" s="16">
        <f>Inputs!$B$8 + Scenarios!C4</f>
        <v>0.107957</v>
      </c>
      <c r="E19" s="16">
        <f>Inputs!$B$8 + Scenarios!C5</f>
        <v>8.7956999999999994E-2</v>
      </c>
      <c r="F19" s="16">
        <f>Inputs!$B$8 + Scenarios!C6</f>
        <v>8.7956999999999994E-2</v>
      </c>
    </row>
    <row r="20" spans="1:6" x14ac:dyDescent="0.3">
      <c r="A20" s="4"/>
      <c r="B20" s="4"/>
      <c r="C20" s="4"/>
      <c r="D20" s="4"/>
      <c r="E20" s="4"/>
      <c r="F20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A2" sqref="A2"/>
    </sheetView>
  </sheetViews>
  <sheetFormatPr defaultRowHeight="14.4" x14ac:dyDescent="0.3"/>
  <cols>
    <col min="1" max="1" width="30.88671875" bestFit="1" customWidth="1"/>
    <col min="2" max="6" width="18.6640625" customWidth="1"/>
  </cols>
  <sheetData>
    <row r="1" spans="1:6" s="14" customFormat="1" x14ac:dyDescent="0.3">
      <c r="A1" s="15" t="s">
        <v>113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</row>
    <row r="2" spans="1:6" x14ac:dyDescent="0.3">
      <c r="A2" s="4" t="s">
        <v>41</v>
      </c>
      <c r="B2" s="26">
        <f>Inputs!$B$2*Inputs!$B$5*Inputs!$B$6*Inputs!$B$7*Scenarios!B2</f>
        <v>1071803.52</v>
      </c>
      <c r="C2" s="26">
        <f>Inputs!$B$2*Inputs!$B$5*Inputs!$B$6*Inputs!$B$7*Scenarios!B3</f>
        <v>964623.16800000006</v>
      </c>
      <c r="D2" s="26">
        <f>Inputs!$B$2*Inputs!$B$5*Inputs!$B$6*Inputs!$B$7*Scenarios!B4</f>
        <v>1071803.52</v>
      </c>
      <c r="E2" s="26">
        <f>Inputs!$B$2*Inputs!$B$5*Inputs!$B$6*Inputs!$B$7*Scenarios!B5</f>
        <v>1071803.52</v>
      </c>
      <c r="F2" s="26">
        <f>Inputs!$B$2*Inputs!$B$5*Inputs!$B$6*Inputs!$B$7*Scenarios!B6</f>
        <v>1071803.52</v>
      </c>
    </row>
    <row r="3" spans="1:6" x14ac:dyDescent="0.3">
      <c r="A3" s="4" t="s">
        <v>42</v>
      </c>
      <c r="B3" s="26">
        <f>Inputs!$B$2*1000*Inputs!$B$4*Scenarios!D2</f>
        <v>131000</v>
      </c>
      <c r="C3" s="26">
        <f>Inputs!$B$2*1000*Inputs!$B$4*Scenarios!D3</f>
        <v>131000</v>
      </c>
      <c r="D3" s="26">
        <f>Inputs!$B$2*1000*Inputs!$B$4*Scenarios!D4</f>
        <v>131000</v>
      </c>
      <c r="E3" s="26">
        <f>Inputs!$B$2*1000*Inputs!$B$4*Scenarios!D5</f>
        <v>157200</v>
      </c>
      <c r="F3" s="26">
        <f>Inputs!$B$2*1000*Inputs!$B$4*Scenarios!D6</f>
        <v>131000</v>
      </c>
    </row>
    <row r="4" spans="1:6" x14ac:dyDescent="0.3">
      <c r="A4" s="4" t="s">
        <v>43</v>
      </c>
      <c r="B4" s="26">
        <f>B$2 - B$3</f>
        <v>940803.52</v>
      </c>
      <c r="C4" s="26">
        <f>C$2 - C$3</f>
        <v>833623.16800000006</v>
      </c>
      <c r="D4" s="26">
        <f>D$2 - D$3</f>
        <v>940803.52</v>
      </c>
      <c r="E4" s="26">
        <f>E$2 - E$3</f>
        <v>914603.52000000002</v>
      </c>
      <c r="F4" s="26">
        <f>F$2 - F$3</f>
        <v>940803.52</v>
      </c>
    </row>
    <row r="5" spans="1:6" x14ac:dyDescent="0.3">
      <c r="A5" s="4" t="s">
        <v>44</v>
      </c>
      <c r="B5" s="26">
        <f>Inputs!$B$14 * Scenarios!D2</f>
        <v>8570000</v>
      </c>
      <c r="C5" s="26">
        <f>Inputs!$B$14 * Scenarios!D3</f>
        <v>8570000</v>
      </c>
      <c r="D5" s="26">
        <f>Inputs!$B$14 * Scenarios!D4</f>
        <v>8570000</v>
      </c>
      <c r="E5" s="26">
        <f>Inputs!$B$14 * Scenarios!D5</f>
        <v>10284000</v>
      </c>
      <c r="F5" s="26">
        <f>Inputs!$B$14 * Scenarios!D6</f>
        <v>8570000</v>
      </c>
    </row>
    <row r="6" spans="1:6" x14ac:dyDescent="0.3">
      <c r="A6" s="4" t="s">
        <v>45</v>
      </c>
      <c r="B6" s="26">
        <f>Inputs!$B$15 * Scenarios!D2</f>
        <v>50000</v>
      </c>
      <c r="C6" s="26">
        <f>Inputs!$B$15 * Scenarios!D3</f>
        <v>50000</v>
      </c>
      <c r="D6" s="26">
        <f>Inputs!$B$15 * Scenarios!D4</f>
        <v>50000</v>
      </c>
      <c r="E6" s="26">
        <f>Inputs!$B$15 * Scenarios!D5</f>
        <v>60000</v>
      </c>
      <c r="F6" s="26">
        <f>Inputs!$B$15 * Scenarios!D6</f>
        <v>50000</v>
      </c>
    </row>
    <row r="7" spans="1:6" x14ac:dyDescent="0.3">
      <c r="A7" s="4" t="s">
        <v>46</v>
      </c>
      <c r="B7" s="26">
        <f>Inputs!$B$16 * Scenarios!D2</f>
        <v>6000</v>
      </c>
      <c r="C7" s="26">
        <f>Inputs!$B$16 * Scenarios!D3</f>
        <v>6000</v>
      </c>
      <c r="D7" s="26">
        <f>Inputs!$B$16 * Scenarios!D4</f>
        <v>6000</v>
      </c>
      <c r="E7" s="26">
        <f>Inputs!$B$16 * Scenarios!D5</f>
        <v>7200</v>
      </c>
      <c r="F7" s="26">
        <f>Inputs!$B$16 * Scenarios!D6</f>
        <v>6000</v>
      </c>
    </row>
    <row r="8" spans="1:6" x14ac:dyDescent="0.3">
      <c r="A8" s="4" t="s">
        <v>47</v>
      </c>
      <c r="B8" s="26">
        <f>(B$5 + B$6 + B$7 + Inputs!$B$17 * Scenarios!D2)</f>
        <v>8632000</v>
      </c>
      <c r="C8" s="26">
        <f>(C$5 + C$6 + C$7 + Inputs!$B$17 * Scenarios!D3)</f>
        <v>8632000</v>
      </c>
      <c r="D8" s="26">
        <f>(D$5 + D$6 + D$7 + Inputs!$B$17 * Scenarios!D4)</f>
        <v>8632000</v>
      </c>
      <c r="E8" s="26">
        <f>(E$5 + E$6 + E$7 + Inputs!$B$17 * Scenarios!D5)</f>
        <v>10358400</v>
      </c>
      <c r="F8" s="26">
        <f>(F$5 + F$6 + F$7 + Inputs!$B$17 * Scenarios!D6)</f>
        <v>8632000</v>
      </c>
    </row>
    <row r="9" spans="1:6" x14ac:dyDescent="0.3">
      <c r="A9" s="4" t="s">
        <v>48</v>
      </c>
      <c r="B9" s="26">
        <f>Inputs!$B$18 * Scenarios!D2</f>
        <v>30000</v>
      </c>
      <c r="C9" s="26">
        <f>Inputs!$B$18 * Scenarios!D3</f>
        <v>30000</v>
      </c>
      <c r="D9" s="26">
        <f>Inputs!$B$18 * Scenarios!D4</f>
        <v>30000</v>
      </c>
      <c r="E9" s="26">
        <f>Inputs!$B$18 * Scenarios!D5</f>
        <v>36000</v>
      </c>
      <c r="F9" s="26">
        <f>Inputs!$B$18 * Scenarios!D6</f>
        <v>30000</v>
      </c>
    </row>
    <row r="10" spans="1:6" x14ac:dyDescent="0.3">
      <c r="A10" s="4" t="s">
        <v>49</v>
      </c>
      <c r="B10" s="26">
        <f>B$4 - B$8</f>
        <v>-7691196.4800000004</v>
      </c>
      <c r="C10" s="26">
        <f>C$4 - C$8</f>
        <v>-7798376.8320000004</v>
      </c>
      <c r="D10" s="26">
        <f>D$4 - D$8</f>
        <v>-7691196.4800000004</v>
      </c>
      <c r="E10" s="26">
        <f>E$4 - E$8</f>
        <v>-9443796.4800000004</v>
      </c>
      <c r="F10" s="26">
        <f>F$4 - F$8</f>
        <v>-7691196.4800000004</v>
      </c>
    </row>
    <row r="11" spans="1:6" x14ac:dyDescent="0.3">
      <c r="A11" s="4" t="s">
        <v>50</v>
      </c>
      <c r="B11" s="26">
        <f>IF(Inputs!$B$14*'Scenarios Def'!D4&gt;0, PMT(B$19, Inputs!$B$9, -Inputs!$B$14*'Scenarios Def'!D4), 0)</f>
        <v>473806.75910443295</v>
      </c>
      <c r="C11" s="26">
        <f>IF(Inputs!$B$14*'Scenarios Def'!D4&gt;0, PMT(C$19, Inputs!$B$9, -Inputs!$B$14*'Scenarios Def'!D4), 0)</f>
        <v>473806.75910443295</v>
      </c>
      <c r="D11" s="26">
        <f>IF(Inputs!$B$14*'Scenarios Def'!D4&gt;0, PMT(D$19, Inputs!$B$9, -Inputs!$B$14*'Scenarios Def'!D4), 0)</f>
        <v>522877.08358397381</v>
      </c>
      <c r="E11" s="26">
        <f>IF(Inputs!$B$14*'Scenarios Def'!D4&gt;0, PMT(E$19, Inputs!$B$9, -Inputs!$B$14*'Scenarios Def'!D4), 0)</f>
        <v>473806.75910443295</v>
      </c>
      <c r="F11" s="26">
        <f>IF(Inputs!$B$14*'Scenarios Def'!D4&gt;0, PMT(F$19, Inputs!$B$9, -Inputs!$B$14*'Scenarios Def'!D4), 0)</f>
        <v>473806.75910443295</v>
      </c>
    </row>
    <row r="12" spans="1:6" x14ac:dyDescent="0.3">
      <c r="A12" s="4" t="s">
        <v>51</v>
      </c>
      <c r="B12" s="26">
        <f>Inputs!$B$14 * 'Scenarios Def'!D4</f>
        <v>3428000</v>
      </c>
      <c r="C12" s="26">
        <f>Inputs!$B$14 * 'Scenarios Def'!D4</f>
        <v>3428000</v>
      </c>
      <c r="D12" s="26">
        <f>Inputs!$B$14 * 'Scenarios Def'!D4</f>
        <v>3428000</v>
      </c>
      <c r="E12" s="26">
        <f>Inputs!$B$14 * 'Scenarios Def'!D4</f>
        <v>3428000</v>
      </c>
      <c r="F12" s="26">
        <f>Inputs!$B$14 * 'Scenarios Def'!D4</f>
        <v>3428000</v>
      </c>
    </row>
    <row r="13" spans="1:6" x14ac:dyDescent="0.3">
      <c r="A13" s="4" t="s">
        <v>52</v>
      </c>
      <c r="B13" s="26">
        <f>Inputs!$B$14 * 'Scenarios Def'!B4</f>
        <v>1285500</v>
      </c>
      <c r="C13" s="26">
        <f>Inputs!$B$14 * 'Scenarios Def'!B4</f>
        <v>1285500</v>
      </c>
      <c r="D13" s="26">
        <f>Inputs!$B$14 * 'Scenarios Def'!B4</f>
        <v>1285500</v>
      </c>
      <c r="E13" s="26">
        <f>Inputs!$B$14 * 'Scenarios Def'!B4</f>
        <v>1285500</v>
      </c>
      <c r="F13" s="26">
        <f>Inputs!$B$14 * 'Scenarios Def'!B4</f>
        <v>1285500</v>
      </c>
    </row>
    <row r="14" spans="1:6" x14ac:dyDescent="0.3">
      <c r="A14" s="4" t="s">
        <v>53</v>
      </c>
      <c r="B14" s="26">
        <f>IF(Inputs!$B$14*'Scenarios Def'!B4&gt;0, PMT(Inputs!$B$12, Inputs!$B$13, -Inputs!$B$14*'Scenarios Def'!B4), 0)</f>
        <v>78616.961150060801</v>
      </c>
      <c r="C14" s="26">
        <f>IF(Inputs!$B$14*'Scenarios Def'!B4&gt;0, PMT(Inputs!$B$12, Inputs!$B$13, -Inputs!$B$14*'Scenarios Def'!B4), 0)</f>
        <v>78616.961150060801</v>
      </c>
      <c r="D14" s="26">
        <f>IF(Inputs!$B$14*'Scenarios Def'!B4&gt;0, PMT(Inputs!$B$12, Inputs!$B$13, -Inputs!$B$14*'Scenarios Def'!B4), 0)</f>
        <v>78616.961150060801</v>
      </c>
      <c r="E14" s="26">
        <f>IF(Inputs!$B$14*'Scenarios Def'!B4&gt;0, PMT(Inputs!$B$12, Inputs!$B$13, -Inputs!$B$14*'Scenarios Def'!B4), 0)</f>
        <v>78616.961150060801</v>
      </c>
      <c r="F14" s="26">
        <f>IF(Inputs!$B$14*'Scenarios Def'!B4&gt;0, PMT(Inputs!$B$12, Inputs!$B$13, -Inputs!$B$14*'Scenarios Def'!B4), 0)</f>
        <v>78616.961150060801</v>
      </c>
    </row>
    <row r="15" spans="1:6" x14ac:dyDescent="0.3">
      <c r="A15" s="4" t="s">
        <v>54</v>
      </c>
      <c r="B15" s="26">
        <f>B$10 - (B$11 + B$14)</f>
        <v>-8243620.2002544943</v>
      </c>
      <c r="C15" s="26">
        <f>C$10 - (C$11 + C$14)</f>
        <v>-8350800.5522544943</v>
      </c>
      <c r="D15" s="26">
        <f>D$10 - (D$11 + D$14)</f>
        <v>-8292690.5247340351</v>
      </c>
      <c r="E15" s="26">
        <f>E$10 - (E$11 + E$14)</f>
        <v>-9996220.2002544943</v>
      </c>
      <c r="F15" s="26">
        <f>F$10 - (F$11 + F$14)</f>
        <v>-8243620.2002544943</v>
      </c>
    </row>
    <row r="16" spans="1:6" x14ac:dyDescent="0.3">
      <c r="A16" s="4" t="s">
        <v>55</v>
      </c>
      <c r="B16" s="26">
        <f>Inputs!$B$14 * 'Scenarios Def'!D4</f>
        <v>3428000</v>
      </c>
      <c r="C16" s="26">
        <f>Inputs!$B$14 * 'Scenarios Def'!D4</f>
        <v>3428000</v>
      </c>
      <c r="D16" s="26">
        <f>Inputs!$B$14 * 'Scenarios Def'!D4</f>
        <v>3428000</v>
      </c>
      <c r="E16" s="26">
        <f>Inputs!$B$14 * 'Scenarios Def'!D4</f>
        <v>3428000</v>
      </c>
      <c r="F16" s="26">
        <f>Inputs!$B$14 * 'Scenarios Def'!D4</f>
        <v>3428000</v>
      </c>
    </row>
    <row r="17" spans="1:6" x14ac:dyDescent="0.3">
      <c r="A17" s="4" t="s">
        <v>56</v>
      </c>
      <c r="B17" s="26">
        <f>Inputs!$B$14 * 'Scenarios Def'!E4</f>
        <v>2571000</v>
      </c>
      <c r="C17" s="26">
        <f>Inputs!$B$14 * 'Scenarios Def'!E4</f>
        <v>2571000</v>
      </c>
      <c r="D17" s="26">
        <f>Inputs!$B$14 * 'Scenarios Def'!E4</f>
        <v>2571000</v>
      </c>
      <c r="E17" s="26">
        <f>Inputs!$B$14 * 'Scenarios Def'!E4</f>
        <v>2571000</v>
      </c>
      <c r="F17" s="26">
        <f>Inputs!$B$14 * 'Scenarios Def'!E4</f>
        <v>2571000</v>
      </c>
    </row>
    <row r="18" spans="1:6" x14ac:dyDescent="0.3">
      <c r="A18" s="4" t="s">
        <v>57</v>
      </c>
      <c r="B18" s="26">
        <f>Inputs!$B$14 * 'Scenarios Def'!C4</f>
        <v>1285500</v>
      </c>
      <c r="C18" s="26">
        <f>Inputs!$B$14 * 'Scenarios Def'!C4</f>
        <v>1285500</v>
      </c>
      <c r="D18" s="26">
        <f>Inputs!$B$14 * 'Scenarios Def'!C4</f>
        <v>1285500</v>
      </c>
      <c r="E18" s="26">
        <f>Inputs!$B$14 * 'Scenarios Def'!C4</f>
        <v>1285500</v>
      </c>
      <c r="F18" s="26">
        <f>Inputs!$B$14 * 'Scenarios Def'!C4</f>
        <v>1285500</v>
      </c>
    </row>
    <row r="19" spans="1:6" x14ac:dyDescent="0.3">
      <c r="A19" s="4" t="s">
        <v>58</v>
      </c>
      <c r="B19" s="26">
        <f>Inputs!$B$8 + Scenarios!C2</f>
        <v>8.7956999999999994E-2</v>
      </c>
      <c r="C19" s="26">
        <f>Inputs!$B$8 + Scenarios!C3</f>
        <v>8.7956999999999994E-2</v>
      </c>
      <c r="D19" s="26">
        <f>Inputs!$B$8 + Scenarios!C4</f>
        <v>0.107957</v>
      </c>
      <c r="E19" s="26">
        <f>Inputs!$B$8 + Scenarios!C5</f>
        <v>8.7956999999999994E-2</v>
      </c>
      <c r="F19" s="26">
        <f>Inputs!$B$8 + Scenarios!C6</f>
        <v>8.7956999999999994E-2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Cases Data</vt:lpstr>
      <vt:lpstr>Case Sensitivity</vt:lpstr>
      <vt:lpstr>Inputs</vt:lpstr>
      <vt:lpstr>Scenarios</vt:lpstr>
      <vt:lpstr>Scenarios Def</vt:lpstr>
      <vt:lpstr>Scenarios Sensitivity</vt:lpstr>
      <vt:lpstr>Option 1</vt:lpstr>
      <vt:lpstr>Option 2</vt:lpstr>
      <vt:lpstr>Option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Azzam24</cp:lastModifiedBy>
  <dcterms:created xsi:type="dcterms:W3CDTF">2025-09-17T08:06:35Z</dcterms:created>
  <dcterms:modified xsi:type="dcterms:W3CDTF">2025-09-17T13:43:46Z</dcterms:modified>
</cp:coreProperties>
</file>