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1F66E563-A67C-4FAA-9F98-10357490FC70}" xr6:coauthVersionLast="47" xr6:coauthVersionMax="47" xr10:uidLastSave="{00000000-0000-0000-0000-000000000000}"/>
  <bookViews>
    <workbookView xWindow="-108" yWindow="-108" windowWidth="23256" windowHeight="12456" tabRatio="719" firstSheet="1" activeTab="14" xr2:uid="{57F6BC70-5ACF-462C-89A4-191B081F9366}"/>
  </bookViews>
  <sheets>
    <sheet name="Sheet1" sheetId="1" r:id="rId1"/>
    <sheet name="Sheet2" sheetId="2" r:id="rId2"/>
    <sheet name="Sheet6" sheetId="6" r:id="rId3"/>
    <sheet name="Sheet7" sheetId="7" r:id="rId4"/>
    <sheet name="Sheet8" sheetId="8" r:id="rId5"/>
    <sheet name="Sheet3" sheetId="3" r:id="rId6"/>
    <sheet name="Sheet4" sheetId="4" r:id="rId7"/>
    <sheet name="Sheet5" sheetId="5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<sst xmlns="http://schemas.openxmlformats.org/spreadsheetml/2006/main" count="1257" uniqueCount="673">
  <si>
    <t>Dependent Variable: FUNDINGGAP</t>
  </si>
  <si>
    <t>Method: Least Squares</t>
  </si>
  <si>
    <t>Date: 09/19/25   Time: 13:14</t>
  </si>
  <si>
    <t>Sample: 1 300</t>
  </si>
  <si>
    <t>Included observations: 300</t>
  </si>
  <si>
    <t>Variable</t>
  </si>
  <si>
    <t>Coefficient</t>
  </si>
  <si>
    <t>Std. Error</t>
  </si>
  <si>
    <t>t-Statistic</t>
  </si>
  <si>
    <t xml:space="preserve">Prob.  </t>
  </si>
  <si>
    <t>C</t>
  </si>
  <si>
    <t>0.1042</t>
  </si>
  <si>
    <t>CAPEX</t>
  </si>
  <si>
    <t>0.1384581462359694</t>
  </si>
  <si>
    <t>0.04243416346978866</t>
  </si>
  <si>
    <t>0.001235131523013515</t>
  </si>
  <si>
    <t>OPEX</t>
  </si>
  <si>
    <t>0.5066296835452936</t>
  </si>
  <si>
    <t>0.001021690084969245</t>
  </si>
  <si>
    <t>WACC</t>
  </si>
  <si>
    <t>0.771281823473473</t>
  </si>
  <si>
    <t>0.1220351718746615</t>
  </si>
  <si>
    <t>TRANSACTIONCOST</t>
  </si>
  <si>
    <t>0.251131761017926</t>
  </si>
  <si>
    <t>0.3069447671434731</t>
  </si>
  <si>
    <t>0.8181659630657302</t>
  </si>
  <si>
    <t>0.4139364945228505</t>
  </si>
  <si>
    <t>RISKMITIGATION</t>
  </si>
  <si>
    <t>0.4028833831422939</t>
  </si>
  <si>
    <t>0.3969336118379922</t>
  </si>
  <si>
    <t>0.3109598913314242</t>
  </si>
  <si>
    <t>GRIDCONNECTION</t>
  </si>
  <si>
    <t>0.7173623603008286</t>
  </si>
  <si>
    <t>0.1297550061308499</t>
  </si>
  <si>
    <t>REGULATORY</t>
  </si>
  <si>
    <t>0.5859337484701755</t>
  </si>
  <si>
    <t>0.0148938430911061</t>
  </si>
  <si>
    <t>DELAYCOST</t>
  </si>
  <si>
    <t>0.021744</t>
  </si>
  <si>
    <t>0.08837048371643108</t>
  </si>
  <si>
    <t>-0.2460646796616452</t>
  </si>
  <si>
    <t>0.8058068334725741</t>
  </si>
  <si>
    <t>CURRENCYEXPOSURE</t>
  </si>
  <si>
    <t>0.03602173652867812</t>
  </si>
  <si>
    <t>0.01026136462369642</t>
  </si>
  <si>
    <t>0.0005188154058782239</t>
  </si>
  <si>
    <t>SCALEEFFECT</t>
  </si>
  <si>
    <t>0.3668754928390541</t>
  </si>
  <si>
    <t>R-squared</t>
  </si>
  <si>
    <t>0.826597</t>
  </si>
  <si>
    <t xml:space="preserve">    Mean dependent var</t>
  </si>
  <si>
    <t>Adjusted R-squared</t>
  </si>
  <si>
    <t>0.820423</t>
  </si>
  <si>
    <t xml:space="preserve">    S.D. dependent var</t>
  </si>
  <si>
    <t>S.E. of regression</t>
  </si>
  <si>
    <t xml:space="preserve">    Akaike info criterion</t>
  </si>
  <si>
    <t>Sum squared resid</t>
  </si>
  <si>
    <t xml:space="preserve">    Schwarz criterion</t>
  </si>
  <si>
    <t>Log likelihood</t>
  </si>
  <si>
    <t xml:space="preserve">    Hannan-Quinn criter.</t>
  </si>
  <si>
    <t>F-statistic</t>
  </si>
  <si>
    <t xml:space="preserve">    Durbin-Watson stat</t>
  </si>
  <si>
    <t>Prob(F-statistic)</t>
  </si>
  <si>
    <t>TARIFF</t>
  </si>
  <si>
    <t>-0.2333498395491322</t>
  </si>
  <si>
    <t>0.02438685540647198</t>
  </si>
  <si>
    <t>0.0001</t>
  </si>
  <si>
    <t>PPA</t>
  </si>
  <si>
    <t>0.4833923086625145</t>
  </si>
  <si>
    <t>UTILIZATION</t>
  </si>
  <si>
    <t>0.0005075287268812024</t>
  </si>
  <si>
    <t>SUBSIDY</t>
  </si>
  <si>
    <t>-0.4967755082456347</t>
  </si>
  <si>
    <t>0.2251149290824404</t>
  </si>
  <si>
    <t>0.02811671597669335</t>
  </si>
  <si>
    <t>VOLATILITY</t>
  </si>
  <si>
    <t>0.08601679261873968</t>
  </si>
  <si>
    <t>0.05837152381450525</t>
  </si>
  <si>
    <t>0.1416753034672532</t>
  </si>
  <si>
    <t>COUNTERPARTYSCORE</t>
  </si>
  <si>
    <t>-0.04677353530214937</t>
  </si>
  <si>
    <t>0.0207487533054677</t>
  </si>
  <si>
    <t>0.02492731607890112</t>
  </si>
  <si>
    <t>ANCILLARYREV</t>
  </si>
  <si>
    <t>-0.7930457860364588</t>
  </si>
  <si>
    <t>0.3134940401998573</t>
  </si>
  <si>
    <t>0.01194754387494151</t>
  </si>
  <si>
    <t>CURRENCYMISMATCH_RATIO</t>
  </si>
  <si>
    <t>0.6802356560366395</t>
  </si>
  <si>
    <t>0.0002761838615187158</t>
  </si>
  <si>
    <t>SEASONALITY</t>
  </si>
  <si>
    <t>0.3121887576377394</t>
  </si>
  <si>
    <t>0.2000872140754714</t>
  </si>
  <si>
    <t>0.8415530948146689</t>
  </si>
  <si>
    <t>NONREVENUEBENEFIT</t>
  </si>
  <si>
    <t>0.6645452627997658</t>
  </si>
  <si>
    <t>0.0033</t>
  </si>
  <si>
    <t>0.839151</t>
  </si>
  <si>
    <t>0.819123</t>
  </si>
  <si>
    <t>BANKABLE</t>
  </si>
  <si>
    <t>CURRENCYMISMATCH</t>
  </si>
  <si>
    <t>FUNDINGGAP</t>
  </si>
  <si>
    <t>PPA_DUMMY</t>
  </si>
  <si>
    <t>TARIFF_USD</t>
  </si>
  <si>
    <t xml:space="preserve"> Mean</t>
  </si>
  <si>
    <t>0.003333333333333338</t>
  </si>
  <si>
    <t>0.6243766666666668</t>
  </si>
  <si>
    <t>0.4979266666666667</t>
  </si>
  <si>
    <t>0.5533333333333333</t>
  </si>
  <si>
    <t>0.6144566666666666</t>
  </si>
  <si>
    <t>0.7980266666666666</t>
  </si>
  <si>
    <t>0.87235</t>
  </si>
  <si>
    <t>0.6437933333333334</t>
  </si>
  <si>
    <t xml:space="preserve"> Median</t>
  </si>
  <si>
    <t>0.897</t>
  </si>
  <si>
    <t>0.61</t>
  </si>
  <si>
    <t>17.14</t>
  </si>
  <si>
    <t>0.474</t>
  </si>
  <si>
    <t>0.6235</t>
  </si>
  <si>
    <t>0.793</t>
  </si>
  <si>
    <t>0.867</t>
  </si>
  <si>
    <t>0.637</t>
  </si>
  <si>
    <t>9.51</t>
  </si>
  <si>
    <t xml:space="preserve"> Maximum</t>
  </si>
  <si>
    <t>7.29</t>
  </si>
  <si>
    <t>1.2</t>
  </si>
  <si>
    <t>82.01</t>
  </si>
  <si>
    <t>0.98</t>
  </si>
  <si>
    <t xml:space="preserve"> Minimum</t>
  </si>
  <si>
    <t>0.008999999999999999</t>
  </si>
  <si>
    <t>0.293</t>
  </si>
  <si>
    <t>0.036</t>
  </si>
  <si>
    <t>-0.394</t>
  </si>
  <si>
    <t>-0.727</t>
  </si>
  <si>
    <t>0.01</t>
  </si>
  <si>
    <t>0.476</t>
  </si>
  <si>
    <t>-0.833</t>
  </si>
  <si>
    <t>0.213</t>
  </si>
  <si>
    <t>0.256</t>
  </si>
  <si>
    <t xml:space="preserve"> Std. Dev.</t>
  </si>
  <si>
    <t>0.780428052256686</t>
  </si>
  <si>
    <t>0.05773502691896234</t>
  </si>
  <si>
    <t>0.3592964810941577</t>
  </si>
  <si>
    <t>0.366687852575334</t>
  </si>
  <si>
    <t>0.497978074582377</t>
  </si>
  <si>
    <t>0.4196814942839036</t>
  </si>
  <si>
    <t>0.6069073413838729</t>
  </si>
  <si>
    <t>0.1541655307439546</t>
  </si>
  <si>
    <t>0.7900223166273411</t>
  </si>
  <si>
    <t>0.1483903510221508</t>
  </si>
  <si>
    <t xml:space="preserve"> Skewness</t>
  </si>
  <si>
    <t>0.8284674216684729</t>
  </si>
  <si>
    <t>0.09873149997568764</t>
  </si>
  <si>
    <t>0.4398856665757235</t>
  </si>
  <si>
    <t>0.2611633367103358</t>
  </si>
  <si>
    <t>0.3624197161049005</t>
  </si>
  <si>
    <t>-0.1149142478207606</t>
  </si>
  <si>
    <t>0.1363649982362023</t>
  </si>
  <si>
    <t>0.5492845851786596</t>
  </si>
  <si>
    <t>-0.2145574184499433</t>
  </si>
  <si>
    <t>0.0002356656746688783</t>
  </si>
  <si>
    <t>0.001570078605969596</t>
  </si>
  <si>
    <t>-0.01504774245050118</t>
  </si>
  <si>
    <t>0.7650927776632625</t>
  </si>
  <si>
    <t>0.09449753385238396</t>
  </si>
  <si>
    <t>0.1014102137645189</t>
  </si>
  <si>
    <t>0.05071067592395446</t>
  </si>
  <si>
    <t>0.2267666268374361</t>
  </si>
  <si>
    <t>-0.1461932824146843</t>
  </si>
  <si>
    <t xml:space="preserve"> Kurtosis</t>
  </si>
  <si>
    <t xml:space="preserve"> Jarque-Bera</t>
  </si>
  <si>
    <t>0.7546909539010785</t>
  </si>
  <si>
    <t>0.9677145961210134</t>
  </si>
  <si>
    <t>0.1372316040898817</t>
  </si>
  <si>
    <t>0.04862240249422617</t>
  </si>
  <si>
    <t>0.8892609038040514</t>
  </si>
  <si>
    <t xml:space="preserve"> Probability</t>
  </si>
  <si>
    <t>0.4494870109287508</t>
  </si>
  <si>
    <t>0.007269365741879325</t>
  </si>
  <si>
    <t>0.02771887925875774</t>
  </si>
  <si>
    <t>0.0256451317778216</t>
  </si>
  <si>
    <t>0.6856791466312958</t>
  </si>
  <si>
    <t>0.6164011572770894</t>
  </si>
  <si>
    <t>0.0005069340332201018</t>
  </si>
  <si>
    <t>0.933685331172187</t>
  </si>
  <si>
    <t>0.9759819356973788</t>
  </si>
  <si>
    <t>0.2043410544464959</t>
  </si>
  <si>
    <t>0.335687489718875</t>
  </si>
  <si>
    <t>0.570979812749576</t>
  </si>
  <si>
    <t>0.641061135187392</t>
  </si>
  <si>
    <t>0.2763888543203359</t>
  </si>
  <si>
    <t>0.1343102272119966</t>
  </si>
  <si>
    <t xml:space="preserve"> Sum</t>
  </si>
  <si>
    <t>442.52</t>
  </si>
  <si>
    <t xml:space="preserve"> Sum Sq. Dev.</t>
  </si>
  <si>
    <t>0.9966666666666585</t>
  </si>
  <si>
    <t xml:space="preserve"> Observations</t>
  </si>
  <si>
    <t>0.008999</t>
  </si>
  <si>
    <t>Mean</t>
  </si>
  <si>
    <t>Median</t>
  </si>
  <si>
    <t>Maximum</t>
  </si>
  <si>
    <t>Minimum</t>
  </si>
  <si>
    <t>Std. Dev.</t>
  </si>
  <si>
    <t>9.0e-3</t>
  </si>
  <si>
    <t>0.780</t>
  </si>
  <si>
    <t>3.33e-3</t>
  </si>
  <si>
    <t>5.77e-2</t>
  </si>
  <si>
    <t>0.624</t>
  </si>
  <si>
    <t>0.359</t>
  </si>
  <si>
    <t>0.498</t>
  </si>
  <si>
    <t>0.367</t>
  </si>
  <si>
    <t>0.553</t>
  </si>
  <si>
    <t>0.614</t>
  </si>
  <si>
    <t>0.420</t>
  </si>
  <si>
    <t>0.798</t>
  </si>
  <si>
    <t>0.607</t>
  </si>
  <si>
    <t>0.872</t>
  </si>
  <si>
    <t>0.154</t>
  </si>
  <si>
    <t>0.790</t>
  </si>
  <si>
    <t>0.644</t>
  </si>
  <si>
    <t>0.148</t>
  </si>
  <si>
    <t>Category</t>
  </si>
  <si>
    <t>Driver</t>
  </si>
  <si>
    <t>Description</t>
  </si>
  <si>
    <t>Source</t>
  </si>
  <si>
    <t>Cost Drivers</t>
  </si>
  <si>
    <t>Capital Expenditures (CAPEX)</t>
  </si>
  <si>
    <t>Up-front construction or purchase costs (equipment, civil works, grid interconnection); large, lumpy CAPEX drives need for long-tenor, low-cost or staged financing</t>
  </si>
  <si>
    <t>CPI</t>
  </si>
  <si>
    <t>Operating Expenditures (OPEX) &amp; Maintenance</t>
  </si>
  <si>
    <t>Ongoing staff, spare parts, fuel, service contracts; higher O&amp;M raises required operating cashflow and can affect investor returns</t>
  </si>
  <si>
    <t>Cost of Capital / Financing Costs</t>
  </si>
  <si>
    <t>Interest rates, debt service, required equity returns, availability of long-term local currency financing; higher financing costs enlarge total project costs</t>
  </si>
  <si>
    <t>World Bank</t>
  </si>
  <si>
    <t>Transaction &amp; Structuring Costs</t>
  </si>
  <si>
    <t>Due diligence, legal, permits, contract negotiation, advisory fees, arranging blended structures; relatively high for small projects</t>
  </si>
  <si>
    <t>PPP Knowledge Lab</t>
  </si>
  <si>
    <t>Risk Mitigation &amp; Insurance Costs</t>
  </si>
  <si>
    <t>Political risk insurance, guarantees, hedging, performance guarantees increase financial outlays or concessionality needed</t>
  </si>
  <si>
    <t>OECD</t>
  </si>
  <si>
    <t>Grid / Network Integration &amp; Connection Costs</t>
  </si>
  <si>
    <t>Interconnection, grid upgrades, curtailment risk mitigation, especially for variable renewables</t>
  </si>
  <si>
    <t>Regulatory &amp; Compliance Costs</t>
  </si>
  <si>
    <t>Licensing, environmental &amp; social safeguards, permitting delays that can cause cost overruns</t>
  </si>
  <si>
    <t>Technical / Construction Risk &amp; Delays</t>
  </si>
  <si>
    <t>Engineering complexity, supply-chain disruptions, contractor performance; requires contingency reserves</t>
  </si>
  <si>
    <t>Currency &amp; Macroeconomic Risks</t>
  </si>
  <si>
    <t>Devaluation or inflation increases local currency costs or foreign debt servicing burden</t>
  </si>
  <si>
    <t>Scale &amp; Ticket Size (Economies of Scale)</t>
  </si>
  <si>
    <t>Small projects have proportionally higher per-unit costs, reducing bankability without aggregation</t>
  </si>
  <si>
    <t>Revenue Drivers</t>
  </si>
  <si>
    <t>Off-take Contracts &amp; Price Structure</t>
  </si>
  <si>
    <t>Existence and terms of PPAs, concession contracts, feed-in tariffs determine revenue predictability</t>
  </si>
  <si>
    <t>Tariffs / User Fees / Willingness to Pay</t>
  </si>
  <si>
    <t>Regulated tariffs or user charges and political willingness to adjust them</t>
  </si>
  <si>
    <t>Demand / Utilization Rates</t>
  </si>
  <si>
    <t>Real uptake, load factors, occupancy or usage; lower utilization reduces revenue per period</t>
  </si>
  <si>
    <t>Policy Support &amp; Subsidies</t>
  </si>
  <si>
    <t>Availability and reliability of subsidies, tax incentives, or capacity payments</t>
  </si>
  <si>
    <t>Market Price Volatility / Merchant Risk</t>
  </si>
  <si>
    <t>Exposure to wholesale prices leads to revenue variability and investor risk</t>
  </si>
  <si>
    <t>Counterparty Creditworthiness</t>
  </si>
  <si>
    <t>Solvency of buyers (government, utility, commercial counterparty) affects recoverability</t>
  </si>
  <si>
    <t>Ancillary / Secondary Revenue Streams</t>
  </si>
  <si>
    <t>Carbon credits, by-product sales, grid services, advertising; supplements principal revenues but may be uncertain</t>
  </si>
  <si>
    <t>Currency Mismatch (Revenues vs Liabilities)</t>
  </si>
  <si>
    <t>Revenues in local currency with foreign debt reduce ability to service debt</t>
  </si>
  <si>
    <t>Open Knowledge Repository</t>
  </si>
  <si>
    <t>Temporal Profile &amp; Seasonality</t>
  </si>
  <si>
    <t>Seasonal revenue fluctuations increase liquidity risk; require smoothing</t>
  </si>
  <si>
    <t>Non-revenue Benefits &amp; Economic Value</t>
  </si>
  <si>
    <t>Avoided costs, social benefits, systemic value may justify public top-ups</t>
  </si>
  <si>
    <t>Observation</t>
  </si>
  <si>
    <t>p-Value</t>
  </si>
  <si>
    <t>Constant (C)</t>
  </si>
  <si>
    <t>-1.48e+14</t>
  </si>
  <si>
    <t>2.47e+15</t>
  </si>
  <si>
    <t>-5.98</t>
  </si>
  <si>
    <t>0.104</t>
  </si>
  <si>
    <t>0.1385</t>
  </si>
  <si>
    <t>0.0424</t>
  </si>
  <si>
    <t>3.26</t>
  </si>
  <si>
    <t>0.0012 ***</t>
  </si>
  <si>
    <t>0.507</t>
  </si>
  <si>
    <t>3.32</t>
  </si>
  <si>
    <t>0.0010 ***</t>
  </si>
  <si>
    <t>0.771</t>
  </si>
  <si>
    <t>0.122</t>
  </si>
  <si>
    <t>6.32</t>
  </si>
  <si>
    <t>9.87e-05 ***</t>
  </si>
  <si>
    <t>Transaction Cost</t>
  </si>
  <si>
    <t>0.251</t>
  </si>
  <si>
    <t>0.307</t>
  </si>
  <si>
    <t>0.82</t>
  </si>
  <si>
    <t>0.414</t>
  </si>
  <si>
    <t>Risk Mitigation</t>
  </si>
  <si>
    <t>0.403</t>
  </si>
  <si>
    <t>0.397</t>
  </si>
  <si>
    <t>1.02</t>
  </si>
  <si>
    <t>0.311</t>
  </si>
  <si>
    <t>Grid Connection</t>
  </si>
  <si>
    <t>0.717</t>
  </si>
  <si>
    <t>0.130</t>
  </si>
  <si>
    <t>5.53</t>
  </si>
  <si>
    <t>7.22e-06 ***</t>
  </si>
  <si>
    <t>Regulatory</t>
  </si>
  <si>
    <t>0.586</t>
  </si>
  <si>
    <t>2.45</t>
  </si>
  <si>
    <t>0.0149 **</t>
  </si>
  <si>
    <t>Delay Cost</t>
  </si>
  <si>
    <t>0.0217</t>
  </si>
  <si>
    <t>0.0884</t>
  </si>
  <si>
    <t>-0.25</t>
  </si>
  <si>
    <t>0.806</t>
  </si>
  <si>
    <t>Currency Exposure</t>
  </si>
  <si>
    <t>0.0360</t>
  </si>
  <si>
    <t>0.0103</t>
  </si>
  <si>
    <t>3.51</t>
  </si>
  <si>
    <t>0.0005 ***</t>
  </si>
  <si>
    <t>Scale Effect</t>
  </si>
  <si>
    <t>967.28</t>
  </si>
  <si>
    <t>2.35e-04 ***</t>
  </si>
  <si>
    <t>Note: ***p &lt; 0.01, **p &lt; 0.05, *p &lt; 0.10</t>
  </si>
  <si>
    <t>3.89e+15</t>
  </si>
  <si>
    <t>2.66e+15</t>
  </si>
  <si>
    <t>1.46</t>
  </si>
  <si>
    <t>1.74e-21 ***</t>
  </si>
  <si>
    <t>Tariff</t>
  </si>
  <si>
    <t>-0.2333</t>
  </si>
  <si>
    <t>0.0244</t>
  </si>
  <si>
    <t>-9.57</t>
  </si>
  <si>
    <t>0.0001 ***</t>
  </si>
  <si>
    <t>0.4834</t>
  </si>
  <si>
    <t>-8.30</t>
  </si>
  <si>
    <t>0.0403 **</t>
  </si>
  <si>
    <t>Utilization</t>
  </si>
  <si>
    <t>-3.52</t>
  </si>
  <si>
    <t>Subsidy</t>
  </si>
  <si>
    <t>-0.4968</t>
  </si>
  <si>
    <t>0.2251</t>
  </si>
  <si>
    <t>-2.21</t>
  </si>
  <si>
    <t>0.0281 **</t>
  </si>
  <si>
    <t>Volatility</t>
  </si>
  <si>
    <t>0.0860</t>
  </si>
  <si>
    <t>0.0584</t>
  </si>
  <si>
    <t>1.47</t>
  </si>
  <si>
    <t>0.142</t>
  </si>
  <si>
    <t>Counterparty Score</t>
  </si>
  <si>
    <t>-0.0468</t>
  </si>
  <si>
    <t>0.0207</t>
  </si>
  <si>
    <t>-2.25</t>
  </si>
  <si>
    <t>0.0249 **</t>
  </si>
  <si>
    <t>Ancillary Revenue</t>
  </si>
  <si>
    <t>-0.7930</t>
  </si>
  <si>
    <t>0.3135</t>
  </si>
  <si>
    <t>-2.53</t>
  </si>
  <si>
    <t>0.0119 **</t>
  </si>
  <si>
    <t>Currency Mismatch Ratio</t>
  </si>
  <si>
    <t>0.6802</t>
  </si>
  <si>
    <t>3.68</t>
  </si>
  <si>
    <t>0.0003 ***</t>
  </si>
  <si>
    <t>Seasonality</t>
  </si>
  <si>
    <t>0.3122</t>
  </si>
  <si>
    <t>156.03</t>
  </si>
  <si>
    <t>0.20</t>
  </si>
  <si>
    <t>0.842</t>
  </si>
  <si>
    <t>Non-Revenue Benefit</t>
  </si>
  <si>
    <t>0.6645</t>
  </si>
  <si>
    <t>-317.03</t>
  </si>
  <si>
    <t>0.0033 ***</t>
  </si>
  <si>
    <t>Significant Driver</t>
  </si>
  <si>
    <t>Cost Driver</t>
  </si>
  <si>
    <t>Regulatory Costs</t>
  </si>
  <si>
    <t>Revenue Driver</t>
  </si>
  <si>
    <t>Currency Mismatch</t>
  </si>
  <si>
    <t>Non-Revenue Benefits</t>
  </si>
  <si>
    <t>Variable Name</t>
  </si>
  <si>
    <t>Formula / Transformation</t>
  </si>
  <si>
    <t>Up-front construction or purchase costs (equipment, civil works, grid interconnection).</t>
  </si>
  <si>
    <t>CAPEX_per_MW</t>
  </si>
  <si>
    <t>log(CAPEX / CapacityMW)</t>
  </si>
  <si>
    <t>Operating Expenditures (OPEX)</t>
  </si>
  <si>
    <t>Annual operating &amp; maintenance (staff, spare parts, service contracts).</t>
  </si>
  <si>
    <t>OPEX_per_MW</t>
  </si>
  <si>
    <t>OPEX / CapacityMW</t>
  </si>
  <si>
    <t>Weighted Avg. Cost of Capital</t>
  </si>
  <si>
    <t>Financing costs including debt &amp; equity.</t>
  </si>
  <si>
    <r>
      <t>WACC / 100</t>
    </r>
    <r>
      <rPr>
        <sz val="11"/>
        <color theme="1"/>
        <rFont val="Aptos Narrow"/>
        <family val="2"/>
        <scheme val="minor"/>
      </rPr>
      <t xml:space="preserve"> (convert % → decimal)</t>
    </r>
  </si>
  <si>
    <t>Due diligence, legal, permits, advisory fees.</t>
  </si>
  <si>
    <t>TRANSCOST_ratio</t>
  </si>
  <si>
    <t>TransactionCost / CAPEX</t>
  </si>
  <si>
    <t>Risk Mitigation &amp; Insurance</t>
  </si>
  <si>
    <t>Guarantees, political risk insurance, FX hedging costs.</t>
  </si>
  <si>
    <t>RISKMIT_cost</t>
  </si>
  <si>
    <t>RiskMitigation / CAPEX</t>
  </si>
  <si>
    <t>Grid / Network Integration</t>
  </si>
  <si>
    <t>Cost of interconnection, grid upgrades, curtailment mitigation.</t>
  </si>
  <si>
    <t>GRIDCOST_ratio</t>
  </si>
  <si>
    <t>GridCost / CAPEX</t>
  </si>
  <si>
    <t>Regulatory &amp; Compliance</t>
  </si>
  <si>
    <t>Licensing, environmental &amp; social safeguard costs, permitting delays.</t>
  </si>
  <si>
    <t>REGCOST_ratio</t>
  </si>
  <si>
    <t>RegulatoryCost / CAPEX</t>
  </si>
  <si>
    <t>Technical / Construction Delays</t>
  </si>
  <si>
    <t>Costs from engineering complexity, supply-chain delays.</t>
  </si>
  <si>
    <t>DELAY_cost</t>
  </si>
  <si>
    <t>DelayMonths × MonthlyCarryingCost</t>
  </si>
  <si>
    <t>Currency &amp; Macroeconomic Risk</t>
  </si>
  <si>
    <t>FX exposure on debt or costs.</t>
  </si>
  <si>
    <t>CURRENCY_mismatch</t>
  </si>
  <si>
    <t>(ForeignDebt% – ForeignRevenue%)</t>
  </si>
  <si>
    <t>Scale &amp; Ticket Size</t>
  </si>
  <si>
    <t>Economies of scale, per-unit cost effects.</t>
  </si>
  <si>
    <t>SCALE_logMW</t>
  </si>
  <si>
    <t>log(CapacityMW)</t>
  </si>
  <si>
    <t>Off-take Contracts (PPA)</t>
  </si>
  <si>
    <t>Existence/terms of PPAs (price, tenor, indexation).</t>
  </si>
  <si>
    <t>PPA_price</t>
  </si>
  <si>
    <t>PPA_Tariff_USDkWh</t>
  </si>
  <si>
    <t>Tariffs / User Fees</t>
  </si>
  <si>
    <t>Regulated tariffs or user charges.</t>
  </si>
  <si>
    <t>TARIFF_real</t>
  </si>
  <si>
    <t>Tariff / InflationIndex</t>
  </si>
  <si>
    <t>Load factor, occupancy, % of capacity used.</t>
  </si>
  <si>
    <t>UTIL_factor</t>
  </si>
  <si>
    <t>Utilization% / 100</t>
  </si>
  <si>
    <t>Policy Support / Subsidies</t>
  </si>
  <si>
    <t>Grants, tax incentives, capacity payments.</t>
  </si>
  <si>
    <t>SUBSIDY_ratio</t>
  </si>
  <si>
    <t>Subsidy / Revenue</t>
  </si>
  <si>
    <t>Market Price Volatility</t>
  </si>
  <si>
    <t>Exposure to wholesale price changes.</t>
  </si>
  <si>
    <t>VOLATILITY_index</t>
  </si>
  <si>
    <t>stdev(MarketPrice) / mean(MarketPrice)</t>
  </si>
  <si>
    <t>Buyer’s solvency (utility, gov’t, corporate).</t>
  </si>
  <si>
    <t>CREDIT_score</t>
  </si>
  <si>
    <t>Map rating (AAA=1, … B=7)</t>
  </si>
  <si>
    <t>Ancillary / Secondary Revenue</t>
  </si>
  <si>
    <t>Carbon credits, by-products, grid services.</t>
  </si>
  <si>
    <t>ANCIL_ratio</t>
  </si>
  <si>
    <t>AncillaryRevenue / Revenue</t>
  </si>
  <si>
    <t>Local revenue vs foreign-currency debt.</t>
  </si>
  <si>
    <t>CURR_MISMATCH</t>
  </si>
  <si>
    <t>(ForeignDebt / TotalDebt) – (ForeignRevenue / TotalRevenue)</t>
  </si>
  <si>
    <t>Temporal Profile / Seasonality</t>
  </si>
  <si>
    <t>Seasonal demand fluctuations.</t>
  </si>
  <si>
    <t>SEASON_var</t>
  </si>
  <si>
    <t>stdev(MonthlyRevenue) / mean(MonthlyRevenue)</t>
  </si>
  <si>
    <t>Avoided costs, public benefits, social value.</t>
  </si>
  <si>
    <t>NONREV_topup</t>
  </si>
  <si>
    <t>PublicTopup / Revenue</t>
  </si>
  <si>
    <t xml:space="preserve">WACC / 100 </t>
  </si>
  <si>
    <t>CAPEX = ln(CapacityMWCAPEX​)</t>
  </si>
  <si>
    <t>Dummy (0 = absence, 1 = presence)</t>
  </si>
  <si>
    <t>Estimate (β)</t>
  </si>
  <si>
    <t>z-value</t>
  </si>
  <si>
    <t>p-value</t>
  </si>
  <si>
    <t>Significance</t>
  </si>
  <si>
    <t>(Intercept)</t>
  </si>
  <si>
    <t>0.170</t>
  </si>
  <si>
    <t>7.12</t>
  </si>
  <si>
    <t>***</t>
  </si>
  <si>
    <t>-0.485</t>
  </si>
  <si>
    <t>0.092</t>
  </si>
  <si>
    <t>-5.27</t>
  </si>
  <si>
    <t>-0.312</t>
  </si>
  <si>
    <t>0.110</t>
  </si>
  <si>
    <t>-2.84</t>
  </si>
  <si>
    <t>0.0045</t>
  </si>
  <si>
    <t>**</t>
  </si>
  <si>
    <t>0.430</t>
  </si>
  <si>
    <t>-5.00</t>
  </si>
  <si>
    <t>-0.480</t>
  </si>
  <si>
    <t>0.210</t>
  </si>
  <si>
    <t>-2.29</t>
  </si>
  <si>
    <t>0.0220</t>
  </si>
  <si>
    <t>*</t>
  </si>
  <si>
    <t>-0.210</t>
  </si>
  <si>
    <t>0.095</t>
  </si>
  <si>
    <t>0.0270</t>
  </si>
  <si>
    <t>-0.640</t>
  </si>
  <si>
    <t>0.185</t>
  </si>
  <si>
    <t>-3.46</t>
  </si>
  <si>
    <t>0.0005</t>
  </si>
  <si>
    <t>-0.230</t>
  </si>
  <si>
    <t>0.120</t>
  </si>
  <si>
    <t>-1.92</t>
  </si>
  <si>
    <t>0.0550</t>
  </si>
  <si>
    <t>-0.018</t>
  </si>
  <si>
    <t>0.006</t>
  </si>
  <si>
    <t>-3.00</t>
  </si>
  <si>
    <t>0.0027</t>
  </si>
  <si>
    <t>0.260</t>
  </si>
  <si>
    <t>-3.92</t>
  </si>
  <si>
    <t>+0.375</t>
  </si>
  <si>
    <t>0.088</t>
  </si>
  <si>
    <t>4.26</t>
  </si>
  <si>
    <t>-</t>
  </si>
  <si>
    <t>0.890</t>
  </si>
  <si>
    <t>0.150</t>
  </si>
  <si>
    <t>5.93</t>
  </si>
  <si>
    <t>+0.420</t>
  </si>
  <si>
    <t>3.50</t>
  </si>
  <si>
    <t>4.92</t>
  </si>
  <si>
    <t>+0.950</t>
  </si>
  <si>
    <t>0.200</t>
  </si>
  <si>
    <t>4.75</t>
  </si>
  <si>
    <t>+0.335</t>
  </si>
  <si>
    <t>0.140</t>
  </si>
  <si>
    <t>2.39</t>
  </si>
  <si>
    <t>-0.410</t>
  </si>
  <si>
    <t>0.165</t>
  </si>
  <si>
    <t>-2.48</t>
  </si>
  <si>
    <t>+0.225</t>
  </si>
  <si>
    <t>2.37</t>
  </si>
  <si>
    <t>0.018</t>
  </si>
  <si>
    <t>+0.120</t>
  </si>
  <si>
    <t>0.080</t>
  </si>
  <si>
    <t>1.50</t>
  </si>
  <si>
    <t>n.s.</t>
  </si>
  <si>
    <t>-0.560</t>
  </si>
  <si>
    <t>-2.67</t>
  </si>
  <si>
    <t>0.0076</t>
  </si>
  <si>
    <t>-0.180</t>
  </si>
  <si>
    <t>-1.89</t>
  </si>
  <si>
    <t>+0.075</t>
  </si>
  <si>
    <t>0.060</t>
  </si>
  <si>
    <t>1.25</t>
  </si>
  <si>
    <t>0.0171</t>
  </si>
  <si>
    <t>0.0134</t>
  </si>
  <si>
    <t>0.0189</t>
  </si>
  <si>
    <t>0.1342</t>
  </si>
  <si>
    <t>0.0592</t>
  </si>
  <si>
    <t>0.2109</t>
  </si>
  <si>
    <t>Boot SE</t>
  </si>
  <si>
    <t>Robust?</t>
  </si>
  <si>
    <t>0.125</t>
  </si>
  <si>
    <t>(0.170, 0.690)</t>
  </si>
  <si>
    <t>0.001</t>
  </si>
  <si>
    <t>Robust</t>
  </si>
  <si>
    <t>0.285</t>
  </si>
  <si>
    <t>(0.700, 1.900)</t>
  </si>
  <si>
    <t>(0.520, 1.420)</t>
  </si>
  <si>
    <t>(0.040, 0.640)</t>
  </si>
  <si>
    <t>0.019</t>
  </si>
  <si>
    <t>(-0.800, -0.090)</t>
  </si>
  <si>
    <t>0.012</t>
  </si>
  <si>
    <t>0.105</t>
  </si>
  <si>
    <t>(0.030, 0.430)</t>
  </si>
  <si>
    <t>0.020</t>
  </si>
  <si>
    <t>0.090</t>
  </si>
  <si>
    <t>(-0.050, 0.300)</t>
  </si>
  <si>
    <t>Not robust/NS</t>
  </si>
  <si>
    <t>0.235</t>
  </si>
  <si>
    <t>(-1.050, -0.160)</t>
  </si>
  <si>
    <t>0.100</t>
  </si>
  <si>
    <t>(-0.380, 0.020)</t>
  </si>
  <si>
    <t>0.070</t>
  </si>
  <si>
    <t>(-0.055, 0.220)</t>
  </si>
  <si>
    <t>0.180</t>
  </si>
  <si>
    <t xml:space="preserve">95% CI </t>
  </si>
  <si>
    <t xml:space="preserve"> p-value</t>
  </si>
  <si>
    <t>(-0.674, -0.312)</t>
  </si>
  <si>
    <t>0.118</t>
  </si>
  <si>
    <t>(-0.542, -0.122)</t>
  </si>
  <si>
    <t>0.004</t>
  </si>
  <si>
    <t>0.495</t>
  </si>
  <si>
    <t>(-3.180, -1.220)</t>
  </si>
  <si>
    <t>0.225</t>
  </si>
  <si>
    <t>(-0.960, -0.120)</t>
  </si>
  <si>
    <t>(-0.420, -0.040)</t>
  </si>
  <si>
    <t>0.023</t>
  </si>
  <si>
    <t>0.205</t>
  </si>
  <si>
    <t>(-1.060, -0.320)</t>
  </si>
  <si>
    <t>0.135</t>
  </si>
  <si>
    <t>(-0.520, 0.020)</t>
  </si>
  <si>
    <t>0.068</t>
  </si>
  <si>
    <t>0.007</t>
  </si>
  <si>
    <t>(-0.032, -0.006)</t>
  </si>
  <si>
    <t>0.003</t>
  </si>
  <si>
    <t>(-1.640, -0.520)</t>
  </si>
  <si>
    <t>(0.195, 0.570)</t>
  </si>
  <si>
    <t>Not robust</t>
  </si>
  <si>
    <t>n</t>
  </si>
  <si>
    <t>Variable (Normal Name)</t>
  </si>
  <si>
    <t>Significant in Regression</t>
  </si>
  <si>
    <t>Robustness Test (Bootstrap)</t>
  </si>
  <si>
    <t>Capital Expenditure (CAPEX)</t>
  </si>
  <si>
    <t>Yes</t>
  </si>
  <si>
    <t>Operating Expenditure (OPEX)</t>
  </si>
  <si>
    <t>Weighted Avg. Cost of Capital (WACC)</t>
  </si>
  <si>
    <t>Transaction Costs</t>
  </si>
  <si>
    <t>Risk Mitigation Costs</t>
  </si>
  <si>
    <t>Grid Connection Costs</t>
  </si>
  <si>
    <t>Delay Costs</t>
  </si>
  <si>
    <t>Scale Effects</t>
  </si>
  <si>
    <t>Power Purchase Agreement (PPA)</t>
  </si>
  <si>
    <t>Utilization Rate</t>
  </si>
  <si>
    <t>Market Volatility</t>
  </si>
  <si>
    <t>Counterparty Credit Score</t>
  </si>
  <si>
    <t>No</t>
  </si>
  <si>
    <t>Driver Type</t>
  </si>
  <si>
    <t>Cost</t>
  </si>
  <si>
    <t>Revenue</t>
  </si>
  <si>
    <t>Obs.</t>
  </si>
  <si>
    <t>Ancillary Revenue (%)</t>
  </si>
  <si>
    <t>0.11</t>
  </si>
  <si>
    <t>0.09</t>
  </si>
  <si>
    <t>0.33</t>
  </si>
  <si>
    <t>0.00</t>
  </si>
  <si>
    <t>0.08</t>
  </si>
  <si>
    <t>Bankable (Indicator)</t>
  </si>
  <si>
    <t>0.000</t>
  </si>
  <si>
    <t>1.00</t>
  </si>
  <si>
    <t>0.058</t>
  </si>
  <si>
    <t>CAPEX / Total Investment</t>
  </si>
  <si>
    <t>0.42</t>
  </si>
  <si>
    <t>0.38</t>
  </si>
  <si>
    <t>0.95</t>
  </si>
  <si>
    <t>0.05</t>
  </si>
  <si>
    <t>0.19</t>
  </si>
  <si>
    <t>Counterparty Score (0–1)</t>
  </si>
  <si>
    <t>0.65</t>
  </si>
  <si>
    <t>0.64</t>
  </si>
  <si>
    <t>0.36</t>
  </si>
  <si>
    <t>0.12</t>
  </si>
  <si>
    <t>Currency Exposure (%)</t>
  </si>
  <si>
    <t>0.39</t>
  </si>
  <si>
    <t>0.21</t>
  </si>
  <si>
    <t>Currency Mismatch (0–1)</t>
  </si>
  <si>
    <t>0.62</t>
  </si>
  <si>
    <t>Delay Cost (%)</t>
  </si>
  <si>
    <t>0.04</t>
  </si>
  <si>
    <t>0.14</t>
  </si>
  <si>
    <t>0.03</t>
  </si>
  <si>
    <t>Grid Connection Cost (%)</t>
  </si>
  <si>
    <t>0.26</t>
  </si>
  <si>
    <t>0.25</t>
  </si>
  <si>
    <t>0.79</t>
  </si>
  <si>
    <t>Non-Revenue Benefit (0–1)</t>
  </si>
  <si>
    <t>0.50</t>
  </si>
  <si>
    <t>0.47</t>
  </si>
  <si>
    <t>0.89</t>
  </si>
  <si>
    <t>0.29</t>
  </si>
  <si>
    <t>OPEX / Total Investment</t>
  </si>
  <si>
    <t>0.73</t>
  </si>
  <si>
    <t>0.17</t>
  </si>
  <si>
    <t>PPA (Indicator)</t>
  </si>
  <si>
    <t>0.55</t>
  </si>
  <si>
    <t>Regulatory Cost (%)</t>
  </si>
  <si>
    <t>0.96</t>
  </si>
  <si>
    <t>Risk Mitigation Cost (%)</t>
  </si>
  <si>
    <t>0.80</t>
  </si>
  <si>
    <t>Scale Effect (Index, 0–1)</t>
  </si>
  <si>
    <t>0.40</t>
  </si>
  <si>
    <t>Seasonality (0–1)</t>
  </si>
  <si>
    <t>0.87</t>
  </si>
  <si>
    <t>0.48</t>
  </si>
  <si>
    <t>0.15</t>
  </si>
  <si>
    <t>Subsidy (%)</t>
  </si>
  <si>
    <t>0.31</t>
  </si>
  <si>
    <t>0.30</t>
  </si>
  <si>
    <t>Tariff (Normalized Index)</t>
  </si>
  <si>
    <t>0.54</t>
  </si>
  <si>
    <t>Transaction Cost (%)</t>
  </si>
  <si>
    <t>0.13</t>
  </si>
  <si>
    <t>Utilization Rate (0–1)</t>
  </si>
  <si>
    <t>Volatility (0–1)</t>
  </si>
  <si>
    <t>0.59</t>
  </si>
  <si>
    <t>0.58</t>
  </si>
  <si>
    <t>0.92</t>
  </si>
  <si>
    <t>WACC (%)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</si>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</sst>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9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2A56-B318-487B-A293-93AAEAB35CA9}">
  <dimension ref="A1:E27"/>
  <sheetViews>
    <sheetView workbookViewId="0">
      <selection sqref="A1:E27"/>
    </sheetView>
  </sheetViews>
  <sheetFormatPr defaultRowHeight="14.4"/>
  <cols>
    <col min="1" max="1" width="29.6640625" bestFit="1" customWidth="1"/>
    <col min="2" max="2" width="20.6640625" bestFit="1" customWidth="1"/>
    <col min="4" max="4" width="20.6640625" bestFit="1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7" spans="1: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9" spans="1:5">
      <c r="A9" t="s">
        <v>10</v>
      </c>
      <c r="B9" s="1">
        <v>-147698475599593</v>
      </c>
      <c r="C9" s="1">
        <v>2469769939100530</v>
      </c>
      <c r="D9" s="1">
        <v>-5980252381457970</v>
      </c>
      <c r="E9" t="s">
        <v>11</v>
      </c>
    </row>
    <row r="10" spans="1:5">
      <c r="A10" t="s">
        <v>12</v>
      </c>
      <c r="B10" t="s">
        <v>13</v>
      </c>
      <c r="C10" t="s">
        <v>14</v>
      </c>
      <c r="D10" s="1">
        <v>3262893266048370</v>
      </c>
      <c r="E10" t="s">
        <v>15</v>
      </c>
    </row>
    <row r="11" spans="1:5">
      <c r="A11" t="s">
        <v>16</v>
      </c>
      <c r="B11" s="1">
        <v>1681143953335580</v>
      </c>
      <c r="C11" t="s">
        <v>17</v>
      </c>
      <c r="D11" s="1">
        <v>3318289488233830</v>
      </c>
      <c r="E11" t="s">
        <v>18</v>
      </c>
    </row>
    <row r="12" spans="1:5">
      <c r="A12" t="s">
        <v>19</v>
      </c>
      <c r="B12" t="s">
        <v>20</v>
      </c>
      <c r="C12" t="s">
        <v>21</v>
      </c>
      <c r="D12" s="1">
        <v>6320160095039090</v>
      </c>
      <c r="E12" s="2">
        <v>986916.83430501097</v>
      </c>
    </row>
    <row r="13" spans="1:5">
      <c r="A13" t="s">
        <v>22</v>
      </c>
      <c r="B13" t="s">
        <v>23</v>
      </c>
      <c r="C13" t="s">
        <v>24</v>
      </c>
      <c r="D13" t="s">
        <v>25</v>
      </c>
      <c r="E13" t="s">
        <v>26</v>
      </c>
    </row>
    <row r="14" spans="1:5">
      <c r="A14" t="s">
        <v>27</v>
      </c>
      <c r="B14" t="s">
        <v>28</v>
      </c>
      <c r="C14" t="s">
        <v>29</v>
      </c>
      <c r="D14" s="1">
        <v>1014989336067430</v>
      </c>
      <c r="E14" t="s">
        <v>30</v>
      </c>
    </row>
    <row r="15" spans="1:5">
      <c r="A15" t="s">
        <v>31</v>
      </c>
      <c r="B15" t="s">
        <v>32</v>
      </c>
      <c r="C15" t="s">
        <v>33</v>
      </c>
      <c r="D15" s="1">
        <v>5528591009254880</v>
      </c>
      <c r="E15" s="2">
        <v>7219867.5581239397</v>
      </c>
    </row>
    <row r="16" spans="1:5">
      <c r="A16" t="s">
        <v>34</v>
      </c>
      <c r="B16" s="1">
        <v>1435320002104000</v>
      </c>
      <c r="C16" t="s">
        <v>35</v>
      </c>
      <c r="D16" s="1">
        <v>2449628487608890</v>
      </c>
      <c r="E16" t="s">
        <v>36</v>
      </c>
    </row>
    <row r="17" spans="1:5">
      <c r="A17" t="s">
        <v>37</v>
      </c>
      <c r="B17" t="s">
        <v>38</v>
      </c>
      <c r="C17" t="s">
        <v>39</v>
      </c>
      <c r="D17" t="s">
        <v>40</v>
      </c>
      <c r="E17" t="s">
        <v>41</v>
      </c>
    </row>
    <row r="18" spans="1:5">
      <c r="A18" t="s">
        <v>42</v>
      </c>
      <c r="B18" t="s">
        <v>43</v>
      </c>
      <c r="C18" t="s">
        <v>44</v>
      </c>
      <c r="D18" s="1">
        <v>3510423598581970</v>
      </c>
      <c r="E18" t="s">
        <v>45</v>
      </c>
    </row>
    <row r="19" spans="1:5">
      <c r="A19" t="s">
        <v>46</v>
      </c>
      <c r="B19" s="1">
        <v>3548704577994330</v>
      </c>
      <c r="C19" t="s">
        <v>47</v>
      </c>
      <c r="D19" s="1">
        <v>967277631583619</v>
      </c>
      <c r="E19" s="2">
        <v>2.3531329594000101E-4</v>
      </c>
    </row>
    <row r="21" spans="1:5">
      <c r="A21" t="s">
        <v>48</v>
      </c>
      <c r="B21" t="s">
        <v>49</v>
      </c>
      <c r="C21" t="s">
        <v>50</v>
      </c>
      <c r="E21" s="1">
        <v>1722777333333330</v>
      </c>
    </row>
    <row r="22" spans="1:5">
      <c r="A22" t="s">
        <v>51</v>
      </c>
      <c r="B22" t="s">
        <v>52</v>
      </c>
      <c r="C22" t="s">
        <v>53</v>
      </c>
      <c r="E22" s="1">
        <v>5438772406181660</v>
      </c>
    </row>
    <row r="23" spans="1:5">
      <c r="A23" t="s">
        <v>54</v>
      </c>
      <c r="B23" s="1">
        <v>4115453555930840</v>
      </c>
      <c r="C23" t="s">
        <v>55</v>
      </c>
      <c r="E23" s="1">
        <v>5703352709615990</v>
      </c>
    </row>
    <row r="24" spans="1:5">
      <c r="A24" t="s">
        <v>56</v>
      </c>
      <c r="B24" s="1">
        <v>4894780853625870</v>
      </c>
      <c r="C24" t="s">
        <v>57</v>
      </c>
      <c r="E24" s="1">
        <v>5839158067020050</v>
      </c>
    </row>
    <row r="25" spans="1:5">
      <c r="A25" t="s">
        <v>58</v>
      </c>
      <c r="B25" s="1">
        <v>-8445029064423980</v>
      </c>
      <c r="C25" t="s">
        <v>59</v>
      </c>
      <c r="E25" s="1">
        <v>575770220971507</v>
      </c>
    </row>
    <row r="26" spans="1:5">
      <c r="A26" t="s">
        <v>60</v>
      </c>
      <c r="B26" s="1">
        <v>2332008199889300</v>
      </c>
      <c r="C26" t="s">
        <v>61</v>
      </c>
      <c r="E26" s="1">
        <v>2030814</v>
      </c>
    </row>
    <row r="27" spans="1:5">
      <c r="A27" t="s">
        <v>62</v>
      </c>
      <c r="B27" s="2">
        <v>5.9663557034440405E-17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86A0-E924-4DBE-8B29-93C7058BC8CB}">
  <dimension ref="A1:E27"/>
  <sheetViews>
    <sheetView workbookViewId="0">
      <selection sqref="A1:E27"/>
    </sheetView>
  </sheetViews>
  <sheetFormatPr defaultRowHeight="14.4"/>
  <sheetData>
    <row r="1" spans="1:5" ht="15" customHeight="1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7" spans="1: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9" spans="1:5">
      <c r="A9" t="s">
        <v>10</v>
      </c>
      <c r="B9" s="1">
        <v>3886497735503870</v>
      </c>
      <c r="C9" s="1">
        <v>2664807882134040</v>
      </c>
      <c r="D9" s="1">
        <v>1458453257197460</v>
      </c>
      <c r="E9" s="2">
        <v>1.7375412460882001E-21</v>
      </c>
    </row>
    <row r="10" spans="1:5">
      <c r="A10" t="s">
        <v>63</v>
      </c>
      <c r="B10" t="s">
        <v>64</v>
      </c>
      <c r="C10" t="s">
        <v>65</v>
      </c>
      <c r="D10" s="1">
        <v>-9568672781288720</v>
      </c>
      <c r="E10" t="s">
        <v>66</v>
      </c>
    </row>
    <row r="11" spans="1:5">
      <c r="A11" t="s">
        <v>67</v>
      </c>
      <c r="B11" s="1">
        <v>-4012306446046420</v>
      </c>
      <c r="C11" t="s">
        <v>68</v>
      </c>
      <c r="D11" s="1">
        <v>-8300310894784340</v>
      </c>
      <c r="E11" s="2">
        <v>4.0259602814919804</v>
      </c>
    </row>
    <row r="12" spans="1:5">
      <c r="A12" t="s">
        <v>69</v>
      </c>
      <c r="B12" s="1">
        <v>-5758379241564260</v>
      </c>
      <c r="C12" s="1">
        <v>1637522737034410</v>
      </c>
      <c r="D12" s="1">
        <v>-3516518648158010</v>
      </c>
      <c r="E12" t="s">
        <v>70</v>
      </c>
    </row>
    <row r="13" spans="1:5">
      <c r="A13" t="s">
        <v>71</v>
      </c>
      <c r="B13" t="s">
        <v>72</v>
      </c>
      <c r="C13" t="s">
        <v>73</v>
      </c>
      <c r="D13" s="1">
        <v>-2206763941736210</v>
      </c>
      <c r="E13" t="s">
        <v>74</v>
      </c>
    </row>
    <row r="14" spans="1:5">
      <c r="A14" t="s">
        <v>75</v>
      </c>
      <c r="B14" t="s">
        <v>76</v>
      </c>
      <c r="C14" t="s">
        <v>77</v>
      </c>
      <c r="D14" s="1">
        <v>1473608824948380</v>
      </c>
      <c r="E14" t="s">
        <v>78</v>
      </c>
    </row>
    <row r="15" spans="1:5">
      <c r="A15" t="s">
        <v>79</v>
      </c>
      <c r="B15" t="s">
        <v>80</v>
      </c>
      <c r="C15" t="s">
        <v>81</v>
      </c>
      <c r="D15" s="1">
        <v>-2254281720619020</v>
      </c>
      <c r="E15" t="s">
        <v>82</v>
      </c>
    </row>
    <row r="16" spans="1:5">
      <c r="A16" t="s">
        <v>83</v>
      </c>
      <c r="B16" t="s">
        <v>84</v>
      </c>
      <c r="C16" t="s">
        <v>85</v>
      </c>
      <c r="D16" s="1">
        <v>-2529699721024610</v>
      </c>
      <c r="E16" t="s">
        <v>86</v>
      </c>
    </row>
    <row r="17" spans="1:5">
      <c r="A17" t="s">
        <v>87</v>
      </c>
      <c r="B17" s="1">
        <v>2504574164428790</v>
      </c>
      <c r="C17" t="s">
        <v>88</v>
      </c>
      <c r="D17" s="1">
        <v>3681921319769640</v>
      </c>
      <c r="E17" t="s">
        <v>89</v>
      </c>
    </row>
    <row r="18" spans="1:5">
      <c r="A18" t="s">
        <v>90</v>
      </c>
      <c r="B18" t="s">
        <v>91</v>
      </c>
      <c r="C18" s="1">
        <v>156026340353754</v>
      </c>
      <c r="D18" t="s">
        <v>92</v>
      </c>
      <c r="E18" t="s">
        <v>93</v>
      </c>
    </row>
    <row r="19" spans="1:5">
      <c r="A19" t="s">
        <v>94</v>
      </c>
      <c r="B19" s="1">
        <v>-2106820960085600</v>
      </c>
      <c r="C19" t="s">
        <v>95</v>
      </c>
      <c r="D19" s="1">
        <v>-317031973293957</v>
      </c>
      <c r="E19" t="s">
        <v>96</v>
      </c>
    </row>
    <row r="21" spans="1:5">
      <c r="A21" t="s">
        <v>48</v>
      </c>
      <c r="B21" t="s">
        <v>97</v>
      </c>
      <c r="C21" t="s">
        <v>50</v>
      </c>
      <c r="E21" s="1">
        <v>1722777333333330</v>
      </c>
    </row>
    <row r="22" spans="1:5">
      <c r="A22" t="s">
        <v>51</v>
      </c>
      <c r="B22" t="s">
        <v>98</v>
      </c>
      <c r="C22" t="s">
        <v>53</v>
      </c>
      <c r="E22" s="1">
        <v>5438772406181660</v>
      </c>
    </row>
    <row r="23" spans="1:5">
      <c r="A23" t="s">
        <v>54</v>
      </c>
      <c r="B23" s="1">
        <v>4142957533495980</v>
      </c>
      <c r="C23" t="s">
        <v>55</v>
      </c>
      <c r="E23" s="1">
        <v>5716674438920370</v>
      </c>
    </row>
    <row r="24" spans="1:5">
      <c r="A24" t="s">
        <v>56</v>
      </c>
      <c r="B24" s="1">
        <v>4960424068937460</v>
      </c>
      <c r="C24" t="s">
        <v>57</v>
      </c>
      <c r="E24" s="1">
        <v>5852479796324430</v>
      </c>
    </row>
    <row r="25" spans="1:5">
      <c r="A25" t="s">
        <v>58</v>
      </c>
      <c r="B25" s="1">
        <v>-8465011658380560</v>
      </c>
      <c r="C25" t="s">
        <v>59</v>
      </c>
      <c r="E25" s="1">
        <v>5771023939019450</v>
      </c>
    </row>
    <row r="26" spans="1:5">
      <c r="A26" t="s">
        <v>60</v>
      </c>
      <c r="B26" s="1">
        <v>2262903340332870</v>
      </c>
      <c r="C26" t="s">
        <v>61</v>
      </c>
      <c r="E26" s="1">
        <v>2041209146868840</v>
      </c>
    </row>
    <row r="27" spans="1:5">
      <c r="A27" t="s">
        <v>62</v>
      </c>
      <c r="B27" s="2">
        <v>3.8288379642496701E-16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B998-7FAE-4259-8FF5-BE6503C01E4A}">
  <dimension ref="A1:E13"/>
  <sheetViews>
    <sheetView workbookViewId="0">
      <selection activeCell="D26" sqref="D26"/>
    </sheetView>
  </sheetViews>
  <sheetFormatPr defaultRowHeight="14.4"/>
  <cols>
    <col min="1" max="1" width="16.109375" style="5" bestFit="1" customWidth="1"/>
    <col min="2" max="2" width="13.6640625" customWidth="1"/>
    <col min="3" max="3" width="13.33203125" customWidth="1"/>
    <col min="4" max="4" width="11.5546875" customWidth="1"/>
    <col min="5" max="5" width="13.44140625" customWidth="1"/>
  </cols>
  <sheetData>
    <row r="1" spans="1:5" s="5" customFormat="1">
      <c r="A1" s="15" t="s">
        <v>5</v>
      </c>
      <c r="B1" s="15" t="s">
        <v>6</v>
      </c>
      <c r="C1" s="15" t="s">
        <v>7</v>
      </c>
      <c r="D1" s="15" t="s">
        <v>8</v>
      </c>
      <c r="E1" s="15" t="s">
        <v>273</v>
      </c>
    </row>
    <row r="2" spans="1:5">
      <c r="A2" s="16" t="s">
        <v>274</v>
      </c>
      <c r="B2" s="13" t="s">
        <v>275</v>
      </c>
      <c r="C2" s="13" t="s">
        <v>276</v>
      </c>
      <c r="D2" s="13" t="s">
        <v>277</v>
      </c>
      <c r="E2" s="13" t="s">
        <v>278</v>
      </c>
    </row>
    <row r="3" spans="1:5">
      <c r="A3" s="16" t="s">
        <v>12</v>
      </c>
      <c r="B3" s="13" t="s">
        <v>279</v>
      </c>
      <c r="C3" s="13" t="s">
        <v>280</v>
      </c>
      <c r="D3" s="13" t="s">
        <v>281</v>
      </c>
      <c r="E3" s="13" t="s">
        <v>282</v>
      </c>
    </row>
    <row r="4" spans="1:5">
      <c r="A4" s="16" t="s">
        <v>16</v>
      </c>
      <c r="B4" s="14">
        <v>1681</v>
      </c>
      <c r="C4" s="13" t="s">
        <v>283</v>
      </c>
      <c r="D4" s="13" t="s">
        <v>284</v>
      </c>
      <c r="E4" s="13" t="s">
        <v>285</v>
      </c>
    </row>
    <row r="5" spans="1:5">
      <c r="A5" s="16" t="s">
        <v>19</v>
      </c>
      <c r="B5" s="13" t="s">
        <v>286</v>
      </c>
      <c r="C5" s="13" t="s">
        <v>287</v>
      </c>
      <c r="D5" s="13" t="s">
        <v>288</v>
      </c>
      <c r="E5" s="13" t="s">
        <v>289</v>
      </c>
    </row>
    <row r="6" spans="1:5">
      <c r="A6" s="16" t="s">
        <v>290</v>
      </c>
      <c r="B6" s="13" t="s">
        <v>291</v>
      </c>
      <c r="C6" s="13" t="s">
        <v>292</v>
      </c>
      <c r="D6" s="13" t="s">
        <v>293</v>
      </c>
      <c r="E6" s="13" t="s">
        <v>294</v>
      </c>
    </row>
    <row r="7" spans="1:5">
      <c r="A7" s="16" t="s">
        <v>295</v>
      </c>
      <c r="B7" s="13" t="s">
        <v>296</v>
      </c>
      <c r="C7" s="13" t="s">
        <v>297</v>
      </c>
      <c r="D7" s="13" t="s">
        <v>298</v>
      </c>
      <c r="E7" s="13" t="s">
        <v>299</v>
      </c>
    </row>
    <row r="8" spans="1:5">
      <c r="A8" s="16" t="s">
        <v>300</v>
      </c>
      <c r="B8" s="13" t="s">
        <v>301</v>
      </c>
      <c r="C8" s="13" t="s">
        <v>302</v>
      </c>
      <c r="D8" s="13" t="s">
        <v>303</v>
      </c>
      <c r="E8" s="13" t="s">
        <v>304</v>
      </c>
    </row>
    <row r="9" spans="1:5">
      <c r="A9" s="16" t="s">
        <v>305</v>
      </c>
      <c r="B9" s="14">
        <v>1435</v>
      </c>
      <c r="C9" s="13" t="s">
        <v>306</v>
      </c>
      <c r="D9" s="13" t="s">
        <v>307</v>
      </c>
      <c r="E9" s="13" t="s">
        <v>308</v>
      </c>
    </row>
    <row r="10" spans="1:5">
      <c r="A10" s="16" t="s">
        <v>309</v>
      </c>
      <c r="B10" s="13" t="s">
        <v>310</v>
      </c>
      <c r="C10" s="13" t="s">
        <v>311</v>
      </c>
      <c r="D10" s="13" t="s">
        <v>312</v>
      </c>
      <c r="E10" s="13" t="s">
        <v>313</v>
      </c>
    </row>
    <row r="11" spans="1:5">
      <c r="A11" s="16" t="s">
        <v>314</v>
      </c>
      <c r="B11" s="13" t="s">
        <v>315</v>
      </c>
      <c r="C11" s="13" t="s">
        <v>316</v>
      </c>
      <c r="D11" s="13" t="s">
        <v>317</v>
      </c>
      <c r="E11" s="13" t="s">
        <v>318</v>
      </c>
    </row>
    <row r="12" spans="1:5">
      <c r="A12" s="16" t="s">
        <v>319</v>
      </c>
      <c r="B12" s="14">
        <v>3549</v>
      </c>
      <c r="C12" s="13" t="s">
        <v>210</v>
      </c>
      <c r="D12" s="13" t="s">
        <v>320</v>
      </c>
      <c r="E12" s="13" t="s">
        <v>321</v>
      </c>
    </row>
    <row r="13" spans="1:5">
      <c r="A13" s="19" t="s">
        <v>322</v>
      </c>
      <c r="B13" s="19"/>
      <c r="C13" s="19"/>
      <c r="D13" s="19"/>
      <c r="E13" s="19"/>
    </row>
  </sheetData>
  <mergeCells count="1">
    <mergeCell ref="A13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658B-2A35-492F-9E4D-D6B75EA9AAFA}">
  <dimension ref="A1:E13"/>
  <sheetViews>
    <sheetView workbookViewId="0">
      <selection activeCell="A13" sqref="A13:E13"/>
    </sheetView>
  </sheetViews>
  <sheetFormatPr defaultRowHeight="14.4"/>
  <cols>
    <col min="1" max="1" width="20.77734375" bestFit="1" customWidth="1"/>
    <col min="2" max="2" width="10.109375" bestFit="1" customWidth="1"/>
    <col min="3" max="3" width="9.44140625" bestFit="1" customWidth="1"/>
    <col min="4" max="4" width="9.21875" bestFit="1" customWidth="1"/>
    <col min="5" max="5" width="11.44140625" bestFit="1" customWidth="1"/>
  </cols>
  <sheetData>
    <row r="1" spans="1:5">
      <c r="A1" s="15" t="s">
        <v>5</v>
      </c>
      <c r="B1" s="15" t="s">
        <v>6</v>
      </c>
      <c r="C1" s="15" t="s">
        <v>7</v>
      </c>
      <c r="D1" s="15" t="s">
        <v>8</v>
      </c>
      <c r="E1" s="15" t="s">
        <v>273</v>
      </c>
    </row>
    <row r="2" spans="1:5">
      <c r="A2" s="11" t="s">
        <v>274</v>
      </c>
      <c r="B2" s="13" t="s">
        <v>323</v>
      </c>
      <c r="C2" s="13" t="s">
        <v>324</v>
      </c>
      <c r="D2" s="13" t="s">
        <v>325</v>
      </c>
      <c r="E2" s="13" t="s">
        <v>326</v>
      </c>
    </row>
    <row r="3" spans="1:5">
      <c r="A3" s="11" t="s">
        <v>327</v>
      </c>
      <c r="B3" s="13" t="s">
        <v>328</v>
      </c>
      <c r="C3" s="13" t="s">
        <v>329</v>
      </c>
      <c r="D3" s="13" t="s">
        <v>330</v>
      </c>
      <c r="E3" s="13" t="s">
        <v>331</v>
      </c>
    </row>
    <row r="4" spans="1:5">
      <c r="A4" s="11" t="s">
        <v>67</v>
      </c>
      <c r="B4" s="12">
        <v>-4012000000000000</v>
      </c>
      <c r="C4" s="13" t="s">
        <v>332</v>
      </c>
      <c r="D4" s="13" t="s">
        <v>333</v>
      </c>
      <c r="E4" s="13" t="s">
        <v>334</v>
      </c>
    </row>
    <row r="5" spans="1:5">
      <c r="A5" s="11" t="s">
        <v>335</v>
      </c>
      <c r="B5" s="12">
        <v>-5758000000000000</v>
      </c>
      <c r="C5" s="14">
        <v>1638</v>
      </c>
      <c r="D5" s="13" t="s">
        <v>336</v>
      </c>
      <c r="E5" s="13" t="s">
        <v>318</v>
      </c>
    </row>
    <row r="6" spans="1:5">
      <c r="A6" s="11" t="s">
        <v>337</v>
      </c>
      <c r="B6" s="13" t="s">
        <v>338</v>
      </c>
      <c r="C6" s="13" t="s">
        <v>339</v>
      </c>
      <c r="D6" s="13" t="s">
        <v>340</v>
      </c>
      <c r="E6" s="13" t="s">
        <v>341</v>
      </c>
    </row>
    <row r="7" spans="1:5">
      <c r="A7" s="11" t="s">
        <v>342</v>
      </c>
      <c r="B7" s="13" t="s">
        <v>343</v>
      </c>
      <c r="C7" s="13" t="s">
        <v>344</v>
      </c>
      <c r="D7" s="13" t="s">
        <v>345</v>
      </c>
      <c r="E7" s="13" t="s">
        <v>346</v>
      </c>
    </row>
    <row r="8" spans="1:5">
      <c r="A8" s="11" t="s">
        <v>347</v>
      </c>
      <c r="B8" s="13" t="s">
        <v>348</v>
      </c>
      <c r="C8" s="13" t="s">
        <v>349</v>
      </c>
      <c r="D8" s="13" t="s">
        <v>350</v>
      </c>
      <c r="E8" s="13" t="s">
        <v>351</v>
      </c>
    </row>
    <row r="9" spans="1:5">
      <c r="A9" s="11" t="s">
        <v>352</v>
      </c>
      <c r="B9" s="13" t="s">
        <v>353</v>
      </c>
      <c r="C9" s="13" t="s">
        <v>354</v>
      </c>
      <c r="D9" s="13" t="s">
        <v>355</v>
      </c>
      <c r="E9" s="13" t="s">
        <v>356</v>
      </c>
    </row>
    <row r="10" spans="1:5">
      <c r="A10" s="11" t="s">
        <v>357</v>
      </c>
      <c r="B10" s="12">
        <v>2505000000000000</v>
      </c>
      <c r="C10" s="13" t="s">
        <v>358</v>
      </c>
      <c r="D10" s="13" t="s">
        <v>359</v>
      </c>
      <c r="E10" s="13" t="s">
        <v>360</v>
      </c>
    </row>
    <row r="11" spans="1:5">
      <c r="A11" s="11" t="s">
        <v>361</v>
      </c>
      <c r="B11" s="13" t="s">
        <v>362</v>
      </c>
      <c r="C11" s="13" t="s">
        <v>363</v>
      </c>
      <c r="D11" s="13" t="s">
        <v>364</v>
      </c>
      <c r="E11" s="13" t="s">
        <v>365</v>
      </c>
    </row>
    <row r="12" spans="1:5">
      <c r="A12" s="11" t="s">
        <v>366</v>
      </c>
      <c r="B12" s="12">
        <v>-2107000000000000</v>
      </c>
      <c r="C12" s="13" t="s">
        <v>367</v>
      </c>
      <c r="D12" s="13" t="s">
        <v>368</v>
      </c>
      <c r="E12" s="13" t="s">
        <v>369</v>
      </c>
    </row>
    <row r="13" spans="1:5">
      <c r="A13" s="19" t="s">
        <v>322</v>
      </c>
      <c r="B13" s="19"/>
      <c r="C13" s="19"/>
      <c r="D13" s="19"/>
      <c r="E13" s="19"/>
    </row>
  </sheetData>
  <mergeCells count="1"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B3CB-3D7F-4114-AB99-D35DD96C1960}">
  <dimension ref="A1:E17"/>
  <sheetViews>
    <sheetView workbookViewId="0">
      <selection activeCell="C15" sqref="A1:C17"/>
    </sheetView>
  </sheetViews>
  <sheetFormatPr defaultRowHeight="13.2"/>
  <cols>
    <col min="1" max="1" width="8.5546875" style="17" bestFit="1" customWidth="1"/>
    <col min="2" max="2" width="26.21875" style="17" customWidth="1"/>
    <col min="3" max="3" width="13" style="17" customWidth="1"/>
    <col min="4" max="16384" width="8.88671875" style="17"/>
  </cols>
  <sheetData>
    <row r="1" spans="1:3">
      <c r="A1" s="15" t="s">
        <v>221</v>
      </c>
      <c r="B1" s="15" t="s">
        <v>370</v>
      </c>
      <c r="C1" s="15" t="s">
        <v>273</v>
      </c>
    </row>
    <row r="2" spans="1:3" ht="13.2" customHeight="1">
      <c r="A2" s="20" t="s">
        <v>371</v>
      </c>
      <c r="B2" s="11" t="s">
        <v>12</v>
      </c>
      <c r="C2" s="11" t="s">
        <v>282</v>
      </c>
    </row>
    <row r="3" spans="1:3">
      <c r="A3" s="20"/>
      <c r="B3" s="11" t="s">
        <v>16</v>
      </c>
      <c r="C3" s="11" t="s">
        <v>285</v>
      </c>
    </row>
    <row r="4" spans="1:3">
      <c r="A4" s="20"/>
      <c r="B4" s="11" t="s">
        <v>19</v>
      </c>
      <c r="C4" s="11" t="s">
        <v>289</v>
      </c>
    </row>
    <row r="5" spans="1:3">
      <c r="A5" s="20"/>
      <c r="B5" s="11" t="s">
        <v>300</v>
      </c>
      <c r="C5" s="11" t="s">
        <v>304</v>
      </c>
    </row>
    <row r="6" spans="1:3">
      <c r="A6" s="20"/>
      <c r="B6" s="11" t="s">
        <v>372</v>
      </c>
      <c r="C6" s="11" t="s">
        <v>308</v>
      </c>
    </row>
    <row r="7" spans="1:3">
      <c r="A7" s="20"/>
      <c r="B7" s="11" t="s">
        <v>314</v>
      </c>
      <c r="C7" s="11" t="s">
        <v>318</v>
      </c>
    </row>
    <row r="8" spans="1:3">
      <c r="A8" s="20"/>
      <c r="B8" s="11" t="s">
        <v>319</v>
      </c>
      <c r="C8" s="11" t="s">
        <v>321</v>
      </c>
    </row>
    <row r="9" spans="1:3" ht="13.2" customHeight="1">
      <c r="A9" s="20" t="s">
        <v>373</v>
      </c>
      <c r="B9" s="11" t="s">
        <v>327</v>
      </c>
      <c r="C9" s="11" t="s">
        <v>331</v>
      </c>
    </row>
    <row r="10" spans="1:3">
      <c r="A10" s="20"/>
      <c r="B10" s="11" t="s">
        <v>67</v>
      </c>
      <c r="C10" s="11" t="s">
        <v>334</v>
      </c>
    </row>
    <row r="11" spans="1:3">
      <c r="A11" s="20"/>
      <c r="B11" s="11" t="s">
        <v>335</v>
      </c>
      <c r="C11" s="11" t="s">
        <v>318</v>
      </c>
    </row>
    <row r="12" spans="1:3">
      <c r="A12" s="20"/>
      <c r="B12" s="11" t="s">
        <v>337</v>
      </c>
      <c r="C12" s="11" t="s">
        <v>341</v>
      </c>
    </row>
    <row r="13" spans="1:3">
      <c r="A13" s="20"/>
      <c r="B13" s="11" t="s">
        <v>261</v>
      </c>
      <c r="C13" s="11" t="s">
        <v>351</v>
      </c>
    </row>
    <row r="14" spans="1:3">
      <c r="A14" s="20"/>
      <c r="B14" s="11" t="s">
        <v>352</v>
      </c>
      <c r="C14" s="11" t="s">
        <v>356</v>
      </c>
    </row>
    <row r="15" spans="1:3">
      <c r="A15" s="20"/>
      <c r="B15" s="11" t="s">
        <v>374</v>
      </c>
      <c r="C15" s="11" t="s">
        <v>360</v>
      </c>
    </row>
    <row r="16" spans="1:3">
      <c r="A16" s="20"/>
      <c r="B16" s="11" t="s">
        <v>375</v>
      </c>
      <c r="C16" s="11" t="s">
        <v>369</v>
      </c>
    </row>
    <row r="17" spans="1:5">
      <c r="A17" s="21" t="s">
        <v>322</v>
      </c>
      <c r="B17" s="21"/>
      <c r="C17" s="21"/>
      <c r="D17" s="18"/>
      <c r="E17" s="18"/>
    </row>
  </sheetData>
  <mergeCells count="3">
    <mergeCell ref="A2:A8"/>
    <mergeCell ref="A9:A16"/>
    <mergeCell ref="A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432C-2537-4342-9938-530F1CF08CF5}">
  <dimension ref="A1:W40"/>
  <sheetViews>
    <sheetView topLeftCell="O1" workbookViewId="0">
      <selection sqref="A1:W14"/>
    </sheetView>
  </sheetViews>
  <sheetFormatPr defaultRowHeight="14.4"/>
  <cols>
    <col min="1" max="1" width="20.21875" bestFit="1" customWidth="1"/>
    <col min="2" max="13" width="23" bestFit="1" customWidth="1"/>
    <col min="14" max="14" width="21.88671875" bestFit="1" customWidth="1"/>
    <col min="15" max="15" width="20.77734375" bestFit="1" customWidth="1"/>
    <col min="16" max="16" width="20.6640625" bestFit="1" customWidth="1"/>
    <col min="17" max="17" width="20.44140625" bestFit="1" customWidth="1"/>
    <col min="18" max="18" width="20.77734375" bestFit="1" customWidth="1"/>
    <col min="19" max="23" width="20" bestFit="1" customWidth="1"/>
  </cols>
  <sheetData>
    <row r="1" spans="1:23" s="3" customFormat="1">
      <c r="B1" s="3" t="s">
        <v>83</v>
      </c>
      <c r="C1" s="3" t="s">
        <v>99</v>
      </c>
      <c r="D1" s="3" t="s">
        <v>12</v>
      </c>
      <c r="E1" s="3" t="s">
        <v>79</v>
      </c>
      <c r="F1" s="3" t="s">
        <v>42</v>
      </c>
      <c r="G1" s="3" t="s">
        <v>100</v>
      </c>
      <c r="H1" s="3" t="s">
        <v>37</v>
      </c>
      <c r="I1" s="3" t="s">
        <v>101</v>
      </c>
      <c r="J1" s="3" t="s">
        <v>31</v>
      </c>
      <c r="K1" s="3" t="s">
        <v>94</v>
      </c>
      <c r="L1" s="3" t="s">
        <v>16</v>
      </c>
      <c r="M1" s="3" t="s">
        <v>102</v>
      </c>
      <c r="N1" s="3" t="s">
        <v>34</v>
      </c>
      <c r="O1" s="3" t="s">
        <v>27</v>
      </c>
      <c r="P1" s="3" t="s">
        <v>46</v>
      </c>
      <c r="Q1" s="3" t="s">
        <v>90</v>
      </c>
      <c r="R1" s="3" t="s">
        <v>71</v>
      </c>
      <c r="S1" s="3" t="s">
        <v>103</v>
      </c>
      <c r="T1" s="3" t="s">
        <v>22</v>
      </c>
      <c r="U1" s="3" t="s">
        <v>69</v>
      </c>
      <c r="V1" s="3" t="s">
        <v>75</v>
      </c>
      <c r="W1" s="3" t="s">
        <v>19</v>
      </c>
    </row>
    <row r="2" spans="1:23">
      <c r="A2" t="s">
        <v>104</v>
      </c>
      <c r="B2" s="4">
        <v>107322</v>
      </c>
      <c r="C2" s="4" t="s">
        <v>105</v>
      </c>
      <c r="D2" s="4">
        <v>219864</v>
      </c>
      <c r="E2" s="4">
        <v>6472521</v>
      </c>
      <c r="F2" s="4">
        <v>3912404</v>
      </c>
      <c r="G2" s="4" t="s">
        <v>106</v>
      </c>
      <c r="H2" s="4">
        <v>525164</v>
      </c>
      <c r="I2" s="4">
        <v>1722777333333330</v>
      </c>
      <c r="J2" s="4">
        <v>2620826666666660</v>
      </c>
      <c r="K2" s="4" t="s">
        <v>107</v>
      </c>
      <c r="L2" s="4">
        <v>1475066666666660</v>
      </c>
      <c r="M2" s="4" t="s">
        <v>108</v>
      </c>
      <c r="N2" t="s">
        <v>109</v>
      </c>
      <c r="O2" t="s">
        <v>110</v>
      </c>
      <c r="P2" s="1">
        <v>4163598666666660</v>
      </c>
      <c r="Q2" t="s">
        <v>111</v>
      </c>
      <c r="R2" s="1">
        <v>1461493333333330</v>
      </c>
      <c r="S2" s="1">
        <v>5446407</v>
      </c>
      <c r="T2" s="1">
        <v>125999</v>
      </c>
      <c r="U2" t="s">
        <v>112</v>
      </c>
      <c r="V2" s="1">
        <v>9495906666666660</v>
      </c>
      <c r="W2" s="1">
        <v>9079903333333330</v>
      </c>
    </row>
    <row r="3" spans="1:23">
      <c r="A3" t="s">
        <v>113</v>
      </c>
      <c r="B3" s="4" t="s">
        <v>114</v>
      </c>
      <c r="C3" s="4">
        <v>0</v>
      </c>
      <c r="D3" s="4">
        <v>173375</v>
      </c>
      <c r="E3" s="4">
        <v>6467150000000000</v>
      </c>
      <c r="F3" s="4">
        <v>391865</v>
      </c>
      <c r="G3" s="4" t="s">
        <v>115</v>
      </c>
      <c r="H3" s="4">
        <v>5017000000000000</v>
      </c>
      <c r="I3" s="4" t="s">
        <v>116</v>
      </c>
      <c r="J3" s="4">
        <v>2561</v>
      </c>
      <c r="K3" s="4" t="s">
        <v>117</v>
      </c>
      <c r="L3" s="4">
        <v>12575</v>
      </c>
      <c r="M3" s="4">
        <v>1</v>
      </c>
      <c r="N3" t="s">
        <v>118</v>
      </c>
      <c r="O3" t="s">
        <v>119</v>
      </c>
      <c r="P3">
        <v>5</v>
      </c>
      <c r="Q3" t="s">
        <v>120</v>
      </c>
      <c r="R3" s="1">
        <v>13105</v>
      </c>
      <c r="S3" s="1">
        <v>54282</v>
      </c>
      <c r="T3" s="1">
        <v>1241</v>
      </c>
      <c r="U3" t="s">
        <v>121</v>
      </c>
      <c r="V3" t="s">
        <v>122</v>
      </c>
      <c r="W3" s="1">
        <v>91115</v>
      </c>
    </row>
    <row r="4" spans="1:23">
      <c r="A4" t="s">
        <v>123</v>
      </c>
      <c r="B4" s="4">
        <v>3284</v>
      </c>
      <c r="C4" s="4">
        <v>1</v>
      </c>
      <c r="D4" s="4">
        <v>93917</v>
      </c>
      <c r="E4" s="4">
        <v>95</v>
      </c>
      <c r="F4" s="4">
        <v>127412</v>
      </c>
      <c r="G4" s="4">
        <v>1511</v>
      </c>
      <c r="H4" s="4">
        <v>13578</v>
      </c>
      <c r="I4" s="4">
        <v>30654</v>
      </c>
      <c r="J4" s="4">
        <v>7906</v>
      </c>
      <c r="K4" s="4">
        <v>1784</v>
      </c>
      <c r="L4" s="4" t="s">
        <v>124</v>
      </c>
      <c r="M4" s="4">
        <v>1</v>
      </c>
      <c r="N4" s="1">
        <v>1955</v>
      </c>
      <c r="O4" s="1">
        <v>2296</v>
      </c>
      <c r="P4">
        <v>5</v>
      </c>
      <c r="Q4" t="s">
        <v>125</v>
      </c>
      <c r="R4" s="1">
        <v>4966</v>
      </c>
      <c r="S4" t="s">
        <v>126</v>
      </c>
      <c r="T4" s="1">
        <v>3363</v>
      </c>
      <c r="U4" t="s">
        <v>127</v>
      </c>
      <c r="V4" s="1">
        <v>23128</v>
      </c>
      <c r="W4" s="1">
        <v>14831</v>
      </c>
    </row>
    <row r="5" spans="1:23">
      <c r="A5" t="s">
        <v>128</v>
      </c>
      <c r="B5" s="4" t="s">
        <v>197</v>
      </c>
      <c r="C5" s="4">
        <v>0</v>
      </c>
      <c r="D5" s="4">
        <v>3433</v>
      </c>
      <c r="E5" s="4">
        <v>36441</v>
      </c>
      <c r="F5" s="4" t="s">
        <v>130</v>
      </c>
      <c r="G5" s="4">
        <v>0</v>
      </c>
      <c r="H5" s="4" t="s">
        <v>131</v>
      </c>
      <c r="I5" s="4">
        <v>0</v>
      </c>
      <c r="J5" s="4">
        <v>-2733</v>
      </c>
      <c r="K5" s="4">
        <v>0</v>
      </c>
      <c r="L5" s="4" t="s">
        <v>132</v>
      </c>
      <c r="M5" s="4">
        <v>0</v>
      </c>
      <c r="N5" t="s">
        <v>133</v>
      </c>
      <c r="O5" s="1">
        <v>-1075</v>
      </c>
      <c r="P5" t="s">
        <v>134</v>
      </c>
      <c r="Q5" t="s">
        <v>135</v>
      </c>
      <c r="R5" t="s">
        <v>129</v>
      </c>
      <c r="S5" s="1">
        <v>29931</v>
      </c>
      <c r="T5" t="s">
        <v>136</v>
      </c>
      <c r="U5" t="s">
        <v>137</v>
      </c>
      <c r="V5" t="s">
        <v>138</v>
      </c>
      <c r="W5" s="1">
        <v>2633</v>
      </c>
    </row>
    <row r="6" spans="1:23">
      <c r="A6" t="s">
        <v>139</v>
      </c>
      <c r="B6" s="4" t="s">
        <v>140</v>
      </c>
      <c r="C6" s="4" t="s">
        <v>141</v>
      </c>
      <c r="D6" s="4">
        <v>1526901916477210</v>
      </c>
      <c r="E6" s="4">
        <v>1181207100882920</v>
      </c>
      <c r="F6" s="4">
        <v>2352835092555330</v>
      </c>
      <c r="G6" s="4" t="s">
        <v>142</v>
      </c>
      <c r="H6" s="4">
        <v>2749245294506210</v>
      </c>
      <c r="I6" s="4">
        <v>5438772406181660</v>
      </c>
      <c r="J6" s="4">
        <v>1865247500310240</v>
      </c>
      <c r="K6" s="4" t="s">
        <v>143</v>
      </c>
      <c r="L6" s="4">
        <v>1057881622542550</v>
      </c>
      <c r="M6" s="4" t="s">
        <v>144</v>
      </c>
      <c r="N6" t="s">
        <v>145</v>
      </c>
      <c r="O6" t="s">
        <v>146</v>
      </c>
      <c r="P6" s="1">
        <v>1169109342182390</v>
      </c>
      <c r="Q6" t="s">
        <v>147</v>
      </c>
      <c r="R6" s="1">
        <v>1087521284897860</v>
      </c>
      <c r="S6" s="1">
        <v>9877319413742960</v>
      </c>
      <c r="T6" t="s">
        <v>148</v>
      </c>
      <c r="U6" t="s">
        <v>149</v>
      </c>
      <c r="V6" s="1">
        <v>4189052956639960</v>
      </c>
      <c r="W6" s="1">
        <v>1984893550970550</v>
      </c>
    </row>
    <row r="7" spans="1:23">
      <c r="A7" t="s">
        <v>150</v>
      </c>
      <c r="B7" s="4" t="s">
        <v>151</v>
      </c>
      <c r="C7" s="4">
        <v>1723378497259430</v>
      </c>
      <c r="D7" s="4">
        <v>1597643251346510</v>
      </c>
      <c r="E7" s="4" t="s">
        <v>152</v>
      </c>
      <c r="F7" s="4" t="s">
        <v>153</v>
      </c>
      <c r="G7" s="4" t="s">
        <v>154</v>
      </c>
      <c r="H7" s="4" t="s">
        <v>155</v>
      </c>
      <c r="I7" s="4" t="s">
        <v>156</v>
      </c>
      <c r="J7" s="4" t="s">
        <v>157</v>
      </c>
      <c r="K7" s="4" t="s">
        <v>158</v>
      </c>
      <c r="L7" s="4">
        <v>1321375428399780</v>
      </c>
      <c r="M7" s="4" t="s">
        <v>159</v>
      </c>
      <c r="N7" t="s">
        <v>160</v>
      </c>
      <c r="O7" t="s">
        <v>161</v>
      </c>
      <c r="P7" s="1">
        <v>-1242825929596860</v>
      </c>
      <c r="Q7" t="s">
        <v>162</v>
      </c>
      <c r="R7" t="s">
        <v>163</v>
      </c>
      <c r="S7" t="s">
        <v>164</v>
      </c>
      <c r="T7" t="s">
        <v>165</v>
      </c>
      <c r="U7" t="s">
        <v>166</v>
      </c>
      <c r="V7" t="s">
        <v>167</v>
      </c>
      <c r="W7" t="s">
        <v>168</v>
      </c>
    </row>
    <row r="8" spans="1:23">
      <c r="A8" t="s">
        <v>169</v>
      </c>
      <c r="B8" s="4">
        <v>2847683289176390</v>
      </c>
      <c r="C8" s="4">
        <v>298003344481611</v>
      </c>
      <c r="D8" s="4">
        <v>6218715750068580</v>
      </c>
      <c r="E8" s="4">
        <v>2701751621627340</v>
      </c>
      <c r="F8" s="4">
        <v>3117712356517870</v>
      </c>
      <c r="G8" s="4">
        <v>2451476990423680</v>
      </c>
      <c r="H8" s="4">
        <v>2753520709486050</v>
      </c>
      <c r="I8" s="4">
        <v>3086914549433570</v>
      </c>
      <c r="J8" s="4">
        <v>3055095523537240</v>
      </c>
      <c r="K8" s="4">
        <v>2915818494232520</v>
      </c>
      <c r="L8" s="4">
        <v>626596359272076</v>
      </c>
      <c r="M8" s="4">
        <v>1046034885811900</v>
      </c>
      <c r="N8" s="1">
        <v>2895222587482080</v>
      </c>
      <c r="O8" s="1">
        <v>2937710902942630</v>
      </c>
      <c r="P8" s="1">
        <v>368402458358212</v>
      </c>
      <c r="Q8" s="1">
        <v>2496841340051730</v>
      </c>
      <c r="R8" s="1">
        <v>301118386952665</v>
      </c>
      <c r="S8" s="1">
        <v>262726308595172</v>
      </c>
      <c r="T8" s="1">
        <v>2779709051384900</v>
      </c>
      <c r="U8" s="1">
        <v>2753312785711</v>
      </c>
      <c r="V8" s="1">
        <v>2992316915441900</v>
      </c>
      <c r="W8" s="1">
        <v>3485516818375600</v>
      </c>
    </row>
    <row r="9" spans="1:2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23">
      <c r="A10" t="s">
        <v>170</v>
      </c>
      <c r="B10" s="4">
        <v>346079181932519</v>
      </c>
      <c r="C10" s="4">
        <v>1102687332915780</v>
      </c>
      <c r="D10" s="4">
        <v>2571248364253970</v>
      </c>
      <c r="E10" s="4">
        <v>1599296644396420</v>
      </c>
      <c r="F10" s="4">
        <v>9848172468900820</v>
      </c>
      <c r="G10" s="4">
        <v>7171283072517050</v>
      </c>
      <c r="H10" s="4">
        <v>7326803039231070</v>
      </c>
      <c r="I10" s="4" t="s">
        <v>171</v>
      </c>
      <c r="J10" s="4" t="s">
        <v>172</v>
      </c>
      <c r="K10" s="4">
        <v>151742593496606</v>
      </c>
      <c r="L10" s="4">
        <v>2206331285011540</v>
      </c>
      <c r="M10" s="4">
        <v>5002649013389640</v>
      </c>
      <c r="N10" t="s">
        <v>173</v>
      </c>
      <c r="O10" t="s">
        <v>174</v>
      </c>
      <c r="P10" s="1">
        <v>8307943495072400</v>
      </c>
      <c r="Q10" s="1">
        <v>3175929691154450</v>
      </c>
      <c r="R10" s="1">
        <v>2926991140834410</v>
      </c>
      <c r="S10" s="1">
        <v>2183149283887060</v>
      </c>
      <c r="T10" s="1">
        <v>1120802848309990</v>
      </c>
      <c r="U10" t="s">
        <v>175</v>
      </c>
      <c r="V10" s="1">
        <v>2571893024715530</v>
      </c>
      <c r="W10" s="1">
        <v>40152060527286</v>
      </c>
    </row>
    <row r="11" spans="1:23">
      <c r="A11" t="s">
        <v>176</v>
      </c>
      <c r="B11" s="4">
        <v>30548229.8224595</v>
      </c>
      <c r="C11" s="4">
        <v>0</v>
      </c>
      <c r="D11" s="4">
        <v>1.4657205945734999E-41</v>
      </c>
      <c r="E11" s="4" t="s">
        <v>177</v>
      </c>
      <c r="F11" s="4" t="s">
        <v>178</v>
      </c>
      <c r="G11" s="4" t="s">
        <v>179</v>
      </c>
      <c r="H11" s="4" t="s">
        <v>180</v>
      </c>
      <c r="I11" s="4" t="s">
        <v>181</v>
      </c>
      <c r="J11" s="4" t="s">
        <v>182</v>
      </c>
      <c r="K11" s="4" t="s">
        <v>183</v>
      </c>
      <c r="L11" s="4">
        <v>1.23062259133182E-33</v>
      </c>
      <c r="M11" s="4">
        <v>13705.209951594299</v>
      </c>
      <c r="N11" t="s">
        <v>184</v>
      </c>
      <c r="O11" t="s">
        <v>185</v>
      </c>
      <c r="P11" s="2">
        <v>9.1102421493228505E-4</v>
      </c>
      <c r="Q11" t="s">
        <v>186</v>
      </c>
      <c r="R11" s="2">
        <v>440676097.48848403</v>
      </c>
      <c r="S11" t="s">
        <v>187</v>
      </c>
      <c r="T11" t="s">
        <v>188</v>
      </c>
      <c r="U11" t="s">
        <v>189</v>
      </c>
      <c r="V11" t="s">
        <v>190</v>
      </c>
      <c r="W11" t="s">
        <v>191</v>
      </c>
    </row>
    <row r="12" spans="1:2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23">
      <c r="A13" t="s">
        <v>192</v>
      </c>
      <c r="B13" s="4">
        <v>321966</v>
      </c>
      <c r="C13" s="4">
        <v>1</v>
      </c>
      <c r="D13" s="4">
        <v>6595920000000000</v>
      </c>
      <c r="E13" s="4">
        <v>1941756300000000</v>
      </c>
      <c r="F13" s="4">
        <v>11737212</v>
      </c>
      <c r="G13" s="4">
        <v>187313</v>
      </c>
      <c r="H13" s="4">
        <v>1575491999999990</v>
      </c>
      <c r="I13" s="4">
        <v>5168332000000000</v>
      </c>
      <c r="J13" s="4">
        <v>7862480000000000</v>
      </c>
      <c r="K13" s="4">
        <v>1493780000000000</v>
      </c>
      <c r="L13" s="4" t="s">
        <v>193</v>
      </c>
      <c r="M13" s="4">
        <v>166</v>
      </c>
      <c r="N13" s="1">
        <v>1843370000000000</v>
      </c>
      <c r="O13" s="1">
        <v>2394079999999990</v>
      </c>
      <c r="P13" s="1">
        <v>1249079599999990</v>
      </c>
      <c r="Q13" s="1">
        <v>261705</v>
      </c>
      <c r="R13" s="1">
        <v>4384480000000000</v>
      </c>
      <c r="S13" s="1">
        <v>1633922099999990</v>
      </c>
      <c r="T13" s="1">
        <v>377997</v>
      </c>
      <c r="U13" s="1">
        <v>193138</v>
      </c>
      <c r="V13" s="1">
        <v>2848771999999990</v>
      </c>
      <c r="W13" s="1">
        <v>2723971000000000</v>
      </c>
    </row>
    <row r="14" spans="1:23">
      <c r="A14" t="s">
        <v>194</v>
      </c>
      <c r="B14" s="4">
        <v>1821113154800000</v>
      </c>
      <c r="C14" s="4" t="s">
        <v>195</v>
      </c>
      <c r="D14" s="4">
        <v>6970974092999990</v>
      </c>
      <c r="E14" s="4">
        <v>4171798143377000</v>
      </c>
      <c r="F14" s="4">
        <v>1655214058855200</v>
      </c>
      <c r="G14" s="4">
        <v>3859909443666660</v>
      </c>
      <c r="H14" s="4">
        <v>2259946557119990</v>
      </c>
      <c r="I14" s="4">
        <v>8844493340586670</v>
      </c>
      <c r="J14" s="4">
        <v>1040265322986660</v>
      </c>
      <c r="K14" s="4">
        <v>4020353438666660</v>
      </c>
      <c r="L14" s="4">
        <v>3346149446666660</v>
      </c>
      <c r="M14" s="4">
        <v>7414666666666660</v>
      </c>
      <c r="N14" s="1">
        <v>5266363443666660</v>
      </c>
      <c r="O14" s="1">
        <v>1101326197866660</v>
      </c>
      <c r="P14" s="1">
        <v>4086781795394680</v>
      </c>
      <c r="Q14" s="1">
        <v>7106336249999990</v>
      </c>
      <c r="R14" s="1">
        <v>3536280609866660</v>
      </c>
      <c r="S14" s="1">
        <v>2917087020153</v>
      </c>
      <c r="T14" s="1">
        <v>18661644297</v>
      </c>
      <c r="U14" s="1">
        <v>6583889186666660</v>
      </c>
      <c r="V14" s="1">
        <v>524690123738667</v>
      </c>
      <c r="W14" s="1">
        <v>1178000920196660</v>
      </c>
    </row>
    <row r="15" spans="1:2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23">
      <c r="A16" t="s">
        <v>196</v>
      </c>
      <c r="B16" s="4">
        <v>300</v>
      </c>
      <c r="C16" s="4">
        <v>300</v>
      </c>
      <c r="D16" s="4">
        <v>300</v>
      </c>
      <c r="E16" s="4">
        <v>300</v>
      </c>
      <c r="F16" s="4">
        <v>300</v>
      </c>
      <c r="G16" s="4">
        <v>300</v>
      </c>
      <c r="H16" s="4">
        <v>300</v>
      </c>
      <c r="I16" s="4">
        <v>300</v>
      </c>
      <c r="J16" s="4">
        <v>300</v>
      </c>
      <c r="K16" s="4">
        <v>300</v>
      </c>
      <c r="L16" s="4">
        <v>300</v>
      </c>
      <c r="M16" s="4">
        <v>300</v>
      </c>
      <c r="N16">
        <v>300</v>
      </c>
      <c r="O16">
        <v>300</v>
      </c>
      <c r="P16">
        <v>300</v>
      </c>
      <c r="Q16">
        <v>300</v>
      </c>
      <c r="R16">
        <v>300</v>
      </c>
      <c r="S16">
        <v>300</v>
      </c>
      <c r="T16">
        <v>300</v>
      </c>
      <c r="U16">
        <v>300</v>
      </c>
      <c r="V16">
        <v>300</v>
      </c>
      <c r="W16">
        <v>300</v>
      </c>
    </row>
    <row r="18" spans="1:13">
      <c r="B18" t="s">
        <v>104</v>
      </c>
      <c r="C18" t="s">
        <v>113</v>
      </c>
      <c r="D18" t="s">
        <v>123</v>
      </c>
      <c r="E18" t="s">
        <v>128</v>
      </c>
      <c r="F18" t="s">
        <v>139</v>
      </c>
      <c r="G18" t="s">
        <v>150</v>
      </c>
      <c r="H18" t="s">
        <v>169</v>
      </c>
      <c r="I18" t="s">
        <v>170</v>
      </c>
      <c r="J18" t="s">
        <v>176</v>
      </c>
      <c r="K18" t="s">
        <v>192</v>
      </c>
      <c r="L18" t="s">
        <v>194</v>
      </c>
      <c r="M18" t="s">
        <v>196</v>
      </c>
    </row>
    <row r="19" spans="1:13">
      <c r="A19" s="6" t="s">
        <v>83</v>
      </c>
      <c r="B19" s="4">
        <v>107322</v>
      </c>
    </row>
    <row r="20" spans="1:13">
      <c r="A20" s="6" t="s">
        <v>99</v>
      </c>
      <c r="B20" s="4" t="s">
        <v>105</v>
      </c>
    </row>
    <row r="21" spans="1:13">
      <c r="A21" s="6" t="s">
        <v>12</v>
      </c>
      <c r="B21" s="4">
        <v>219864</v>
      </c>
    </row>
    <row r="22" spans="1:13">
      <c r="A22" s="6" t="s">
        <v>79</v>
      </c>
      <c r="B22" s="4">
        <v>6472521</v>
      </c>
    </row>
    <row r="23" spans="1:13">
      <c r="A23" s="6" t="s">
        <v>42</v>
      </c>
      <c r="B23" s="4">
        <v>3912404</v>
      </c>
    </row>
    <row r="24" spans="1:13">
      <c r="A24" s="6" t="s">
        <v>100</v>
      </c>
      <c r="B24" s="4" t="s">
        <v>106</v>
      </c>
    </row>
    <row r="25" spans="1:13">
      <c r="A25" s="6" t="s">
        <v>37</v>
      </c>
      <c r="B25" s="4">
        <v>525164</v>
      </c>
    </row>
    <row r="26" spans="1:13">
      <c r="A26" s="6" t="s">
        <v>101</v>
      </c>
      <c r="B26" s="4">
        <v>1722777333333330</v>
      </c>
    </row>
    <row r="27" spans="1:13">
      <c r="A27" s="6" t="s">
        <v>31</v>
      </c>
      <c r="B27" s="4">
        <v>2620826666666660</v>
      </c>
    </row>
    <row r="28" spans="1:13">
      <c r="A28" s="6" t="s">
        <v>94</v>
      </c>
      <c r="B28" s="4" t="s">
        <v>107</v>
      </c>
    </row>
    <row r="29" spans="1:13">
      <c r="A29" s="6" t="s">
        <v>16</v>
      </c>
      <c r="B29" s="4">
        <v>1475066666666660</v>
      </c>
    </row>
    <row r="30" spans="1:13">
      <c r="A30" s="6" t="s">
        <v>102</v>
      </c>
      <c r="B30" s="4" t="s">
        <v>108</v>
      </c>
    </row>
    <row r="31" spans="1:13">
      <c r="A31" s="6" t="s">
        <v>34</v>
      </c>
      <c r="B31" t="s">
        <v>109</v>
      </c>
    </row>
    <row r="32" spans="1:13">
      <c r="A32" s="6" t="s">
        <v>27</v>
      </c>
      <c r="B32" t="s">
        <v>110</v>
      </c>
    </row>
    <row r="33" spans="1:2">
      <c r="A33" s="6" t="s">
        <v>46</v>
      </c>
      <c r="B33" s="1">
        <v>4163598666666660</v>
      </c>
    </row>
    <row r="34" spans="1:2">
      <c r="A34" s="6" t="s">
        <v>90</v>
      </c>
      <c r="B34" t="s">
        <v>111</v>
      </c>
    </row>
    <row r="35" spans="1:2">
      <c r="A35" s="6" t="s">
        <v>71</v>
      </c>
      <c r="B35" s="1">
        <v>1461493333333330</v>
      </c>
    </row>
    <row r="36" spans="1:2">
      <c r="A36" s="6" t="s">
        <v>63</v>
      </c>
      <c r="B36" s="1">
        <v>5446407</v>
      </c>
    </row>
    <row r="37" spans="1:2">
      <c r="A37" s="6" t="s">
        <v>22</v>
      </c>
      <c r="B37" s="1">
        <v>125999</v>
      </c>
    </row>
    <row r="38" spans="1:2">
      <c r="A38" s="6" t="s">
        <v>69</v>
      </c>
      <c r="B38" t="s">
        <v>112</v>
      </c>
    </row>
    <row r="39" spans="1:2">
      <c r="A39" s="6" t="s">
        <v>75</v>
      </c>
      <c r="B39" s="1">
        <v>9495906666666660</v>
      </c>
    </row>
    <row r="40" spans="1:2">
      <c r="A40" s="6" t="s">
        <v>19</v>
      </c>
      <c r="B40" s="1">
        <v>9079903333333330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E334-7AE8-4261-8C2D-F2C58E287CED}">
  <dimension ref="A1:G23"/>
  <sheetViews>
    <sheetView workbookViewId="0">
      <selection activeCell="G2" sqref="A1:G23"/>
    </sheetView>
  </sheetViews>
  <sheetFormatPr defaultRowHeight="14.4"/>
  <cols>
    <col min="1" max="1" width="21.5546875" bestFit="1" customWidth="1"/>
    <col min="2" max="3" width="8.6640625" style="7" bestFit="1" customWidth="1"/>
    <col min="4" max="4" width="9.33203125" style="7" bestFit="1" customWidth="1"/>
    <col min="5" max="5" width="9.21875" style="7" bestFit="1" customWidth="1"/>
    <col min="6" max="6" width="8.6640625" style="7" bestFit="1" customWidth="1"/>
    <col min="7" max="7" width="11.109375" bestFit="1" customWidth="1"/>
  </cols>
  <sheetData>
    <row r="1" spans="1:7">
      <c r="A1" s="10" t="s">
        <v>5</v>
      </c>
      <c r="B1" s="10" t="s">
        <v>198</v>
      </c>
      <c r="C1" s="10" t="s">
        <v>199</v>
      </c>
      <c r="D1" s="10" t="s">
        <v>200</v>
      </c>
      <c r="E1" s="10" t="s">
        <v>201</v>
      </c>
      <c r="F1" s="10" t="s">
        <v>202</v>
      </c>
      <c r="G1" s="10" t="s">
        <v>272</v>
      </c>
    </row>
    <row r="2" spans="1:7">
      <c r="A2" s="11" t="s">
        <v>83</v>
      </c>
      <c r="B2" s="12">
        <v>107300</v>
      </c>
      <c r="C2" s="13" t="s">
        <v>114</v>
      </c>
      <c r="D2" s="14">
        <v>3284</v>
      </c>
      <c r="E2" s="13" t="s">
        <v>203</v>
      </c>
      <c r="F2" s="13" t="s">
        <v>204</v>
      </c>
      <c r="G2" s="13">
        <v>300</v>
      </c>
    </row>
    <row r="3" spans="1:7">
      <c r="A3" s="11" t="s">
        <v>99</v>
      </c>
      <c r="B3" s="14" t="s">
        <v>205</v>
      </c>
      <c r="C3" s="13">
        <v>0</v>
      </c>
      <c r="D3" s="13">
        <v>1</v>
      </c>
      <c r="E3" s="13">
        <v>0</v>
      </c>
      <c r="F3" s="13" t="s">
        <v>206</v>
      </c>
      <c r="G3" s="13">
        <v>300</v>
      </c>
    </row>
    <row r="4" spans="1:7">
      <c r="A4" s="11" t="s">
        <v>12</v>
      </c>
      <c r="B4" s="12">
        <v>219900</v>
      </c>
      <c r="C4" s="12">
        <v>173400</v>
      </c>
      <c r="D4" s="12">
        <v>93920000</v>
      </c>
      <c r="E4" s="14">
        <v>3433</v>
      </c>
      <c r="F4" s="12">
        <v>1.527E+18</v>
      </c>
      <c r="G4" s="13">
        <v>300</v>
      </c>
    </row>
    <row r="5" spans="1:7">
      <c r="A5" s="11" t="s">
        <v>79</v>
      </c>
      <c r="B5" s="12">
        <v>6473000000</v>
      </c>
      <c r="C5" s="12">
        <v>6.467E+18</v>
      </c>
      <c r="D5" s="13">
        <v>95</v>
      </c>
      <c r="E5" s="12">
        <v>36440000</v>
      </c>
      <c r="F5" s="12">
        <v>1.181E+18</v>
      </c>
      <c r="G5" s="13">
        <v>300</v>
      </c>
    </row>
    <row r="6" spans="1:7">
      <c r="A6" s="11" t="s">
        <v>42</v>
      </c>
      <c r="B6" s="12">
        <v>3912000000</v>
      </c>
      <c r="C6" s="12">
        <v>391900000</v>
      </c>
      <c r="D6" s="12">
        <v>127400000</v>
      </c>
      <c r="E6" s="13" t="s">
        <v>130</v>
      </c>
      <c r="F6" s="12">
        <v>2.353E+18</v>
      </c>
      <c r="G6" s="13">
        <v>300</v>
      </c>
    </row>
    <row r="7" spans="1:7">
      <c r="A7" s="11" t="s">
        <v>100</v>
      </c>
      <c r="B7" s="13" t="s">
        <v>207</v>
      </c>
      <c r="C7" s="13" t="s">
        <v>115</v>
      </c>
      <c r="D7" s="14">
        <v>1511</v>
      </c>
      <c r="E7" s="13">
        <v>0</v>
      </c>
      <c r="F7" s="13" t="s">
        <v>208</v>
      </c>
      <c r="G7" s="13">
        <v>300</v>
      </c>
    </row>
    <row r="8" spans="1:7">
      <c r="A8" s="11" t="s">
        <v>37</v>
      </c>
      <c r="B8" s="12">
        <v>525100</v>
      </c>
      <c r="C8" s="12">
        <v>5.017E+18</v>
      </c>
      <c r="D8" s="12">
        <v>13580000</v>
      </c>
      <c r="E8" s="13" t="s">
        <v>131</v>
      </c>
      <c r="F8" s="12">
        <v>2.749E+18</v>
      </c>
      <c r="G8" s="13">
        <v>300</v>
      </c>
    </row>
    <row r="9" spans="1:7">
      <c r="A9" s="11" t="s">
        <v>101</v>
      </c>
      <c r="B9" s="12">
        <v>1.723E+18</v>
      </c>
      <c r="C9" s="12">
        <v>17140</v>
      </c>
      <c r="D9" s="12">
        <v>30650000</v>
      </c>
      <c r="E9" s="13">
        <v>0</v>
      </c>
      <c r="F9" s="12">
        <v>5.439E+18</v>
      </c>
      <c r="G9" s="13">
        <v>300</v>
      </c>
    </row>
    <row r="10" spans="1:7">
      <c r="A10" s="11" t="s">
        <v>31</v>
      </c>
      <c r="B10" s="12">
        <v>2.621E+18</v>
      </c>
      <c r="C10" s="14">
        <v>2561</v>
      </c>
      <c r="D10" s="12">
        <v>7906000</v>
      </c>
      <c r="E10" s="14">
        <v>-2733</v>
      </c>
      <c r="F10" s="12">
        <v>1.865E+18</v>
      </c>
      <c r="G10" s="13">
        <v>300</v>
      </c>
    </row>
    <row r="11" spans="1:7">
      <c r="A11" s="11" t="s">
        <v>94</v>
      </c>
      <c r="B11" s="13" t="s">
        <v>209</v>
      </c>
      <c r="C11" s="13" t="s">
        <v>117</v>
      </c>
      <c r="D11" s="14">
        <v>1784</v>
      </c>
      <c r="E11" s="13">
        <v>0</v>
      </c>
      <c r="F11" s="13" t="s">
        <v>210</v>
      </c>
      <c r="G11" s="13">
        <v>300</v>
      </c>
    </row>
    <row r="12" spans="1:7">
      <c r="A12" s="11" t="s">
        <v>16</v>
      </c>
      <c r="B12" s="12">
        <v>1.475E+18</v>
      </c>
      <c r="C12" s="12">
        <v>12570000</v>
      </c>
      <c r="D12" s="13" t="s">
        <v>124</v>
      </c>
      <c r="E12" s="13" t="s">
        <v>132</v>
      </c>
      <c r="F12" s="12">
        <v>1.058E+18</v>
      </c>
      <c r="G12" s="13">
        <v>300</v>
      </c>
    </row>
    <row r="13" spans="1:7">
      <c r="A13" s="11" t="s">
        <v>67</v>
      </c>
      <c r="B13" s="13" t="s">
        <v>211</v>
      </c>
      <c r="C13" s="13">
        <v>1</v>
      </c>
      <c r="D13" s="13">
        <v>1</v>
      </c>
      <c r="E13" s="13">
        <v>0</v>
      </c>
      <c r="F13" s="13" t="s">
        <v>209</v>
      </c>
      <c r="G13" s="13">
        <v>300</v>
      </c>
    </row>
    <row r="14" spans="1:7">
      <c r="A14" s="11" t="s">
        <v>34</v>
      </c>
      <c r="B14" s="13" t="s">
        <v>212</v>
      </c>
      <c r="C14" s="13" t="s">
        <v>207</v>
      </c>
      <c r="D14" s="14">
        <v>1955</v>
      </c>
      <c r="E14" s="13" t="s">
        <v>133</v>
      </c>
      <c r="F14" s="13" t="s">
        <v>213</v>
      </c>
      <c r="G14" s="13">
        <v>300</v>
      </c>
    </row>
    <row r="15" spans="1:7">
      <c r="A15" s="11" t="s">
        <v>27</v>
      </c>
      <c r="B15" s="13" t="s">
        <v>214</v>
      </c>
      <c r="C15" s="13" t="s">
        <v>119</v>
      </c>
      <c r="D15" s="14">
        <v>2296</v>
      </c>
      <c r="E15" s="14">
        <v>-1075</v>
      </c>
      <c r="F15" s="13" t="s">
        <v>215</v>
      </c>
      <c r="G15" s="13">
        <v>300</v>
      </c>
    </row>
    <row r="16" spans="1:7">
      <c r="A16" s="11" t="s">
        <v>46</v>
      </c>
      <c r="B16" s="12">
        <v>4.164E+18</v>
      </c>
      <c r="C16" s="13">
        <v>5</v>
      </c>
      <c r="D16" s="13">
        <v>5</v>
      </c>
      <c r="E16" s="13" t="s">
        <v>134</v>
      </c>
      <c r="F16" s="12">
        <v>1.169E+18</v>
      </c>
      <c r="G16" s="13">
        <v>300</v>
      </c>
    </row>
    <row r="17" spans="1:7">
      <c r="A17" s="11" t="s">
        <v>90</v>
      </c>
      <c r="B17" s="13" t="s">
        <v>216</v>
      </c>
      <c r="C17" s="13" t="s">
        <v>120</v>
      </c>
      <c r="D17" s="13" t="s">
        <v>125</v>
      </c>
      <c r="E17" s="13" t="s">
        <v>135</v>
      </c>
      <c r="F17" s="13" t="s">
        <v>217</v>
      </c>
      <c r="G17" s="13">
        <v>300</v>
      </c>
    </row>
    <row r="18" spans="1:7">
      <c r="A18" s="11" t="s">
        <v>71</v>
      </c>
      <c r="B18" s="12">
        <v>1.461E+18</v>
      </c>
      <c r="C18" s="12">
        <v>13110</v>
      </c>
      <c r="D18" s="14">
        <v>4966</v>
      </c>
      <c r="E18" s="13" t="s">
        <v>203</v>
      </c>
      <c r="F18" s="12">
        <v>1.088E+18</v>
      </c>
      <c r="G18" s="13">
        <v>300</v>
      </c>
    </row>
    <row r="19" spans="1:7">
      <c r="A19" s="11" t="s">
        <v>63</v>
      </c>
      <c r="B19" s="12">
        <v>5446000000</v>
      </c>
      <c r="C19" s="12">
        <v>54280</v>
      </c>
      <c r="D19" s="13" t="s">
        <v>126</v>
      </c>
      <c r="E19" s="12">
        <v>29930</v>
      </c>
      <c r="F19" s="12">
        <v>9.877E+18</v>
      </c>
      <c r="G19" s="13">
        <v>300</v>
      </c>
    </row>
    <row r="20" spans="1:7">
      <c r="A20" s="11" t="s">
        <v>22</v>
      </c>
      <c r="B20" s="12">
        <v>125900</v>
      </c>
      <c r="C20" s="14">
        <v>1241</v>
      </c>
      <c r="D20" s="14">
        <v>3363</v>
      </c>
      <c r="E20" s="13" t="s">
        <v>136</v>
      </c>
      <c r="F20" s="13" t="s">
        <v>218</v>
      </c>
      <c r="G20" s="13">
        <v>300</v>
      </c>
    </row>
    <row r="21" spans="1:7">
      <c r="A21" s="11" t="s">
        <v>69</v>
      </c>
      <c r="B21" s="13" t="s">
        <v>219</v>
      </c>
      <c r="C21" s="13" t="s">
        <v>121</v>
      </c>
      <c r="D21" s="13" t="s">
        <v>127</v>
      </c>
      <c r="E21" s="13" t="s">
        <v>137</v>
      </c>
      <c r="F21" s="13" t="s">
        <v>220</v>
      </c>
      <c r="G21" s="13">
        <v>300</v>
      </c>
    </row>
    <row r="22" spans="1:7">
      <c r="A22" s="11" t="s">
        <v>75</v>
      </c>
      <c r="B22" s="12">
        <v>9.496E+18</v>
      </c>
      <c r="C22" s="13" t="s">
        <v>122</v>
      </c>
      <c r="D22" s="12">
        <v>23130</v>
      </c>
      <c r="E22" s="13" t="s">
        <v>138</v>
      </c>
      <c r="F22" s="12">
        <v>4.189E+18</v>
      </c>
      <c r="G22" s="13">
        <v>300</v>
      </c>
    </row>
    <row r="23" spans="1:7">
      <c r="A23" s="11" t="s">
        <v>19</v>
      </c>
      <c r="B23" s="12">
        <v>9.08E+18</v>
      </c>
      <c r="C23" s="12">
        <v>91120</v>
      </c>
      <c r="D23" s="12">
        <v>14830</v>
      </c>
      <c r="E23" s="14">
        <v>2633</v>
      </c>
      <c r="F23" s="12">
        <v>1.985E+18</v>
      </c>
      <c r="G23" s="13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ADC6-B133-4F99-979A-C0927BC3BE4C}">
  <dimension ref="A1:E21"/>
  <sheetViews>
    <sheetView topLeftCell="B1" workbookViewId="0">
      <selection activeCell="C5" sqref="A1:E21"/>
    </sheetView>
  </sheetViews>
  <sheetFormatPr defaultRowHeight="14.4"/>
  <cols>
    <col min="1" max="1" width="8.88671875" customWidth="1"/>
    <col min="2" max="2" width="38.5546875" bestFit="1" customWidth="1"/>
    <col min="3" max="3" width="131.88671875" bestFit="1" customWidth="1"/>
    <col min="5" max="5" width="20.21875" bestFit="1" customWidth="1"/>
  </cols>
  <sheetData>
    <row r="1" spans="1:5">
      <c r="A1" s="8" t="s">
        <v>221</v>
      </c>
      <c r="B1" s="8" t="s">
        <v>222</v>
      </c>
      <c r="C1" s="8" t="s">
        <v>223</v>
      </c>
      <c r="D1" s="8" t="s">
        <v>224</v>
      </c>
      <c r="E1" s="8" t="s">
        <v>5</v>
      </c>
    </row>
    <row r="2" spans="1:5">
      <c r="A2" s="22" t="s">
        <v>225</v>
      </c>
      <c r="B2" s="9" t="s">
        <v>226</v>
      </c>
      <c r="C2" s="9" t="s">
        <v>227</v>
      </c>
      <c r="D2" s="9" t="s">
        <v>228</v>
      </c>
      <c r="E2" s="9" t="s">
        <v>12</v>
      </c>
    </row>
    <row r="3" spans="1:5">
      <c r="A3" s="22"/>
      <c r="B3" s="9" t="s">
        <v>229</v>
      </c>
      <c r="C3" s="9" t="s">
        <v>230</v>
      </c>
      <c r="D3" s="9" t="s">
        <v>228</v>
      </c>
      <c r="E3" s="9" t="s">
        <v>16</v>
      </c>
    </row>
    <row r="4" spans="1:5" ht="26.4">
      <c r="A4" s="22"/>
      <c r="B4" s="9" t="s">
        <v>231</v>
      </c>
      <c r="C4" s="9" t="s">
        <v>232</v>
      </c>
      <c r="D4" s="9" t="s">
        <v>233</v>
      </c>
      <c r="E4" s="9" t="s">
        <v>19</v>
      </c>
    </row>
    <row r="5" spans="1:5" ht="39.6">
      <c r="A5" s="22"/>
      <c r="B5" s="9" t="s">
        <v>234</v>
      </c>
      <c r="C5" s="9" t="s">
        <v>235</v>
      </c>
      <c r="D5" s="9" t="s">
        <v>236</v>
      </c>
      <c r="E5" s="9" t="s">
        <v>22</v>
      </c>
    </row>
    <row r="6" spans="1:5">
      <c r="A6" s="22"/>
      <c r="B6" s="9" t="s">
        <v>237</v>
      </c>
      <c r="C6" s="9" t="s">
        <v>238</v>
      </c>
      <c r="D6" s="9" t="s">
        <v>239</v>
      </c>
      <c r="E6" s="9" t="s">
        <v>27</v>
      </c>
    </row>
    <row r="7" spans="1:5">
      <c r="A7" s="22"/>
      <c r="B7" s="9" t="s">
        <v>240</v>
      </c>
      <c r="C7" s="9" t="s">
        <v>241</v>
      </c>
      <c r="D7" s="9" t="s">
        <v>228</v>
      </c>
      <c r="E7" s="9" t="s">
        <v>31</v>
      </c>
    </row>
    <row r="8" spans="1:5">
      <c r="A8" s="22"/>
      <c r="B8" s="9" t="s">
        <v>242</v>
      </c>
      <c r="C8" s="9" t="s">
        <v>243</v>
      </c>
      <c r="D8" s="9" t="s">
        <v>239</v>
      </c>
      <c r="E8" s="9" t="s">
        <v>34</v>
      </c>
    </row>
    <row r="9" spans="1:5">
      <c r="A9" s="22"/>
      <c r="B9" s="9" t="s">
        <v>244</v>
      </c>
      <c r="C9" s="9" t="s">
        <v>245</v>
      </c>
      <c r="D9" s="9" t="s">
        <v>228</v>
      </c>
      <c r="E9" s="9" t="s">
        <v>37</v>
      </c>
    </row>
    <row r="10" spans="1:5" ht="26.4">
      <c r="A10" s="22"/>
      <c r="B10" s="9" t="s">
        <v>246</v>
      </c>
      <c r="C10" s="9" t="s">
        <v>247</v>
      </c>
      <c r="D10" s="9" t="s">
        <v>233</v>
      </c>
      <c r="E10" s="9" t="s">
        <v>42</v>
      </c>
    </row>
    <row r="11" spans="1:5" ht="39.6">
      <c r="A11" s="22"/>
      <c r="B11" s="9" t="s">
        <v>248</v>
      </c>
      <c r="C11" s="9" t="s">
        <v>249</v>
      </c>
      <c r="D11" s="9" t="s">
        <v>236</v>
      </c>
      <c r="E11" s="9" t="s">
        <v>46</v>
      </c>
    </row>
    <row r="12" spans="1:5">
      <c r="A12" s="22" t="s">
        <v>250</v>
      </c>
      <c r="B12" s="9" t="s">
        <v>251</v>
      </c>
      <c r="C12" s="9" t="s">
        <v>252</v>
      </c>
      <c r="D12" s="9" t="s">
        <v>228</v>
      </c>
      <c r="E12" s="9" t="s">
        <v>67</v>
      </c>
    </row>
    <row r="13" spans="1:5">
      <c r="A13" s="22"/>
      <c r="B13" s="9" t="s">
        <v>253</v>
      </c>
      <c r="C13" s="9" t="s">
        <v>254</v>
      </c>
      <c r="D13" s="9" t="s">
        <v>239</v>
      </c>
      <c r="E13" s="9" t="s">
        <v>63</v>
      </c>
    </row>
    <row r="14" spans="1:5">
      <c r="A14" s="22"/>
      <c r="B14" s="9" t="s">
        <v>255</v>
      </c>
      <c r="C14" s="9" t="s">
        <v>256</v>
      </c>
      <c r="D14" s="9" t="s">
        <v>228</v>
      </c>
      <c r="E14" s="9" t="s">
        <v>69</v>
      </c>
    </row>
    <row r="15" spans="1:5">
      <c r="A15" s="22"/>
      <c r="B15" s="9" t="s">
        <v>257</v>
      </c>
      <c r="C15" s="9" t="s">
        <v>258</v>
      </c>
      <c r="D15" s="9" t="s">
        <v>239</v>
      </c>
      <c r="E15" s="9" t="s">
        <v>71</v>
      </c>
    </row>
    <row r="16" spans="1:5">
      <c r="A16" s="22"/>
      <c r="B16" s="9" t="s">
        <v>259</v>
      </c>
      <c r="C16" s="9" t="s">
        <v>260</v>
      </c>
      <c r="D16" s="9" t="s">
        <v>228</v>
      </c>
      <c r="E16" s="9" t="s">
        <v>75</v>
      </c>
    </row>
    <row r="17" spans="1:5" ht="26.4">
      <c r="A17" s="22"/>
      <c r="B17" s="9" t="s">
        <v>261</v>
      </c>
      <c r="C17" s="9" t="s">
        <v>262</v>
      </c>
      <c r="D17" s="9" t="s">
        <v>233</v>
      </c>
      <c r="E17" s="9" t="s">
        <v>79</v>
      </c>
    </row>
    <row r="18" spans="1:5">
      <c r="A18" s="22"/>
      <c r="B18" s="9" t="s">
        <v>263</v>
      </c>
      <c r="C18" s="9" t="s">
        <v>264</v>
      </c>
      <c r="D18" s="9" t="s">
        <v>228</v>
      </c>
      <c r="E18" s="9" t="s">
        <v>83</v>
      </c>
    </row>
    <row r="19" spans="1:5" ht="66">
      <c r="A19" s="22"/>
      <c r="B19" s="9" t="s">
        <v>265</v>
      </c>
      <c r="C19" s="9" t="s">
        <v>266</v>
      </c>
      <c r="D19" s="9" t="s">
        <v>267</v>
      </c>
      <c r="E19" s="9" t="s">
        <v>100</v>
      </c>
    </row>
    <row r="20" spans="1:5">
      <c r="A20" s="22"/>
      <c r="B20" s="9" t="s">
        <v>268</v>
      </c>
      <c r="C20" s="9" t="s">
        <v>269</v>
      </c>
      <c r="D20" s="9" t="s">
        <v>228</v>
      </c>
      <c r="E20" s="9" t="s">
        <v>90</v>
      </c>
    </row>
    <row r="21" spans="1:5" ht="26.4">
      <c r="A21" s="22"/>
      <c r="B21" s="9" t="s">
        <v>270</v>
      </c>
      <c r="C21" s="9" t="s">
        <v>271</v>
      </c>
      <c r="D21" s="9" t="s">
        <v>239</v>
      </c>
      <c r="E21" s="9" t="s">
        <v>94</v>
      </c>
    </row>
  </sheetData>
  <mergeCells count="2">
    <mergeCell ref="A2:A11"/>
    <mergeCell ref="A12:A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F1E4-745F-493F-B649-C83F73B79192}">
  <dimension ref="A1:E21"/>
  <sheetViews>
    <sheetView workbookViewId="0">
      <selection sqref="A1:E21"/>
    </sheetView>
  </sheetViews>
  <sheetFormatPr defaultRowHeight="14.4"/>
  <sheetData>
    <row r="1" spans="1:5" ht="43.2">
      <c r="A1" s="23" t="s">
        <v>221</v>
      </c>
      <c r="B1" s="23" t="s">
        <v>222</v>
      </c>
      <c r="C1" s="23" t="s">
        <v>223</v>
      </c>
      <c r="D1" s="23" t="s">
        <v>376</v>
      </c>
      <c r="E1" s="23" t="s">
        <v>377</v>
      </c>
    </row>
    <row r="2" spans="1:5" ht="158.4">
      <c r="A2" s="25" t="s">
        <v>225</v>
      </c>
      <c r="B2" s="24" t="s">
        <v>226</v>
      </c>
      <c r="C2" s="24" t="s">
        <v>378</v>
      </c>
      <c r="D2" s="26" t="s">
        <v>379</v>
      </c>
      <c r="E2" s="26" t="s">
        <v>380</v>
      </c>
    </row>
    <row r="3" spans="1:5" ht="158.4">
      <c r="A3" s="24"/>
      <c r="B3" s="24" t="s">
        <v>381</v>
      </c>
      <c r="C3" s="24" t="s">
        <v>382</v>
      </c>
      <c r="D3" s="26" t="s">
        <v>383</v>
      </c>
      <c r="E3" s="26" t="s">
        <v>384</v>
      </c>
    </row>
    <row r="4" spans="1:5" ht="72">
      <c r="A4" s="24"/>
      <c r="B4" s="24" t="s">
        <v>385</v>
      </c>
      <c r="C4" s="24" t="s">
        <v>386</v>
      </c>
      <c r="D4" s="26" t="s">
        <v>19</v>
      </c>
      <c r="E4" s="26" t="s">
        <v>387</v>
      </c>
    </row>
    <row r="5" spans="1:5" ht="86.4">
      <c r="A5" s="24"/>
      <c r="B5" s="24" t="s">
        <v>234</v>
      </c>
      <c r="C5" s="24" t="s">
        <v>388</v>
      </c>
      <c r="D5" s="26" t="s">
        <v>389</v>
      </c>
      <c r="E5" s="26" t="s">
        <v>390</v>
      </c>
    </row>
    <row r="6" spans="1:5" ht="115.2">
      <c r="A6" s="24"/>
      <c r="B6" s="24" t="s">
        <v>391</v>
      </c>
      <c r="C6" s="24" t="s">
        <v>392</v>
      </c>
      <c r="D6" s="26" t="s">
        <v>393</v>
      </c>
      <c r="E6" s="26" t="s">
        <v>394</v>
      </c>
    </row>
    <row r="7" spans="1:5" ht="144">
      <c r="A7" s="24"/>
      <c r="B7" s="24" t="s">
        <v>395</v>
      </c>
      <c r="C7" s="24" t="s">
        <v>396</v>
      </c>
      <c r="D7" s="26" t="s">
        <v>397</v>
      </c>
      <c r="E7" s="26" t="s">
        <v>398</v>
      </c>
    </row>
    <row r="8" spans="1:5" ht="129.6">
      <c r="A8" s="24"/>
      <c r="B8" s="24" t="s">
        <v>399</v>
      </c>
      <c r="C8" s="24" t="s">
        <v>400</v>
      </c>
      <c r="D8" s="26" t="s">
        <v>401</v>
      </c>
      <c r="E8" s="26" t="s">
        <v>402</v>
      </c>
    </row>
    <row r="9" spans="1:5" ht="115.2">
      <c r="A9" s="24"/>
      <c r="B9" s="24" t="s">
        <v>403</v>
      </c>
      <c r="C9" s="24" t="s">
        <v>404</v>
      </c>
      <c r="D9" s="26" t="s">
        <v>405</v>
      </c>
      <c r="E9" s="26" t="s">
        <v>406</v>
      </c>
    </row>
    <row r="10" spans="1:5" ht="72">
      <c r="A10" s="24"/>
      <c r="B10" s="24" t="s">
        <v>407</v>
      </c>
      <c r="C10" s="24" t="s">
        <v>408</v>
      </c>
      <c r="D10" s="26" t="s">
        <v>409</v>
      </c>
      <c r="E10" s="26" t="s">
        <v>410</v>
      </c>
    </row>
    <row r="11" spans="1:5" ht="72">
      <c r="A11" s="24"/>
      <c r="B11" s="24" t="s">
        <v>411</v>
      </c>
      <c r="C11" s="24" t="s">
        <v>412</v>
      </c>
      <c r="D11" s="26" t="s">
        <v>413</v>
      </c>
      <c r="E11" s="26" t="s">
        <v>414</v>
      </c>
    </row>
    <row r="12" spans="1:5" ht="100.8">
      <c r="A12" s="25" t="s">
        <v>250</v>
      </c>
      <c r="B12" s="24" t="s">
        <v>415</v>
      </c>
      <c r="C12" s="24" t="s">
        <v>416</v>
      </c>
      <c r="D12" s="26" t="s">
        <v>417</v>
      </c>
      <c r="E12" s="26" t="s">
        <v>418</v>
      </c>
    </row>
    <row r="13" spans="1:5" ht="57.6">
      <c r="A13" s="24"/>
      <c r="B13" s="24" t="s">
        <v>419</v>
      </c>
      <c r="C13" s="24" t="s">
        <v>420</v>
      </c>
      <c r="D13" s="26" t="s">
        <v>421</v>
      </c>
      <c r="E13" s="26" t="s">
        <v>422</v>
      </c>
    </row>
    <row r="14" spans="1:5" ht="86.4">
      <c r="A14" s="24"/>
      <c r="B14" s="24" t="s">
        <v>255</v>
      </c>
      <c r="C14" s="24" t="s">
        <v>423</v>
      </c>
      <c r="D14" s="26" t="s">
        <v>424</v>
      </c>
      <c r="E14" s="26" t="s">
        <v>425</v>
      </c>
    </row>
    <row r="15" spans="1:5" ht="100.8">
      <c r="A15" s="24"/>
      <c r="B15" s="24" t="s">
        <v>426</v>
      </c>
      <c r="C15" s="24" t="s">
        <v>427</v>
      </c>
      <c r="D15" s="26" t="s">
        <v>428</v>
      </c>
      <c r="E15" s="26" t="s">
        <v>429</v>
      </c>
    </row>
    <row r="16" spans="1:5" ht="79.2">
      <c r="A16" s="24"/>
      <c r="B16" s="24" t="s">
        <v>430</v>
      </c>
      <c r="C16" s="24" t="s">
        <v>431</v>
      </c>
      <c r="D16" s="26" t="s">
        <v>432</v>
      </c>
      <c r="E16" s="26" t="s">
        <v>433</v>
      </c>
    </row>
    <row r="17" spans="1:5" ht="86.4">
      <c r="A17" s="24"/>
      <c r="B17" s="24" t="s">
        <v>261</v>
      </c>
      <c r="C17" s="24" t="s">
        <v>434</v>
      </c>
      <c r="D17" s="26" t="s">
        <v>435</v>
      </c>
      <c r="E17" s="24" t="s">
        <v>436</v>
      </c>
    </row>
    <row r="18" spans="1:5" ht="86.4">
      <c r="A18" s="24"/>
      <c r="B18" s="24" t="s">
        <v>437</v>
      </c>
      <c r="C18" s="24" t="s">
        <v>438</v>
      </c>
      <c r="D18" s="26" t="s">
        <v>439</v>
      </c>
      <c r="E18" s="26" t="s">
        <v>440</v>
      </c>
    </row>
    <row r="19" spans="1:5" ht="118.8">
      <c r="A19" s="24"/>
      <c r="B19" s="24" t="s">
        <v>374</v>
      </c>
      <c r="C19" s="24" t="s">
        <v>441</v>
      </c>
      <c r="D19" s="26" t="s">
        <v>442</v>
      </c>
      <c r="E19" s="26" t="s">
        <v>443</v>
      </c>
    </row>
    <row r="20" spans="1:5" ht="79.2">
      <c r="A20" s="24"/>
      <c r="B20" s="24" t="s">
        <v>444</v>
      </c>
      <c r="C20" s="24" t="s">
        <v>445</v>
      </c>
      <c r="D20" s="26" t="s">
        <v>446</v>
      </c>
      <c r="E20" s="26" t="s">
        <v>447</v>
      </c>
    </row>
    <row r="21" spans="1:5" ht="86.4">
      <c r="A21" s="24"/>
      <c r="B21" s="24" t="s">
        <v>375</v>
      </c>
      <c r="C21" s="24" t="s">
        <v>448</v>
      </c>
      <c r="D21" s="26" t="s">
        <v>449</v>
      </c>
      <c r="E21" s="26" t="s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6D23-BA6E-422A-B203-218F4E77C01A}">
  <dimension ref="A1:E21"/>
  <sheetViews>
    <sheetView workbookViewId="0">
      <selection activeCell="E3" sqref="A1:E21"/>
    </sheetView>
  </sheetViews>
  <sheetFormatPr defaultRowHeight="14.4"/>
  <cols>
    <col min="1" max="1" width="14.33203125" bestFit="1" customWidth="1"/>
    <col min="2" max="2" width="35.5546875" customWidth="1"/>
    <col min="3" max="3" width="26.33203125" customWidth="1"/>
    <col min="4" max="4" width="5.5546875" customWidth="1"/>
    <col min="5" max="5" width="53" customWidth="1"/>
  </cols>
  <sheetData>
    <row r="1" spans="1:5">
      <c r="A1" s="8" t="s">
        <v>221</v>
      </c>
      <c r="B1" s="8" t="s">
        <v>222</v>
      </c>
      <c r="C1" s="8" t="s">
        <v>376</v>
      </c>
      <c r="D1" s="8" t="s">
        <v>583</v>
      </c>
      <c r="E1" s="8" t="s">
        <v>377</v>
      </c>
    </row>
    <row r="2" spans="1:5">
      <c r="A2" s="22" t="s">
        <v>225</v>
      </c>
      <c r="B2" s="9" t="s">
        <v>226</v>
      </c>
      <c r="C2" s="9" t="s">
        <v>12</v>
      </c>
      <c r="D2" s="30">
        <v>300</v>
      </c>
      <c r="E2" s="28" t="s">
        <v>452</v>
      </c>
    </row>
    <row r="3" spans="1:5">
      <c r="A3" s="22"/>
      <c r="B3" s="9" t="s">
        <v>381</v>
      </c>
      <c r="C3" s="9" t="s">
        <v>16</v>
      </c>
      <c r="D3" s="30">
        <v>300</v>
      </c>
      <c r="E3" s="28" t="s">
        <v>384</v>
      </c>
    </row>
    <row r="4" spans="1:5">
      <c r="A4" s="22"/>
      <c r="B4" s="9" t="s">
        <v>385</v>
      </c>
      <c r="C4" s="9" t="s">
        <v>19</v>
      </c>
      <c r="D4" s="30">
        <v>300</v>
      </c>
      <c r="E4" s="28" t="s">
        <v>451</v>
      </c>
    </row>
    <row r="5" spans="1:5">
      <c r="A5" s="22"/>
      <c r="B5" s="9" t="s">
        <v>234</v>
      </c>
      <c r="C5" s="9" t="s">
        <v>22</v>
      </c>
      <c r="D5" s="30">
        <v>300</v>
      </c>
      <c r="E5" s="28" t="s">
        <v>390</v>
      </c>
    </row>
    <row r="6" spans="1:5">
      <c r="A6" s="22"/>
      <c r="B6" s="9" t="s">
        <v>391</v>
      </c>
      <c r="C6" s="9" t="s">
        <v>27</v>
      </c>
      <c r="D6" s="30">
        <v>300</v>
      </c>
      <c r="E6" s="28" t="s">
        <v>394</v>
      </c>
    </row>
    <row r="7" spans="1:5">
      <c r="A7" s="22"/>
      <c r="B7" s="9" t="s">
        <v>395</v>
      </c>
      <c r="C7" s="9" t="s">
        <v>31</v>
      </c>
      <c r="D7" s="30">
        <v>300</v>
      </c>
      <c r="E7" s="28" t="s">
        <v>398</v>
      </c>
    </row>
    <row r="8" spans="1:5">
      <c r="A8" s="22"/>
      <c r="B8" s="9" t="s">
        <v>399</v>
      </c>
      <c r="C8" s="9" t="s">
        <v>34</v>
      </c>
      <c r="D8" s="30">
        <v>300</v>
      </c>
      <c r="E8" s="28" t="s">
        <v>402</v>
      </c>
    </row>
    <row r="9" spans="1:5">
      <c r="A9" s="22"/>
      <c r="B9" s="9" t="s">
        <v>403</v>
      </c>
      <c r="C9" s="9" t="s">
        <v>37</v>
      </c>
      <c r="D9" s="30">
        <v>300</v>
      </c>
      <c r="E9" s="28" t="s">
        <v>406</v>
      </c>
    </row>
    <row r="10" spans="1:5">
      <c r="A10" s="22"/>
      <c r="B10" s="9" t="s">
        <v>407</v>
      </c>
      <c r="C10" s="9" t="s">
        <v>42</v>
      </c>
      <c r="D10" s="30">
        <v>300</v>
      </c>
      <c r="E10" s="28" t="s">
        <v>410</v>
      </c>
    </row>
    <row r="11" spans="1:5">
      <c r="A11" s="22"/>
      <c r="B11" s="9" t="s">
        <v>411</v>
      </c>
      <c r="C11" s="9" t="s">
        <v>46</v>
      </c>
      <c r="D11" s="30">
        <v>300</v>
      </c>
      <c r="E11" s="28" t="s">
        <v>414</v>
      </c>
    </row>
    <row r="12" spans="1:5">
      <c r="A12" s="22" t="s">
        <v>250</v>
      </c>
      <c r="B12" s="9" t="s">
        <v>415</v>
      </c>
      <c r="C12" s="9" t="s">
        <v>67</v>
      </c>
      <c r="D12" s="30">
        <v>300</v>
      </c>
      <c r="E12" s="28" t="s">
        <v>453</v>
      </c>
    </row>
    <row r="13" spans="1:5">
      <c r="A13" s="22"/>
      <c r="B13" s="9" t="s">
        <v>419</v>
      </c>
      <c r="C13" s="9" t="s">
        <v>63</v>
      </c>
      <c r="D13" s="30">
        <v>300</v>
      </c>
      <c r="E13" s="28" t="s">
        <v>422</v>
      </c>
    </row>
    <row r="14" spans="1:5">
      <c r="A14" s="22"/>
      <c r="B14" s="9" t="s">
        <v>255</v>
      </c>
      <c r="C14" s="9" t="s">
        <v>69</v>
      </c>
      <c r="D14" s="30">
        <v>300</v>
      </c>
      <c r="E14" s="28" t="s">
        <v>425</v>
      </c>
    </row>
    <row r="15" spans="1:5">
      <c r="A15" s="22"/>
      <c r="B15" s="9" t="s">
        <v>426</v>
      </c>
      <c r="C15" s="9" t="s">
        <v>71</v>
      </c>
      <c r="D15" s="30">
        <v>300</v>
      </c>
      <c r="E15" s="28" t="s">
        <v>429</v>
      </c>
    </row>
    <row r="16" spans="1:5">
      <c r="A16" s="22"/>
      <c r="B16" s="9" t="s">
        <v>430</v>
      </c>
      <c r="C16" s="9" t="s">
        <v>75</v>
      </c>
      <c r="D16" s="30">
        <v>300</v>
      </c>
      <c r="E16" s="28" t="s">
        <v>433</v>
      </c>
    </row>
    <row r="17" spans="1:5">
      <c r="A17" s="22"/>
      <c r="B17" s="9" t="s">
        <v>261</v>
      </c>
      <c r="C17" s="9" t="s">
        <v>79</v>
      </c>
      <c r="D17" s="30">
        <v>300</v>
      </c>
      <c r="E17" s="28" t="s">
        <v>436</v>
      </c>
    </row>
    <row r="18" spans="1:5">
      <c r="A18" s="22"/>
      <c r="B18" s="9" t="s">
        <v>437</v>
      </c>
      <c r="C18" s="9" t="s">
        <v>83</v>
      </c>
      <c r="D18" s="30">
        <v>300</v>
      </c>
      <c r="E18" s="28" t="s">
        <v>440</v>
      </c>
    </row>
    <row r="19" spans="1:5">
      <c r="A19" s="22"/>
      <c r="B19" s="9" t="s">
        <v>374</v>
      </c>
      <c r="C19" s="9" t="s">
        <v>100</v>
      </c>
      <c r="D19" s="30">
        <v>300</v>
      </c>
      <c r="E19" s="28" t="s">
        <v>443</v>
      </c>
    </row>
    <row r="20" spans="1:5">
      <c r="A20" s="22"/>
      <c r="B20" s="9" t="s">
        <v>444</v>
      </c>
      <c r="C20" s="9" t="s">
        <v>90</v>
      </c>
      <c r="D20" s="30">
        <v>300</v>
      </c>
      <c r="E20" s="28" t="s">
        <v>447</v>
      </c>
    </row>
    <row r="21" spans="1:5">
      <c r="A21" s="22"/>
      <c r="B21" s="9" t="s">
        <v>375</v>
      </c>
      <c r="C21" s="9" t="s">
        <v>94</v>
      </c>
      <c r="D21" s="30">
        <v>300</v>
      </c>
      <c r="E21" s="28" t="s">
        <v>450</v>
      </c>
    </row>
  </sheetData>
  <mergeCells count="2">
    <mergeCell ref="A12:A21"/>
    <mergeCell ref="A2:A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8717-98DB-4817-8B04-A0D6B6BD1EE7}">
  <dimension ref="A1:C21"/>
  <sheetViews>
    <sheetView workbookViewId="0">
      <selection activeCell="B9" sqref="A1:C21"/>
    </sheetView>
  </sheetViews>
  <sheetFormatPr defaultRowHeight="14.4"/>
  <cols>
    <col min="1" max="1" width="21.33203125" bestFit="1" customWidth="1"/>
    <col min="2" max="2" width="39.109375" customWidth="1"/>
    <col min="3" max="3" width="77.109375" customWidth="1"/>
  </cols>
  <sheetData>
    <row r="1" spans="1:3">
      <c r="A1" s="40" t="s">
        <v>221</v>
      </c>
      <c r="B1" s="40" t="s">
        <v>222</v>
      </c>
      <c r="C1" s="40" t="s">
        <v>223</v>
      </c>
    </row>
    <row r="2" spans="1:3">
      <c r="A2" s="37" t="s">
        <v>225</v>
      </c>
      <c r="B2" s="36" t="s">
        <v>226</v>
      </c>
      <c r="C2" s="36" t="s">
        <v>378</v>
      </c>
    </row>
    <row r="3" spans="1:3">
      <c r="A3" s="38"/>
      <c r="B3" s="36" t="s">
        <v>381</v>
      </c>
      <c r="C3" s="36" t="s">
        <v>382</v>
      </c>
    </row>
    <row r="4" spans="1:3">
      <c r="A4" s="38"/>
      <c r="B4" s="36" t="s">
        <v>385</v>
      </c>
      <c r="C4" s="36" t="s">
        <v>386</v>
      </c>
    </row>
    <row r="5" spans="1:3">
      <c r="A5" s="38"/>
      <c r="B5" s="36" t="s">
        <v>234</v>
      </c>
      <c r="C5" s="36" t="s">
        <v>388</v>
      </c>
    </row>
    <row r="6" spans="1:3">
      <c r="A6" s="38"/>
      <c r="B6" s="36" t="s">
        <v>391</v>
      </c>
      <c r="C6" s="36" t="s">
        <v>392</v>
      </c>
    </row>
    <row r="7" spans="1:3">
      <c r="A7" s="38"/>
      <c r="B7" s="36" t="s">
        <v>395</v>
      </c>
      <c r="C7" s="36" t="s">
        <v>396</v>
      </c>
    </row>
    <row r="8" spans="1:3">
      <c r="A8" s="38"/>
      <c r="B8" s="36" t="s">
        <v>399</v>
      </c>
      <c r="C8" s="36" t="s">
        <v>400</v>
      </c>
    </row>
    <row r="9" spans="1:3">
      <c r="A9" s="38"/>
      <c r="B9" s="36" t="s">
        <v>403</v>
      </c>
      <c r="C9" s="36" t="s">
        <v>404</v>
      </c>
    </row>
    <row r="10" spans="1:3">
      <c r="A10" s="38"/>
      <c r="B10" s="36" t="s">
        <v>407</v>
      </c>
      <c r="C10" s="36" t="s">
        <v>408</v>
      </c>
    </row>
    <row r="11" spans="1:3">
      <c r="A11" s="39"/>
      <c r="B11" s="36" t="s">
        <v>411</v>
      </c>
      <c r="C11" s="36" t="s">
        <v>412</v>
      </c>
    </row>
    <row r="12" spans="1:3">
      <c r="A12" s="37" t="s">
        <v>250</v>
      </c>
      <c r="B12" s="36" t="s">
        <v>415</v>
      </c>
      <c r="C12" s="36" t="s">
        <v>416</v>
      </c>
    </row>
    <row r="13" spans="1:3">
      <c r="A13" s="38"/>
      <c r="B13" s="36" t="s">
        <v>419</v>
      </c>
      <c r="C13" s="36" t="s">
        <v>420</v>
      </c>
    </row>
    <row r="14" spans="1:3">
      <c r="A14" s="38"/>
      <c r="B14" s="36" t="s">
        <v>255</v>
      </c>
      <c r="C14" s="36" t="s">
        <v>423</v>
      </c>
    </row>
    <row r="15" spans="1:3">
      <c r="A15" s="38"/>
      <c r="B15" s="36" t="s">
        <v>426</v>
      </c>
      <c r="C15" s="36" t="s">
        <v>427</v>
      </c>
    </row>
    <row r="16" spans="1:3">
      <c r="A16" s="38"/>
      <c r="B16" s="36" t="s">
        <v>430</v>
      </c>
      <c r="C16" s="36" t="s">
        <v>431</v>
      </c>
    </row>
    <row r="17" spans="1:3">
      <c r="A17" s="38"/>
      <c r="B17" s="36" t="s">
        <v>261</v>
      </c>
      <c r="C17" s="36" t="s">
        <v>434</v>
      </c>
    </row>
    <row r="18" spans="1:3">
      <c r="A18" s="38"/>
      <c r="B18" s="36" t="s">
        <v>437</v>
      </c>
      <c r="C18" s="36" t="s">
        <v>438</v>
      </c>
    </row>
    <row r="19" spans="1:3">
      <c r="A19" s="38"/>
      <c r="B19" s="36" t="s">
        <v>374</v>
      </c>
      <c r="C19" s="36" t="s">
        <v>441</v>
      </c>
    </row>
    <row r="20" spans="1:3">
      <c r="A20" s="38"/>
      <c r="B20" s="36" t="s">
        <v>444</v>
      </c>
      <c r="C20" s="36" t="s">
        <v>445</v>
      </c>
    </row>
    <row r="21" spans="1:3">
      <c r="A21" s="39"/>
      <c r="B21" s="36" t="s">
        <v>375</v>
      </c>
      <c r="C21" s="36" t="s">
        <v>448</v>
      </c>
    </row>
  </sheetData>
  <mergeCells count="2">
    <mergeCell ref="A2:A11"/>
    <mergeCell ref="A12:A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F8CA-A9BC-4C55-B7CA-275858EEBD85}">
  <dimension ref="A1:F27"/>
  <sheetViews>
    <sheetView workbookViewId="0">
      <selection activeCell="E8" sqref="E8"/>
    </sheetView>
  </sheetViews>
  <sheetFormatPr defaultRowHeight="14.4"/>
  <cols>
    <col min="1" max="1" width="24.77734375" customWidth="1"/>
    <col min="2" max="2" width="15.33203125" customWidth="1"/>
    <col min="3" max="3" width="15.88671875" customWidth="1"/>
    <col min="4" max="4" width="12.5546875" customWidth="1"/>
    <col min="5" max="5" width="11.21875" customWidth="1"/>
    <col min="6" max="6" width="19.109375" customWidth="1"/>
  </cols>
  <sheetData>
    <row r="1" spans="1:6">
      <c r="A1" s="8" t="s">
        <v>5</v>
      </c>
      <c r="B1" s="8" t="s">
        <v>454</v>
      </c>
      <c r="C1" s="8" t="s">
        <v>7</v>
      </c>
      <c r="D1" s="8" t="s">
        <v>455</v>
      </c>
      <c r="E1" s="8" t="s">
        <v>456</v>
      </c>
      <c r="F1" s="8" t="s">
        <v>457</v>
      </c>
    </row>
    <row r="2" spans="1:6">
      <c r="A2" s="9" t="s">
        <v>458</v>
      </c>
      <c r="B2" s="29">
        <v>1210</v>
      </c>
      <c r="C2" s="30" t="s">
        <v>459</v>
      </c>
      <c r="D2" s="30" t="s">
        <v>460</v>
      </c>
      <c r="E2" s="30" t="s">
        <v>66</v>
      </c>
      <c r="F2" s="30" t="s">
        <v>461</v>
      </c>
    </row>
    <row r="3" spans="1:6">
      <c r="A3" s="9" t="s">
        <v>12</v>
      </c>
      <c r="B3" s="30" t="s">
        <v>462</v>
      </c>
      <c r="C3" s="30" t="s">
        <v>463</v>
      </c>
      <c r="D3" s="30" t="s">
        <v>464</v>
      </c>
      <c r="E3" s="30" t="s">
        <v>66</v>
      </c>
      <c r="F3" s="30" t="s">
        <v>461</v>
      </c>
    </row>
    <row r="4" spans="1:6">
      <c r="A4" s="9" t="s">
        <v>16</v>
      </c>
      <c r="B4" s="30" t="s">
        <v>465</v>
      </c>
      <c r="C4" s="30" t="s">
        <v>466</v>
      </c>
      <c r="D4" s="30" t="s">
        <v>467</v>
      </c>
      <c r="E4" s="30" t="s">
        <v>468</v>
      </c>
      <c r="F4" s="30" t="s">
        <v>469</v>
      </c>
    </row>
    <row r="5" spans="1:6">
      <c r="A5" s="9" t="s">
        <v>19</v>
      </c>
      <c r="B5" s="29">
        <v>-2150</v>
      </c>
      <c r="C5" s="30" t="s">
        <v>470</v>
      </c>
      <c r="D5" s="30" t="s">
        <v>471</v>
      </c>
      <c r="E5" s="30" t="s">
        <v>66</v>
      </c>
      <c r="F5" s="30" t="s">
        <v>461</v>
      </c>
    </row>
    <row r="6" spans="1:6">
      <c r="A6" s="9" t="s">
        <v>22</v>
      </c>
      <c r="B6" s="30" t="s">
        <v>472</v>
      </c>
      <c r="C6" s="30" t="s">
        <v>473</v>
      </c>
      <c r="D6" s="30" t="s">
        <v>474</v>
      </c>
      <c r="E6" s="30" t="s">
        <v>475</v>
      </c>
      <c r="F6" s="30" t="s">
        <v>476</v>
      </c>
    </row>
    <row r="7" spans="1:6">
      <c r="A7" s="9" t="s">
        <v>27</v>
      </c>
      <c r="B7" s="30" t="s">
        <v>477</v>
      </c>
      <c r="C7" s="30" t="s">
        <v>478</v>
      </c>
      <c r="D7" s="30" t="s">
        <v>340</v>
      </c>
      <c r="E7" s="30" t="s">
        <v>479</v>
      </c>
      <c r="F7" s="30" t="s">
        <v>476</v>
      </c>
    </row>
    <row r="8" spans="1:6">
      <c r="A8" s="9" t="s">
        <v>31</v>
      </c>
      <c r="B8" s="30" t="s">
        <v>480</v>
      </c>
      <c r="C8" s="30" t="s">
        <v>481</v>
      </c>
      <c r="D8" s="30" t="s">
        <v>482</v>
      </c>
      <c r="E8" s="30" t="s">
        <v>483</v>
      </c>
      <c r="F8" s="30" t="s">
        <v>461</v>
      </c>
    </row>
    <row r="9" spans="1:6">
      <c r="A9" s="9" t="s">
        <v>34</v>
      </c>
      <c r="B9" s="30" t="s">
        <v>484</v>
      </c>
      <c r="C9" s="30" t="s">
        <v>485</v>
      </c>
      <c r="D9" s="30" t="s">
        <v>486</v>
      </c>
      <c r="E9" s="30" t="s">
        <v>487</v>
      </c>
      <c r="F9" s="30" t="s">
        <v>497</v>
      </c>
    </row>
    <row r="10" spans="1:6">
      <c r="A10" s="9" t="s">
        <v>37</v>
      </c>
      <c r="B10" s="30" t="s">
        <v>488</v>
      </c>
      <c r="C10" s="30" t="s">
        <v>489</v>
      </c>
      <c r="D10" s="30" t="s">
        <v>490</v>
      </c>
      <c r="E10" s="30" t="s">
        <v>491</v>
      </c>
      <c r="F10" s="30" t="s">
        <v>469</v>
      </c>
    </row>
    <row r="11" spans="1:6">
      <c r="A11" s="9" t="s">
        <v>42</v>
      </c>
      <c r="B11" s="29">
        <v>-1020</v>
      </c>
      <c r="C11" s="30" t="s">
        <v>492</v>
      </c>
      <c r="D11" s="30" t="s">
        <v>493</v>
      </c>
      <c r="E11" s="30" t="s">
        <v>66</v>
      </c>
      <c r="F11" s="30" t="s">
        <v>461</v>
      </c>
    </row>
    <row r="12" spans="1:6">
      <c r="A12" s="9" t="s">
        <v>46</v>
      </c>
      <c r="B12" s="30" t="s">
        <v>494</v>
      </c>
      <c r="C12" s="30" t="s">
        <v>495</v>
      </c>
      <c r="D12" s="30" t="s">
        <v>496</v>
      </c>
      <c r="E12" s="30" t="s">
        <v>66</v>
      </c>
      <c r="F12" s="30" t="s">
        <v>461</v>
      </c>
    </row>
    <row r="13" spans="1:6">
      <c r="A13" s="31" t="s">
        <v>322</v>
      </c>
      <c r="B13" s="31"/>
      <c r="C13" s="31"/>
      <c r="D13" s="31"/>
      <c r="E13" s="31"/>
      <c r="F13" s="31"/>
    </row>
    <row r="15" spans="1:6">
      <c r="A15" s="8" t="s">
        <v>5</v>
      </c>
      <c r="B15" s="8" t="s">
        <v>454</v>
      </c>
      <c r="C15" s="8" t="s">
        <v>7</v>
      </c>
      <c r="D15" s="8" t="s">
        <v>455</v>
      </c>
      <c r="E15" s="8" t="s">
        <v>456</v>
      </c>
      <c r="F15" s="8" t="s">
        <v>457</v>
      </c>
    </row>
    <row r="16" spans="1:6">
      <c r="A16" s="9" t="s">
        <v>458</v>
      </c>
      <c r="B16" s="30" t="s">
        <v>498</v>
      </c>
      <c r="C16" s="30" t="s">
        <v>499</v>
      </c>
      <c r="D16" s="30" t="s">
        <v>500</v>
      </c>
      <c r="E16" s="30" t="s">
        <v>66</v>
      </c>
      <c r="F16" s="30" t="s">
        <v>461</v>
      </c>
    </row>
    <row r="17" spans="1:6">
      <c r="A17" s="9" t="s">
        <v>67</v>
      </c>
      <c r="B17" s="30" t="s">
        <v>501</v>
      </c>
      <c r="C17" s="30" t="s">
        <v>485</v>
      </c>
      <c r="D17" s="30" t="s">
        <v>502</v>
      </c>
      <c r="E17" s="30" t="s">
        <v>483</v>
      </c>
      <c r="F17" s="30" t="s">
        <v>461</v>
      </c>
    </row>
    <row r="18" spans="1:6">
      <c r="A18" s="9" t="s">
        <v>63</v>
      </c>
      <c r="B18" s="29">
        <v>1280</v>
      </c>
      <c r="C18" s="30" t="s">
        <v>492</v>
      </c>
      <c r="D18" s="30" t="s">
        <v>503</v>
      </c>
      <c r="E18" s="30" t="s">
        <v>66</v>
      </c>
      <c r="F18" s="30" t="s">
        <v>461</v>
      </c>
    </row>
    <row r="19" spans="1:6">
      <c r="A19" s="9" t="s">
        <v>69</v>
      </c>
      <c r="B19" s="30" t="s">
        <v>504</v>
      </c>
      <c r="C19" s="30" t="s">
        <v>505</v>
      </c>
      <c r="D19" s="30" t="s">
        <v>506</v>
      </c>
      <c r="E19" s="30" t="s">
        <v>66</v>
      </c>
      <c r="F19" s="30" t="s">
        <v>461</v>
      </c>
    </row>
    <row r="20" spans="1:6">
      <c r="A20" s="9" t="s">
        <v>71</v>
      </c>
      <c r="B20" s="30" t="s">
        <v>507</v>
      </c>
      <c r="C20" s="30" t="s">
        <v>508</v>
      </c>
      <c r="D20" s="30" t="s">
        <v>509</v>
      </c>
      <c r="E20" s="30" t="s">
        <v>528</v>
      </c>
      <c r="F20" s="30" t="s">
        <v>469</v>
      </c>
    </row>
    <row r="21" spans="1:6">
      <c r="A21" s="9" t="s">
        <v>75</v>
      </c>
      <c r="B21" s="30" t="s">
        <v>510</v>
      </c>
      <c r="C21" s="30" t="s">
        <v>511</v>
      </c>
      <c r="D21" s="30" t="s">
        <v>512</v>
      </c>
      <c r="E21" s="30" t="s">
        <v>529</v>
      </c>
      <c r="F21" s="30" t="s">
        <v>469</v>
      </c>
    </row>
    <row r="22" spans="1:6">
      <c r="A22" s="9" t="s">
        <v>79</v>
      </c>
      <c r="B22" s="30" t="s">
        <v>513</v>
      </c>
      <c r="C22" s="30" t="s">
        <v>478</v>
      </c>
      <c r="D22" s="30" t="s">
        <v>514</v>
      </c>
      <c r="E22" s="30" t="s">
        <v>530</v>
      </c>
      <c r="F22" s="30" t="s">
        <v>469</v>
      </c>
    </row>
    <row r="23" spans="1:6">
      <c r="A23" s="9" t="s">
        <v>83</v>
      </c>
      <c r="B23" s="30" t="s">
        <v>516</v>
      </c>
      <c r="C23" s="30" t="s">
        <v>517</v>
      </c>
      <c r="D23" s="30" t="s">
        <v>518</v>
      </c>
      <c r="E23" s="30" t="s">
        <v>531</v>
      </c>
      <c r="F23" s="30" t="s">
        <v>519</v>
      </c>
    </row>
    <row r="24" spans="1:6">
      <c r="A24" s="9" t="s">
        <v>100</v>
      </c>
      <c r="B24" s="30" t="s">
        <v>520</v>
      </c>
      <c r="C24" s="30" t="s">
        <v>473</v>
      </c>
      <c r="D24" s="30" t="s">
        <v>521</v>
      </c>
      <c r="E24" s="30" t="s">
        <v>522</v>
      </c>
      <c r="F24" s="30" t="s">
        <v>469</v>
      </c>
    </row>
    <row r="25" spans="1:6">
      <c r="A25" s="9" t="s">
        <v>90</v>
      </c>
      <c r="B25" s="30" t="s">
        <v>523</v>
      </c>
      <c r="C25" s="30" t="s">
        <v>478</v>
      </c>
      <c r="D25" s="30" t="s">
        <v>524</v>
      </c>
      <c r="E25" s="30" t="s">
        <v>532</v>
      </c>
      <c r="F25" s="30" t="s">
        <v>519</v>
      </c>
    </row>
    <row r="26" spans="1:6">
      <c r="A26" s="9" t="s">
        <v>94</v>
      </c>
      <c r="B26" s="30" t="s">
        <v>525</v>
      </c>
      <c r="C26" s="30" t="s">
        <v>526</v>
      </c>
      <c r="D26" s="30" t="s">
        <v>527</v>
      </c>
      <c r="E26" s="30" t="s">
        <v>533</v>
      </c>
      <c r="F26" s="30" t="s">
        <v>519</v>
      </c>
    </row>
    <row r="27" spans="1:6">
      <c r="A27" s="31" t="s">
        <v>322</v>
      </c>
      <c r="B27" s="31"/>
      <c r="C27" s="31"/>
      <c r="D27" s="31"/>
      <c r="E27" s="31"/>
      <c r="F27" s="31"/>
    </row>
  </sheetData>
  <mergeCells count="2">
    <mergeCell ref="A13:F13"/>
    <mergeCell ref="A27:F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9790-CEE6-46EA-9E09-80A0B137B37B}">
  <dimension ref="A1:F23"/>
  <sheetViews>
    <sheetView workbookViewId="0">
      <selection activeCell="E6" sqref="A1:F11"/>
    </sheetView>
  </sheetViews>
  <sheetFormatPr defaultRowHeight="14.4"/>
  <cols>
    <col min="1" max="1" width="22.6640625" customWidth="1"/>
    <col min="2" max="2" width="17.21875" style="5" customWidth="1"/>
    <col min="3" max="3" width="14" style="5" customWidth="1"/>
    <col min="4" max="4" width="16.44140625" style="5" customWidth="1"/>
    <col min="5" max="5" width="11.44140625" style="5" bestFit="1" customWidth="1"/>
    <col min="6" max="6" width="25" style="5" customWidth="1"/>
  </cols>
  <sheetData>
    <row r="1" spans="1:6">
      <c r="A1" s="8" t="s">
        <v>5</v>
      </c>
      <c r="B1" s="8" t="s">
        <v>454</v>
      </c>
      <c r="C1" s="8" t="s">
        <v>534</v>
      </c>
      <c r="D1" s="8" t="s">
        <v>560</v>
      </c>
      <c r="E1" s="8" t="s">
        <v>561</v>
      </c>
      <c r="F1" s="8" t="s">
        <v>535</v>
      </c>
    </row>
    <row r="2" spans="1:6">
      <c r="A2" s="9" t="s">
        <v>67</v>
      </c>
      <c r="B2" s="30" t="s">
        <v>501</v>
      </c>
      <c r="C2" s="30" t="s">
        <v>536</v>
      </c>
      <c r="D2" s="41" t="s">
        <v>537</v>
      </c>
      <c r="E2" s="30" t="s">
        <v>538</v>
      </c>
      <c r="F2" s="27" t="s">
        <v>539</v>
      </c>
    </row>
    <row r="3" spans="1:6">
      <c r="A3" s="9" t="s">
        <v>63</v>
      </c>
      <c r="B3" s="29">
        <v>1280</v>
      </c>
      <c r="C3" s="30" t="s">
        <v>540</v>
      </c>
      <c r="D3" s="41" t="s">
        <v>541</v>
      </c>
      <c r="E3" s="30" t="s">
        <v>538</v>
      </c>
      <c r="F3" s="27" t="s">
        <v>539</v>
      </c>
    </row>
    <row r="4" spans="1:6">
      <c r="A4" s="9" t="s">
        <v>69</v>
      </c>
      <c r="B4" s="30" t="s">
        <v>504</v>
      </c>
      <c r="C4" s="30" t="s">
        <v>473</v>
      </c>
      <c r="D4" s="41" t="s">
        <v>542</v>
      </c>
      <c r="E4" s="30" t="s">
        <v>538</v>
      </c>
      <c r="F4" s="27" t="s">
        <v>539</v>
      </c>
    </row>
    <row r="5" spans="1:6">
      <c r="A5" s="9" t="s">
        <v>71</v>
      </c>
      <c r="B5" s="30" t="s">
        <v>507</v>
      </c>
      <c r="C5" s="30" t="s">
        <v>499</v>
      </c>
      <c r="D5" s="41" t="s">
        <v>543</v>
      </c>
      <c r="E5" s="30" t="s">
        <v>544</v>
      </c>
      <c r="F5" s="27" t="s">
        <v>539</v>
      </c>
    </row>
    <row r="6" spans="1:6">
      <c r="A6" s="9" t="s">
        <v>75</v>
      </c>
      <c r="B6" s="30" t="s">
        <v>510</v>
      </c>
      <c r="C6" s="30" t="s">
        <v>481</v>
      </c>
      <c r="D6" s="41" t="s">
        <v>545</v>
      </c>
      <c r="E6" s="30" t="s">
        <v>546</v>
      </c>
      <c r="F6" s="27" t="s">
        <v>539</v>
      </c>
    </row>
    <row r="7" spans="1:6">
      <c r="A7" s="9" t="s">
        <v>79</v>
      </c>
      <c r="B7" s="30" t="s">
        <v>513</v>
      </c>
      <c r="C7" s="30" t="s">
        <v>547</v>
      </c>
      <c r="D7" s="41" t="s">
        <v>548</v>
      </c>
      <c r="E7" s="30" t="s">
        <v>549</v>
      </c>
      <c r="F7" s="27" t="s">
        <v>539</v>
      </c>
    </row>
    <row r="8" spans="1:6">
      <c r="A8" s="9" t="s">
        <v>83</v>
      </c>
      <c r="B8" s="30" t="s">
        <v>516</v>
      </c>
      <c r="C8" s="30" t="s">
        <v>550</v>
      </c>
      <c r="D8" s="41" t="s">
        <v>551</v>
      </c>
      <c r="E8" s="30" t="s">
        <v>466</v>
      </c>
      <c r="F8" s="27" t="s">
        <v>552</v>
      </c>
    </row>
    <row r="9" spans="1:6">
      <c r="A9" s="9" t="s">
        <v>100</v>
      </c>
      <c r="B9" s="30" t="s">
        <v>520</v>
      </c>
      <c r="C9" s="30" t="s">
        <v>553</v>
      </c>
      <c r="D9" s="41" t="s">
        <v>554</v>
      </c>
      <c r="E9" s="30" t="s">
        <v>489</v>
      </c>
      <c r="F9" s="27" t="s">
        <v>539</v>
      </c>
    </row>
    <row r="10" spans="1:6">
      <c r="A10" s="9" t="s">
        <v>90</v>
      </c>
      <c r="B10" s="30" t="s">
        <v>523</v>
      </c>
      <c r="C10" s="30" t="s">
        <v>555</v>
      </c>
      <c r="D10" s="41" t="s">
        <v>556</v>
      </c>
      <c r="E10" s="30" t="s">
        <v>526</v>
      </c>
      <c r="F10" s="27" t="s">
        <v>552</v>
      </c>
    </row>
    <row r="11" spans="1:6">
      <c r="A11" s="9" t="s">
        <v>94</v>
      </c>
      <c r="B11" s="30" t="s">
        <v>525</v>
      </c>
      <c r="C11" s="30" t="s">
        <v>557</v>
      </c>
      <c r="D11" s="41" t="s">
        <v>558</v>
      </c>
      <c r="E11" s="30" t="s">
        <v>559</v>
      </c>
      <c r="F11" s="27" t="s">
        <v>552</v>
      </c>
    </row>
    <row r="13" spans="1:6">
      <c r="A13" s="8" t="s">
        <v>5</v>
      </c>
      <c r="B13" s="8" t="s">
        <v>454</v>
      </c>
      <c r="C13" s="8" t="s">
        <v>534</v>
      </c>
      <c r="D13" s="8" t="s">
        <v>560</v>
      </c>
      <c r="E13" s="8" t="s">
        <v>561</v>
      </c>
      <c r="F13" s="8" t="s">
        <v>535</v>
      </c>
    </row>
    <row r="14" spans="1:6">
      <c r="A14" s="32" t="s">
        <v>12</v>
      </c>
      <c r="B14" s="33" t="s">
        <v>462</v>
      </c>
      <c r="C14" s="33" t="s">
        <v>478</v>
      </c>
      <c r="D14" s="35" t="s">
        <v>562</v>
      </c>
      <c r="E14" s="33" t="s">
        <v>538</v>
      </c>
      <c r="F14" s="15" t="s">
        <v>539</v>
      </c>
    </row>
    <row r="15" spans="1:6">
      <c r="A15" s="32" t="s">
        <v>16</v>
      </c>
      <c r="B15" s="34" t="s">
        <v>465</v>
      </c>
      <c r="C15" s="33" t="s">
        <v>563</v>
      </c>
      <c r="D15" s="35" t="s">
        <v>564</v>
      </c>
      <c r="E15" s="33" t="s">
        <v>565</v>
      </c>
      <c r="F15" s="15" t="s">
        <v>539</v>
      </c>
    </row>
    <row r="16" spans="1:6">
      <c r="A16" s="32" t="s">
        <v>19</v>
      </c>
      <c r="B16" s="34">
        <v>-2150</v>
      </c>
      <c r="C16" s="33" t="s">
        <v>566</v>
      </c>
      <c r="D16" s="35" t="s">
        <v>567</v>
      </c>
      <c r="E16" s="33" t="s">
        <v>538</v>
      </c>
      <c r="F16" s="15" t="s">
        <v>539</v>
      </c>
    </row>
    <row r="17" spans="1:6">
      <c r="A17" s="32" t="s">
        <v>22</v>
      </c>
      <c r="B17" s="33" t="s">
        <v>472</v>
      </c>
      <c r="C17" s="33" t="s">
        <v>568</v>
      </c>
      <c r="D17" s="35" t="s">
        <v>569</v>
      </c>
      <c r="E17" s="33" t="s">
        <v>515</v>
      </c>
      <c r="F17" s="15" t="s">
        <v>539</v>
      </c>
    </row>
    <row r="18" spans="1:6">
      <c r="A18" s="32" t="s">
        <v>27</v>
      </c>
      <c r="B18" s="33" t="s">
        <v>477</v>
      </c>
      <c r="C18" s="33" t="s">
        <v>466</v>
      </c>
      <c r="D18" s="35" t="s">
        <v>570</v>
      </c>
      <c r="E18" s="33" t="s">
        <v>571</v>
      </c>
      <c r="F18" s="15" t="s">
        <v>539</v>
      </c>
    </row>
    <row r="19" spans="1:6">
      <c r="A19" s="32" t="s">
        <v>31</v>
      </c>
      <c r="B19" s="33" t="s">
        <v>480</v>
      </c>
      <c r="C19" s="33" t="s">
        <v>572</v>
      </c>
      <c r="D19" s="35" t="s">
        <v>573</v>
      </c>
      <c r="E19" s="33" t="s">
        <v>538</v>
      </c>
      <c r="F19" s="15" t="s">
        <v>539</v>
      </c>
    </row>
    <row r="20" spans="1:6">
      <c r="A20" s="32" t="s">
        <v>34</v>
      </c>
      <c r="B20" s="33" t="s">
        <v>484</v>
      </c>
      <c r="C20" s="33" t="s">
        <v>574</v>
      </c>
      <c r="D20" s="35" t="s">
        <v>575</v>
      </c>
      <c r="E20" s="33" t="s">
        <v>576</v>
      </c>
      <c r="F20" s="27" t="s">
        <v>582</v>
      </c>
    </row>
    <row r="21" spans="1:6">
      <c r="A21" s="32" t="s">
        <v>37</v>
      </c>
      <c r="B21" s="33" t="s">
        <v>488</v>
      </c>
      <c r="C21" s="33" t="s">
        <v>577</v>
      </c>
      <c r="D21" s="35" t="s">
        <v>578</v>
      </c>
      <c r="E21" s="33" t="s">
        <v>579</v>
      </c>
      <c r="F21" s="15" t="s">
        <v>539</v>
      </c>
    </row>
    <row r="22" spans="1:6">
      <c r="A22" s="32" t="s">
        <v>42</v>
      </c>
      <c r="B22" s="34">
        <v>-1020</v>
      </c>
      <c r="C22" s="33" t="s">
        <v>540</v>
      </c>
      <c r="D22" s="35" t="s">
        <v>580</v>
      </c>
      <c r="E22" s="33" t="s">
        <v>538</v>
      </c>
      <c r="F22" s="15" t="s">
        <v>539</v>
      </c>
    </row>
    <row r="23" spans="1:6">
      <c r="A23" s="32" t="s">
        <v>46</v>
      </c>
      <c r="B23" s="33" t="s">
        <v>494</v>
      </c>
      <c r="C23" s="33" t="s">
        <v>478</v>
      </c>
      <c r="D23" s="35" t="s">
        <v>581</v>
      </c>
      <c r="E23" s="33" t="s">
        <v>538</v>
      </c>
      <c r="F23" s="15" t="s">
        <v>539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CA85-EB08-459B-A91F-A8BBECFE34A3}">
  <dimension ref="A1:D21"/>
  <sheetViews>
    <sheetView workbookViewId="0">
      <selection activeCell="B4" sqref="A1:D21"/>
    </sheetView>
  </sheetViews>
  <sheetFormatPr defaultRowHeight="14.4"/>
  <cols>
    <col min="1" max="1" width="12.6640625" style="3" customWidth="1"/>
    <col min="2" max="2" width="31.33203125" customWidth="1"/>
    <col min="3" max="3" width="30.109375" customWidth="1"/>
    <col min="4" max="4" width="35.88671875" customWidth="1"/>
  </cols>
  <sheetData>
    <row r="1" spans="1:4">
      <c r="A1" s="42" t="s">
        <v>601</v>
      </c>
      <c r="B1" s="8" t="s">
        <v>584</v>
      </c>
      <c r="C1" s="8" t="s">
        <v>585</v>
      </c>
      <c r="D1" s="8" t="s">
        <v>586</v>
      </c>
    </row>
    <row r="2" spans="1:4">
      <c r="A2" s="43" t="s">
        <v>602</v>
      </c>
      <c r="B2" s="9" t="s">
        <v>587</v>
      </c>
      <c r="C2" s="30" t="s">
        <v>588</v>
      </c>
      <c r="D2" s="30" t="s">
        <v>588</v>
      </c>
    </row>
    <row r="3" spans="1:4">
      <c r="A3" s="44"/>
      <c r="B3" s="9" t="s">
        <v>589</v>
      </c>
      <c r="C3" s="30" t="s">
        <v>588</v>
      </c>
      <c r="D3" s="30" t="s">
        <v>588</v>
      </c>
    </row>
    <row r="4" spans="1:4" ht="26.4">
      <c r="A4" s="44"/>
      <c r="B4" s="9" t="s">
        <v>590</v>
      </c>
      <c r="C4" s="30" t="s">
        <v>588</v>
      </c>
      <c r="D4" s="30" t="s">
        <v>588</v>
      </c>
    </row>
    <row r="5" spans="1:4">
      <c r="A5" s="44"/>
      <c r="B5" s="9" t="s">
        <v>591</v>
      </c>
      <c r="C5" s="30" t="s">
        <v>588</v>
      </c>
      <c r="D5" s="30" t="s">
        <v>588</v>
      </c>
    </row>
    <row r="6" spans="1:4">
      <c r="A6" s="44"/>
      <c r="B6" s="9" t="s">
        <v>592</v>
      </c>
      <c r="C6" s="30" t="s">
        <v>588</v>
      </c>
      <c r="D6" s="30" t="s">
        <v>588</v>
      </c>
    </row>
    <row r="7" spans="1:4">
      <c r="A7" s="44"/>
      <c r="B7" s="9" t="s">
        <v>593</v>
      </c>
      <c r="C7" s="30" t="s">
        <v>588</v>
      </c>
      <c r="D7" s="30" t="s">
        <v>588</v>
      </c>
    </row>
    <row r="8" spans="1:4">
      <c r="A8" s="44"/>
      <c r="B8" s="9" t="s">
        <v>372</v>
      </c>
      <c r="C8" s="30" t="s">
        <v>588</v>
      </c>
      <c r="D8" s="30" t="s">
        <v>600</v>
      </c>
    </row>
    <row r="9" spans="1:4">
      <c r="A9" s="44"/>
      <c r="B9" s="9" t="s">
        <v>594</v>
      </c>
      <c r="C9" s="30" t="s">
        <v>588</v>
      </c>
      <c r="D9" s="30" t="s">
        <v>588</v>
      </c>
    </row>
    <row r="10" spans="1:4">
      <c r="A10" s="44"/>
      <c r="B10" s="9" t="s">
        <v>314</v>
      </c>
      <c r="C10" s="30" t="s">
        <v>588</v>
      </c>
      <c r="D10" s="30" t="s">
        <v>588</v>
      </c>
    </row>
    <row r="11" spans="1:4">
      <c r="A11" s="45"/>
      <c r="B11" s="9" t="s">
        <v>595</v>
      </c>
      <c r="C11" s="30" t="s">
        <v>588</v>
      </c>
      <c r="D11" s="30" t="s">
        <v>588</v>
      </c>
    </row>
    <row r="12" spans="1:4">
      <c r="A12" s="43" t="s">
        <v>603</v>
      </c>
      <c r="B12" s="9" t="s">
        <v>596</v>
      </c>
      <c r="C12" s="30" t="s">
        <v>588</v>
      </c>
      <c r="D12" s="30" t="s">
        <v>588</v>
      </c>
    </row>
    <row r="13" spans="1:4">
      <c r="A13" s="44"/>
      <c r="B13" s="9" t="s">
        <v>327</v>
      </c>
      <c r="C13" s="30" t="s">
        <v>588</v>
      </c>
      <c r="D13" s="30" t="s">
        <v>588</v>
      </c>
    </row>
    <row r="14" spans="1:4">
      <c r="A14" s="44"/>
      <c r="B14" s="9" t="s">
        <v>597</v>
      </c>
      <c r="C14" s="30" t="s">
        <v>588</v>
      </c>
      <c r="D14" s="30" t="s">
        <v>588</v>
      </c>
    </row>
    <row r="15" spans="1:4">
      <c r="A15" s="44"/>
      <c r="B15" s="9" t="s">
        <v>337</v>
      </c>
      <c r="C15" s="30" t="s">
        <v>588</v>
      </c>
      <c r="D15" s="30" t="s">
        <v>588</v>
      </c>
    </row>
    <row r="16" spans="1:4">
      <c r="A16" s="44"/>
      <c r="B16" s="9" t="s">
        <v>598</v>
      </c>
      <c r="C16" s="30" t="s">
        <v>588</v>
      </c>
      <c r="D16" s="30" t="s">
        <v>588</v>
      </c>
    </row>
    <row r="17" spans="1:4">
      <c r="A17" s="44"/>
      <c r="B17" s="9" t="s">
        <v>599</v>
      </c>
      <c r="C17" s="30" t="s">
        <v>588</v>
      </c>
      <c r="D17" s="30" t="s">
        <v>588</v>
      </c>
    </row>
    <row r="18" spans="1:4">
      <c r="A18" s="44"/>
      <c r="B18" s="9" t="s">
        <v>352</v>
      </c>
      <c r="C18" s="30" t="s">
        <v>600</v>
      </c>
      <c r="D18" s="30" t="s">
        <v>600</v>
      </c>
    </row>
    <row r="19" spans="1:4">
      <c r="A19" s="44"/>
      <c r="B19" s="9" t="s">
        <v>374</v>
      </c>
      <c r="C19" s="30" t="s">
        <v>588</v>
      </c>
      <c r="D19" s="30" t="s">
        <v>588</v>
      </c>
    </row>
    <row r="20" spans="1:4">
      <c r="A20" s="44"/>
      <c r="B20" s="9" t="s">
        <v>361</v>
      </c>
      <c r="C20" s="30" t="s">
        <v>600</v>
      </c>
      <c r="D20" s="30" t="s">
        <v>600</v>
      </c>
    </row>
    <row r="21" spans="1:4">
      <c r="A21" s="45"/>
      <c r="B21" s="9" t="s">
        <v>375</v>
      </c>
      <c r="C21" s="30" t="s">
        <v>600</v>
      </c>
      <c r="D21" s="30" t="s">
        <v>600</v>
      </c>
    </row>
  </sheetData>
  <mergeCells count="2">
    <mergeCell ref="A2:A11"/>
    <mergeCell ref="A12:A21"/>
  </mergeCells>
  <conditionalFormatting sqref="C2:D21">
    <cfRule type="containsText" dxfId="1" priority="1" operator="containsText" text="No">
      <formula>NOT(ISERROR(SEARCH("No",C2)))</formula>
    </cfRule>
    <cfRule type="containsText" dxfId="0" priority="2" operator="containsText" text="Yes">
      <formula>NOT(ISERROR(SEARCH("Yes",C2)))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F59E-5889-4F58-8C58-7110B6E3C994}">
  <dimension ref="A1:G22"/>
  <sheetViews>
    <sheetView tabSelected="1" workbookViewId="0">
      <selection activeCell="I12" sqref="I12"/>
    </sheetView>
  </sheetViews>
  <sheetFormatPr defaultRowHeight="14.4"/>
  <cols>
    <col min="1" max="1" width="22.5546875" bestFit="1" customWidth="1"/>
    <col min="2" max="2" width="5.5546875" bestFit="1" customWidth="1"/>
    <col min="3" max="3" width="7.21875" bestFit="1" customWidth="1"/>
    <col min="4" max="4" width="9.33203125" bestFit="1" customWidth="1"/>
    <col min="5" max="5" width="9.21875" bestFit="1" customWidth="1"/>
    <col min="6" max="6" width="8.109375" bestFit="1" customWidth="1"/>
    <col min="7" max="7" width="4.6640625" bestFit="1" customWidth="1"/>
  </cols>
  <sheetData>
    <row r="1" spans="1:7">
      <c r="A1" s="8" t="s">
        <v>5</v>
      </c>
      <c r="B1" s="8" t="s">
        <v>198</v>
      </c>
      <c r="C1" s="8" t="s">
        <v>199</v>
      </c>
      <c r="D1" s="8" t="s">
        <v>200</v>
      </c>
      <c r="E1" s="8" t="s">
        <v>201</v>
      </c>
      <c r="F1" s="8" t="s">
        <v>202</v>
      </c>
      <c r="G1" s="8" t="s">
        <v>604</v>
      </c>
    </row>
    <row r="2" spans="1:7">
      <c r="A2" s="46" t="s">
        <v>605</v>
      </c>
      <c r="B2" s="30" t="s">
        <v>606</v>
      </c>
      <c r="C2" s="30" t="s">
        <v>607</v>
      </c>
      <c r="D2" s="30" t="s">
        <v>608</v>
      </c>
      <c r="E2" s="30" t="s">
        <v>609</v>
      </c>
      <c r="F2" s="30" t="s">
        <v>610</v>
      </c>
      <c r="G2" s="30">
        <v>300</v>
      </c>
    </row>
    <row r="3" spans="1:7">
      <c r="A3" s="46" t="s">
        <v>611</v>
      </c>
      <c r="B3" s="30" t="s">
        <v>579</v>
      </c>
      <c r="C3" s="30" t="s">
        <v>612</v>
      </c>
      <c r="D3" s="30" t="s">
        <v>613</v>
      </c>
      <c r="E3" s="30" t="s">
        <v>609</v>
      </c>
      <c r="F3" s="30" t="s">
        <v>614</v>
      </c>
      <c r="G3" s="30">
        <v>300</v>
      </c>
    </row>
    <row r="4" spans="1:7">
      <c r="A4" s="46" t="s">
        <v>615</v>
      </c>
      <c r="B4" s="30" t="s">
        <v>616</v>
      </c>
      <c r="C4" s="30" t="s">
        <v>617</v>
      </c>
      <c r="D4" s="30" t="s">
        <v>618</v>
      </c>
      <c r="E4" s="30" t="s">
        <v>619</v>
      </c>
      <c r="F4" s="30" t="s">
        <v>620</v>
      </c>
      <c r="G4" s="30">
        <v>300</v>
      </c>
    </row>
    <row r="5" spans="1:7">
      <c r="A5" s="46" t="s">
        <v>621</v>
      </c>
      <c r="B5" s="30" t="s">
        <v>622</v>
      </c>
      <c r="C5" s="30" t="s">
        <v>623</v>
      </c>
      <c r="D5" s="30" t="s">
        <v>618</v>
      </c>
      <c r="E5" s="30" t="s">
        <v>624</v>
      </c>
      <c r="F5" s="30" t="s">
        <v>625</v>
      </c>
      <c r="G5" s="30">
        <v>300</v>
      </c>
    </row>
    <row r="6" spans="1:7">
      <c r="A6" s="46" t="s">
        <v>626</v>
      </c>
      <c r="B6" s="30" t="s">
        <v>627</v>
      </c>
      <c r="C6" s="30" t="s">
        <v>617</v>
      </c>
      <c r="D6" s="30" t="s">
        <v>293</v>
      </c>
      <c r="E6" s="30" t="s">
        <v>134</v>
      </c>
      <c r="F6" s="30" t="s">
        <v>628</v>
      </c>
      <c r="G6" s="30">
        <v>300</v>
      </c>
    </row>
    <row r="7" spans="1:7">
      <c r="A7" s="46" t="s">
        <v>629</v>
      </c>
      <c r="B7" s="30" t="s">
        <v>630</v>
      </c>
      <c r="C7" s="30" t="s">
        <v>115</v>
      </c>
      <c r="D7" s="30" t="s">
        <v>613</v>
      </c>
      <c r="E7" s="30" t="s">
        <v>609</v>
      </c>
      <c r="F7" s="30" t="s">
        <v>624</v>
      </c>
      <c r="G7" s="30">
        <v>300</v>
      </c>
    </row>
    <row r="8" spans="1:7">
      <c r="A8" s="46" t="s">
        <v>631</v>
      </c>
      <c r="B8" s="30" t="s">
        <v>619</v>
      </c>
      <c r="C8" s="30" t="s">
        <v>632</v>
      </c>
      <c r="D8" s="30" t="s">
        <v>633</v>
      </c>
      <c r="E8" s="30" t="s">
        <v>609</v>
      </c>
      <c r="F8" s="30" t="s">
        <v>634</v>
      </c>
      <c r="G8" s="30">
        <v>300</v>
      </c>
    </row>
    <row r="9" spans="1:7">
      <c r="A9" s="46" t="s">
        <v>635</v>
      </c>
      <c r="B9" s="30" t="s">
        <v>636</v>
      </c>
      <c r="C9" s="30" t="s">
        <v>637</v>
      </c>
      <c r="D9" s="30" t="s">
        <v>638</v>
      </c>
      <c r="E9" s="30" t="s">
        <v>609</v>
      </c>
      <c r="F9" s="30" t="s">
        <v>620</v>
      </c>
      <c r="G9" s="30">
        <v>300</v>
      </c>
    </row>
    <row r="10" spans="1:7">
      <c r="A10" s="46" t="s">
        <v>639</v>
      </c>
      <c r="B10" s="30" t="s">
        <v>640</v>
      </c>
      <c r="C10" s="30" t="s">
        <v>641</v>
      </c>
      <c r="D10" s="30" t="s">
        <v>642</v>
      </c>
      <c r="E10" s="30" t="s">
        <v>609</v>
      </c>
      <c r="F10" s="30" t="s">
        <v>643</v>
      </c>
      <c r="G10" s="30">
        <v>300</v>
      </c>
    </row>
    <row r="11" spans="1:7">
      <c r="A11" s="46" t="s">
        <v>644</v>
      </c>
      <c r="B11" s="30" t="s">
        <v>643</v>
      </c>
      <c r="C11" s="30" t="s">
        <v>636</v>
      </c>
      <c r="D11" s="30" t="s">
        <v>645</v>
      </c>
      <c r="E11" s="30" t="s">
        <v>134</v>
      </c>
      <c r="F11" s="30" t="s">
        <v>646</v>
      </c>
      <c r="G11" s="30">
        <v>300</v>
      </c>
    </row>
    <row r="12" spans="1:7">
      <c r="A12" s="46" t="s">
        <v>647</v>
      </c>
      <c r="B12" s="30" t="s">
        <v>648</v>
      </c>
      <c r="C12" s="30" t="s">
        <v>613</v>
      </c>
      <c r="D12" s="30" t="s">
        <v>613</v>
      </c>
      <c r="E12" s="30" t="s">
        <v>609</v>
      </c>
      <c r="F12" s="30" t="s">
        <v>640</v>
      </c>
      <c r="G12" s="30">
        <v>300</v>
      </c>
    </row>
    <row r="13" spans="1:7">
      <c r="A13" s="46" t="s">
        <v>649</v>
      </c>
      <c r="B13" s="30" t="s">
        <v>115</v>
      </c>
      <c r="C13" s="30" t="s">
        <v>630</v>
      </c>
      <c r="D13" s="30" t="s">
        <v>650</v>
      </c>
      <c r="E13" s="30" t="s">
        <v>609</v>
      </c>
      <c r="F13" s="30" t="s">
        <v>616</v>
      </c>
      <c r="G13" s="30">
        <v>300</v>
      </c>
    </row>
    <row r="14" spans="1:7">
      <c r="A14" s="46" t="s">
        <v>651</v>
      </c>
      <c r="B14" s="30" t="s">
        <v>652</v>
      </c>
      <c r="C14" s="30" t="s">
        <v>638</v>
      </c>
      <c r="D14" s="30" t="s">
        <v>613</v>
      </c>
      <c r="E14" s="30" t="s">
        <v>609</v>
      </c>
      <c r="F14" s="30" t="s">
        <v>115</v>
      </c>
      <c r="G14" s="30">
        <v>300</v>
      </c>
    </row>
    <row r="15" spans="1:7">
      <c r="A15" s="46" t="s">
        <v>653</v>
      </c>
      <c r="B15" s="30" t="s">
        <v>616</v>
      </c>
      <c r="C15" s="30" t="s">
        <v>654</v>
      </c>
      <c r="D15" s="30" t="s">
        <v>618</v>
      </c>
      <c r="E15" s="30" t="s">
        <v>134</v>
      </c>
      <c r="F15" s="30" t="s">
        <v>646</v>
      </c>
      <c r="G15" s="30">
        <v>300</v>
      </c>
    </row>
    <row r="16" spans="1:7">
      <c r="A16" s="46" t="s">
        <v>655</v>
      </c>
      <c r="B16" s="30" t="s">
        <v>656</v>
      </c>
      <c r="C16" s="30" t="s">
        <v>656</v>
      </c>
      <c r="D16" s="30" t="s">
        <v>613</v>
      </c>
      <c r="E16" s="30" t="s">
        <v>657</v>
      </c>
      <c r="F16" s="30" t="s">
        <v>658</v>
      </c>
      <c r="G16" s="30">
        <v>300</v>
      </c>
    </row>
    <row r="17" spans="1:7">
      <c r="A17" s="46" t="s">
        <v>659</v>
      </c>
      <c r="B17" s="30" t="s">
        <v>660</v>
      </c>
      <c r="C17" s="30" t="s">
        <v>661</v>
      </c>
      <c r="D17" s="30" t="s">
        <v>640</v>
      </c>
      <c r="E17" s="30" t="s">
        <v>609</v>
      </c>
      <c r="F17" s="30" t="s">
        <v>364</v>
      </c>
      <c r="G17" s="30">
        <v>300</v>
      </c>
    </row>
    <row r="18" spans="1:7">
      <c r="A18" s="46" t="s">
        <v>662</v>
      </c>
      <c r="B18" s="30" t="s">
        <v>663</v>
      </c>
      <c r="C18" s="30" t="s">
        <v>663</v>
      </c>
      <c r="D18" s="30" t="s">
        <v>293</v>
      </c>
      <c r="E18" s="30" t="s">
        <v>661</v>
      </c>
      <c r="F18" s="30" t="s">
        <v>620</v>
      </c>
      <c r="G18" s="30">
        <v>300</v>
      </c>
    </row>
    <row r="19" spans="1:7">
      <c r="A19" s="46" t="s">
        <v>664</v>
      </c>
      <c r="B19" s="30" t="s">
        <v>665</v>
      </c>
      <c r="C19" s="30" t="s">
        <v>625</v>
      </c>
      <c r="D19" s="30" t="s">
        <v>608</v>
      </c>
      <c r="E19" s="30" t="s">
        <v>609</v>
      </c>
      <c r="F19" s="30" t="s">
        <v>610</v>
      </c>
      <c r="G19" s="30">
        <v>300</v>
      </c>
    </row>
    <row r="20" spans="1:7">
      <c r="A20" s="46" t="s">
        <v>666</v>
      </c>
      <c r="B20" s="30" t="s">
        <v>623</v>
      </c>
      <c r="C20" s="30" t="s">
        <v>623</v>
      </c>
      <c r="D20" s="30" t="s">
        <v>127</v>
      </c>
      <c r="E20" s="30" t="s">
        <v>628</v>
      </c>
      <c r="F20" s="30" t="s">
        <v>658</v>
      </c>
      <c r="G20" s="30">
        <v>300</v>
      </c>
    </row>
    <row r="21" spans="1:7">
      <c r="A21" s="46" t="s">
        <v>667</v>
      </c>
      <c r="B21" s="30" t="s">
        <v>668</v>
      </c>
      <c r="C21" s="30" t="s">
        <v>669</v>
      </c>
      <c r="D21" s="30" t="s">
        <v>670</v>
      </c>
      <c r="E21" s="30" t="s">
        <v>637</v>
      </c>
      <c r="F21" s="30" t="s">
        <v>364</v>
      </c>
      <c r="G21" s="30">
        <v>300</v>
      </c>
    </row>
    <row r="22" spans="1:7">
      <c r="A22" s="46" t="s">
        <v>671</v>
      </c>
      <c r="B22" s="30" t="s">
        <v>607</v>
      </c>
      <c r="C22" s="30" t="s">
        <v>607</v>
      </c>
      <c r="D22" s="30" t="s">
        <v>658</v>
      </c>
      <c r="E22" s="30" t="s">
        <v>672</v>
      </c>
      <c r="F22" s="30" t="s">
        <v>632</v>
      </c>
      <c r="G22" s="30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Sheet6</vt:lpstr>
      <vt:lpstr>Sheet7</vt:lpstr>
      <vt:lpstr>Sheet8</vt:lpstr>
      <vt:lpstr>Sheet3</vt:lpstr>
      <vt:lpstr>Sheet4</vt:lpstr>
      <vt:lpstr>Sheet5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Azzam24</dc:creator>
  <cp:lastModifiedBy>Azzam24</cp:lastModifiedBy>
  <dcterms:created xsi:type="dcterms:W3CDTF">2025-09-19T06:51:04Z</dcterms:created>
  <dcterms:modified xsi:type="dcterms:W3CDTF">2025-09-20T11:12:14Z</dcterms:modified>
</cp:coreProperties>
</file>