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 tabRatio="969.3534100974309"/>
  </bookViews>
  <sheets>
    <sheet r:id="rId1" name="Cover_Assumptions" sheetId="1"/>
    <sheet r:id="rId2" name="Income_Statement" sheetId="2"/>
    <sheet r:id="rId3" name="Balance_Sheet" sheetId="3"/>
    <sheet r:id="rId4" name="Cash_Flow" sheetId="4"/>
    <sheet r:id="rId5" name="Revenue_Build" sheetId="5"/>
    <sheet r:id="rId6" name="COGS_OpEx" sheetId="6"/>
    <sheet r:id="rId7" name="PPE_Depreciation" sheetId="7"/>
    <sheet r:id="rId8" name="Working_Capital" sheetId="8"/>
    <sheet r:id="rId9" name="Debt_Interest" sheetId="9"/>
    <sheet r:id="rId10" name="Equity_Dividends" sheetId="10"/>
    <sheet r:id="rId11" name="Output_Ratios" sheetId="11"/>
    <sheet r:id="rId12" name="Audit_Checks" sheetId="12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<sst xmlns="http://schemas.openxmlformats.org/spreadsheetml/2006/main" count="177" uniqueCount="177">
  <si>
    <t>3-STATEMENT FINANCIAL MODEL</t>
  </si>
  <si>
    <t>Large Retail/Distribution Company</t>
  </si>
  <si>
    <t>$200M Revenue Base</t>
  </si>
  <si>
    <t>MODEL ASSUMPTIONS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</si>
  <si>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</si>
  <si>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</si>
  <si>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</si>
  <si>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</si>
  <si>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</si>
  <si>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</si>
  <si>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</si>
  <si>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</si>
  <si>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</si>
  <si>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REVENUE ASSUMPTIONS</t>
  </si>
  <si>
    <t>Base Revenue ($M)</t>
  </si>
  <si>
    <t>Revenue Growth Rate</t>
  </si>
  <si>
    <t>PROFITABILITY ASSUMPTIONS</t>
  </si>
  <si>
    <t>Gross Margin %</t>
  </si>
  <si>
    <t>Operating Expenses % of Revenue</t>
  </si>
  <si>
    <t>WORKING CAPITAL ASSUMPTIONS</t>
  </si>
  <si>
    <t>Days Accounts Receivable</t>
  </si>
  <si>
    <t>Days Inventory</t>
  </si>
  <si>
    <t>Days Accounts Payable</t>
  </si>
  <si>
    <t>CAPEX ASSUMPTIONS</t>
  </si>
  <si>
    <t>Capex % of Revenue</t>
  </si>
  <si>
    <t>Useful Life (Years)</t>
  </si>
  <si>
    <t>DEBT &amp; INTEREST ASSUMPTIONS</t>
  </si>
  <si>
    <t>Beginning Debt Balance ($M)</t>
  </si>
  <si>
    <t>Annual Debt Amortization ($M)</t>
  </si>
  <si>
    <t>Interest Rate</t>
  </si>
  <si>
    <t>TAX ASSUMPTIONS</t>
  </si>
  <si>
    <t>Tax Rate</t>
  </si>
  <si>
    <t>DIVIDEND ASSUMPTIONS</t>
  </si>
  <si>
    <t>Dividend Payout Ratio</t>
  </si>
  <si>
    <t>STARTING BALANCE SHEET ITEMS</t>
  </si>
  <si>
    <t>Beginning PP&amp;E, net ($M)</t>
  </si>
  <si>
    <t>Beginning Equity ($M)</t>
  </si>
  <si>
    <t>Other Current Assets ($M)</t>
  </si>
  <si>
    <t>Beginning Cash ($M)</t>
  </si>
  <si>
    <t>INCOME STATEMENT</t>
  </si>
  <si>
    <t>($M unless noted)</t>
  </si>
  <si>
    <t>Period</t>
  </si>
  <si>
    <t>Revenue</t>
  </si>
  <si>
    <t>Cost of Goods Sold</t>
  </si>
  <si>
    <t>Gross Profit</t>
  </si>
  <si>
    <t>Operating Expenses</t>
  </si>
  <si>
    <t>EBITDA</t>
  </si>
  <si>
    <t>EBITDA Margin %</t>
  </si>
  <si>
    <t>Depreciation</t>
  </si>
  <si>
    <t>EBIT</t>
  </si>
  <si>
    <t>Interest Expense</t>
  </si>
  <si>
    <t>Earnings Before Tax (EBT)</t>
  </si>
  <si>
    <t>Tax Expense</t>
  </si>
  <si>
    <t>Net Income</t>
  </si>
  <si>
    <t>Net Margin %</t>
  </si>
  <si>
    <t>BALANCE SHEET</t>
  </si>
  <si>
    <t>ASSETS</t>
  </si>
  <si>
    <t>Current Assets</t>
  </si>
  <si>
    <t>Cash &amp; Equivalents</t>
  </si>
  <si>
    <t>Accounts Receivable</t>
  </si>
  <si>
    <t>Inventory</t>
  </si>
  <si>
    <t>Other Current Assets</t>
  </si>
  <si>
    <t>Total Current Assets</t>
  </si>
  <si>
    <t>Fixed Assets</t>
  </si>
  <si>
    <t>PP&amp;E, net</t>
  </si>
  <si>
    <t>TOTAL ASSETS</t>
  </si>
  <si>
    <t>LIABILITIES</t>
  </si>
  <si>
    <t>Current Liabilities</t>
  </si>
  <si>
    <t>Accounts Payable</t>
  </si>
  <si>
    <t>Total Current Liabilities</t>
  </si>
  <si>
    <t>Long-term Debt</t>
  </si>
  <si>
    <t>TOTAL LIABILITIES</t>
  </si>
  <si>
    <t>EQUITY</t>
  </si>
  <si>
    <t>Total Equity</t>
  </si>
  <si>
    <t>TOTAL LIABILITIES &amp; EQUITY</t>
  </si>
  <si>
    <t>BALANCE CHECK</t>
  </si>
  <si>
    <t>CASH FLOW STATEMENT</t>
  </si>
  <si>
    <t>OPERATING ACTIVITIES</t>
  </si>
  <si>
    <t>(+) Depreciation</t>
  </si>
  <si>
    <t>(-) Change in NWC</t>
  </si>
  <si>
    <t>Cash from Operations</t>
  </si>
  <si>
    <t>INVESTING ACTIVITIES</t>
  </si>
  <si>
    <t>(-) Capex</t>
  </si>
  <si>
    <t>Cash from Investing</t>
  </si>
  <si>
    <t>FINANCING ACTIVITIES</t>
  </si>
  <si>
    <t>(-) Debt Paydown</t>
  </si>
  <si>
    <t>(-) Dividends</t>
  </si>
  <si>
    <t>Cash from Financing</t>
  </si>
  <si>
    <t>NET CHANGE IN CASH</t>
  </si>
  <si>
    <t>CASH RECONCILIATION</t>
  </si>
  <si>
    <t>Beginning Cash</t>
  </si>
  <si>
    <t>(+) Change in Cash</t>
  </si>
  <si>
    <t>Ending Cash</t>
  </si>
  <si>
    <t>REVENUE BUILD</t>
  </si>
  <si>
    <t>Revenue ($M)</t>
  </si>
  <si>
    <t>OUTPUT: Link to Income Statement</t>
  </si>
  <si>
    <t>COGS &amp; OPERATING EXPENSES</t>
  </si>
  <si>
    <t>COGS ($M)</t>
  </si>
  <si>
    <t>Operating Expenses ($M)</t>
  </si>
  <si>
    <t>OUTPUT: COGS links to Income Statement</t>
  </si>
  <si>
    <t>OUTPUT: OpEx links to Income Statement</t>
  </si>
  <si>
    <t>PP&amp;E &amp; DEPRECIATION SCHEDULE</t>
  </si>
  <si>
    <t>Capex ($M)</t>
  </si>
  <si>
    <t>PP&amp;E ROLLFORWARD</t>
  </si>
  <si>
    <t>Beginning PP&amp;E, net</t>
  </si>
  <si>
    <t>(+) Capex</t>
  </si>
  <si>
    <t>(-) Depreciation</t>
  </si>
  <si>
    <t>Ending PP&amp;E, net</t>
  </si>
  <si>
    <t>OUTPUT: Ending PP&amp;E links to Balance Sheet</t>
  </si>
  <si>
    <t>OUTPUT: Depreciation links to Income Statement &amp; Cash Flow</t>
  </si>
  <si>
    <t>WORKING CAPITAL SCHEDULE</t>
  </si>
  <si>
    <t>ACCOUNTS RECEIVABLE</t>
  </si>
  <si>
    <t>Days AR</t>
  </si>
  <si>
    <t>Accounts Receivable ($M)</t>
  </si>
  <si>
    <t>INVENTORY</t>
  </si>
  <si>
    <t>Inventory ($M)</t>
  </si>
  <si>
    <t>ACCOUNTS PAYABLE</t>
  </si>
  <si>
    <t>Days AP</t>
  </si>
  <si>
    <t>Accounts Payable ($M)</t>
  </si>
  <si>
    <t>NET WORKING CAPITAL</t>
  </si>
  <si>
    <t>Net Working Capital ($M)</t>
  </si>
  <si>
    <t>Change in NWC ($M)</t>
  </si>
  <si>
    <t>OUTPUT: AR, Inventory, AP link to Balance Sheet</t>
  </si>
  <si>
    <t>OUTPUT: Change in NWC links to Cash Flow Statement</t>
  </si>
  <si>
    <t>DEBT &amp; INTEREST SCHEDULE</t>
  </si>
  <si>
    <t>DEBT ROLLFORWARD</t>
  </si>
  <si>
    <t>(-) Debt Amortization ($M)</t>
  </si>
  <si>
    <t>Ending Debt Balance ($M)</t>
  </si>
  <si>
    <t>INTEREST EXPENSE</t>
  </si>
  <si>
    <t>Average Debt Balance ($M)</t>
  </si>
  <si>
    <t>Interest Expense ($M)</t>
  </si>
  <si>
    <t>OUTPUT: Ending Debt links to Balance Sheet</t>
  </si>
  <si>
    <t>OUTPUT: Interest Expense links to Income Statement</t>
  </si>
  <si>
    <t>OUTPUT: Debt Amortization links to Cash Flow Statement</t>
  </si>
  <si>
    <t>EQUITY &amp; DIVIDENDS SCHEDULE</t>
  </si>
  <si>
    <t>Net Income ($M)</t>
  </si>
  <si>
    <t>DIVIDEND CALCULATION</t>
  </si>
  <si>
    <t>Dividends ($M)</t>
  </si>
  <si>
    <t>EQUITY ROLLFORWARD</t>
  </si>
  <si>
    <t>(+) Net Income ($M)</t>
  </si>
  <si>
    <t>(-) Dividends ($M)</t>
  </si>
  <si>
    <t>Ending Equity ($M)</t>
  </si>
  <si>
    <t>OUTPUT: Ending Equity links to Balance Sheet</t>
  </si>
  <si>
    <t>OUTPUT: Dividends link to Cash Flow Statement</t>
  </si>
  <si>
    <t>MODEL OUTPUT &amp; KEY RATIOS</t>
  </si>
  <si>
    <t>REVENUE METRICS</t>
  </si>
  <si>
    <t>Revenue Growth %</t>
  </si>
  <si>
    <t>PROFITABILITY MARGINS</t>
  </si>
  <si>
    <t>RETURNS</t>
  </si>
  <si>
    <t>ROA (Return on Assets)</t>
  </si>
  <si>
    <t>ROE (Return on Equity)</t>
  </si>
  <si>
    <t>LEVERAGE RATIOS</t>
  </si>
  <si>
    <t>Debt / EBITDA</t>
  </si>
  <si>
    <t>Net Debt / EBITDA</t>
  </si>
  <si>
    <t>Interest Coverage (EBIT / Interest)</t>
  </si>
  <si>
    <t>WORKING CAPITAL METRICS</t>
  </si>
  <si>
    <t>Cash Conversion Cycle (Days)</t>
  </si>
  <si>
    <t>EBITDA ($M)</t>
  </si>
  <si>
    <t>CHART DATA</t>
  </si>
  <si>
    <t>Cash</t>
  </si>
  <si>
    <t>MODEL AUDIT CHECKS</t>
  </si>
  <si>
    <t>All checks must show PASS (green) for model integrity</t>
  </si>
  <si>
    <t>1. BALANCE SHEET CHECK</t>
  </si>
  <si>
    <t>Assets - Liabilities - Equity</t>
  </si>
  <si>
    <t>Status</t>
  </si>
  <si>
    <t>PASS</t>
  </si>
  <si>
    <t>FAIL</t>
  </si>
  <si>
    <t>2. CASH FLOW TIE-OUT</t>
  </si>
  <si>
    <t>CFS Ending Cash</t>
  </si>
  <si>
    <t>BS Cash</t>
  </si>
  <si>
    <t>Difference</t>
  </si>
  <si>
    <t>3. REVENUE GROWTH CHECK</t>
  </si>
  <si>
    <t>Expected Growth %</t>
  </si>
  <si>
    <t>4. GROSS MARGIN CHECK</t>
  </si>
  <si>
    <t>Expected Margin %</t>
  </si>
  <si>
    <t>OVERALL MODEL STATUS</t>
  </si>
  <si>
    <t>ERRORS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</si>
</sst>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74" formatCode="_([$$-409]* #,##0.00_);_([$$-409]* (#,##0.00);_([$$-409]* &quot;-&quot;??_);_(@_)"/>
    <numFmt numFmtId="914" formatCode="#,##0.0"/>
  </numFmts>
  <fonts count="5">
    <font>
      <b val="0"/>
      <i val="0"/>
      <sz val="12"/>
      <color theme="1"/>
      <name val="Aptos Narrow"/>
      <scheme val="minor"/>
    </font>
    <font>
      <name val="Calibri"/>
      <scheme val="minor"/>
    </font>
    <font>
      <color rgb="FF0000FF"/>
      <name val="Calibri"/>
      <scheme val="minor"/>
    </font>
    <font>
      <color rgb="FF008000"/>
      <name val="Calibri"/>
      <scheme val="minor"/>
    </font>
    <font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0" fillId="0" borderId="1"/>
  </cellStyleXfs>
  <cellXfs count="13">
    <xf numFmtId="0" fontId="0" fillId="0" borderId="1" xfId="0"/>
    <xf numFmtId="49" fontId="1" fillId="0" borderId="0" xfId="0">
      <alignment vertical="top"/>
    </xf>
    <xf numFmtId="3" fontId="2" fillId="0" borderId="0" xfId="0">
      <alignment vertical="top"/>
    </xf>
    <xf numFmtId="10" fontId="2" fillId="0" borderId="0" xfId="0">
      <alignment vertical="top"/>
    </xf>
    <xf numFmtId="574" fontId="3" fillId="0" borderId="0" xfId="0">
      <alignment vertical="top"/>
    </xf>
    <xf numFmtId="574" fontId="4" fillId="0" borderId="0" xfId="0">
      <alignment vertical="top"/>
    </xf>
    <xf numFmtId="10" fontId="4" fillId="0" borderId="0" xfId="0">
      <alignment vertical="top"/>
    </xf>
    <xf numFmtId="0" fontId="2" fillId="0" borderId="0" xfId="0">
      <alignment vertical="top"/>
    </xf>
    <xf numFmtId="3" fontId="1" fillId="0" borderId="0" xfId="0">
      <alignment vertical="top"/>
    </xf>
    <xf numFmtId="0" fontId="1" fillId="0" borderId="0" xfId="0">
      <alignment vertical="top"/>
    </xf>
    <xf numFmtId="10" fontId="1" fillId="0" borderId="0" xfId="0">
      <alignment vertical="top"/>
    </xf>
    <xf numFmtId="914" fontId="1" fillId="0" borderId="0" xfId="0">
      <alignment vertical="top"/>
    </xf>
    <xf numFmtId="574" fontId="1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theme" Target="theme/theme1.xml"/><Relationship Id="rId15" Type="http://schemas.openxmlformats.org/officeDocument/2006/relationships/sharedStrings" Target="sharedStrings.xml"/><Relationship Id="rId16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Revenue &amp; EBITDA Trend ($M)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ineChart chartType="8">
        <c:ser seriesType="2">
          <c:idx val="0"/>
          <c:order val="0"/>
          <c:spPr>
            <a:ln w="19050"/>
          </c:spPr>
          <c:cat>
            <c:strRef>
              <c:f>Output_Ratios!$B$33:$K$33</c:f>
            </c:strRef>
          </c:cat>
          <c:val>
            <c:numRef>
              <c:f>Output_Ratios!$B$34:$K$34</c:f>
              <c:numCache>
                <c:formatCode>General</c:formatCode>
              </c:numCache>
            </c:numRef>
          </c:val>
          <c:extLst/>
          <c:smooth val="0"/>
          <c:marker>
            <c:symbol val="none"/>
            <c:spPr/>
          </c:marker>
        </c:ser>
        <c:ser seriesType="2">
          <c:idx val="1"/>
          <c:order val="1"/>
          <c:spPr>
            <a:ln w="19050"/>
          </c:spPr>
          <c:cat>
            <c:strRef>
              <c:f>Output_Ratios!$B$33:$K$33</c:f>
            </c:strRef>
          </c:cat>
          <c:val>
            <c:numRef>
              <c:f>Output_Ratios!$B$35:$K$35</c:f>
              <c:numCache>
                <c:formatCode>General</c:formatCode>
              </c:numCache>
            </c:numRef>
          </c:val>
          <c:extLst/>
          <c:smooth val="0"/>
          <c:marker>
            <c:symbol val="none"/>
            <c:spPr/>
          </c:marker>
        </c:ser>
        <c:axId val="72077685"/>
        <c:axId val="60823538"/>
        <c:grouping val="standard"/>
        <c:varyColors val="0"/>
        <c:smooth val="0"/>
        <c:marker val="0"/>
      </c:lineChart>
      <c:catAx axisType="0">
        <c:axId val="72077685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60823538"/>
      </c:catAx>
      <c:valAx axisType="3">
        <c:axId val="60823538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72077685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Cash Balance Trend ($M)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spPr/>
          <c:cat>
            <c:strRef>
              <c:f>Output_Ratios!$B$36:$K$36</c:f>
            </c:strRef>
          </c:cat>
          <c:val>
            <c:numRef>
              <c:f>Output_Ratios!$B$37:$K$37</c:f>
              <c:numCache>
                <c:formatCode>General</c:formatCode>
              </c:numCache>
            </c:numRef>
          </c:val>
          <c:extLst/>
          <c:invertIfNegative val="0"/>
        </c:ser>
        <c:axId val="18151235"/>
        <c:axId val="21793079"/>
        <c:barDir val="col"/>
        <c:grouping val="clustered"/>
        <c:gapWidth val="150"/>
        <c:varyColors val="0"/>
        <c:overlap val="-27"/>
      </c:barChart>
      <c:catAx axisType="0">
        <c:axId val="18151235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21793079"/>
      </c:catAx>
      <c:valAx axisType="3">
        <c:axId val="21793079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18151235"/>
      </c:valAx>
      <c:spPr>
        <a:noFill/>
        <a:ln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171450</xdr:colOff>
      <xdr:row>0</xdr:row>
      <xdr:rowOff>0</xdr:rowOff>
    </xdr:from>
    <xdr:to>
      <xdr:col>20</xdr:col>
      <xdr:colOff>571500</xdr:colOff>
      <xdr:row>16</xdr:row>
      <xdr:rowOff>180975</xdr:rowOff>
    </xdr:to>
    <xdr:graphicFrame>
      <xdr:nvGraphicFramePr>
        <xdr:cNvPr id="2" name="Revenue_EBITDA_Chart"/>
        <xdr:cNvGraphicFramePr>
          <a:graphicFrameLocks noChangeAspect="0"/>
        </xdr:cNvGraphicFramePr>
      </xdr:nvGraphicFramePr>
      <xdr:xfrm>
        <a:off x="6667500" y="0"/>
        <a:ext cx="5715000" cy="3333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533400</xdr:colOff>
      <xdr:row>19</xdr:row>
      <xdr:rowOff>66675</xdr:rowOff>
    </xdr:from>
    <xdr:to>
      <xdr:col>22</xdr:col>
      <xdr:colOff>342900</xdr:colOff>
      <xdr:row>36</xdr:row>
      <xdr:rowOff>85725</xdr:rowOff>
    </xdr:to>
    <xdr:graphicFrame>
      <xdr:nvGraphicFramePr>
        <xdr:cNvPr id="3" name="Cash_Balance_Chart"/>
        <xdr:cNvGraphicFramePr>
          <a:graphicFrameLocks noChangeAspect="0"/>
        </xdr:cNvGraphicFramePr>
      </xdr:nvGraphicFramePr>
      <xdr:xfrm>
        <a:off x="7620000" y="3810000"/>
        <a:ext cx="5715000" cy="3390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BF59FFB-50AC-EAA8-7778-2C33ED1E7D12}" mc:Ignorable="x14ac xr xr2 xr3">
  <dimension ref="A1:GR50000"/>
  <sheetViews>
    <sheetView showGridLines="0" topLeftCell="A22" workbookViewId="0">
      <selection activeCell="A1" sqref="A1"/>
    </sheetView>
  </sheetViews>
  <sheetFormatPr defaultRowHeight="15" defaultColWidth="7.75390625" customHeight="1"/>
  <sheetData>
    <row r="2" ht="15.75" customHeight="1">
      <c r="B2" t="s">
        <v>0</v>
      </c>
    </row>
    <row r="3" ht="15.75" customHeight="1">
      <c r="B3" t="s">
        <v>1</v>
      </c>
    </row>
    <row r="4" ht="15.75" customHeight="1">
      <c r="B4" t="s">
        <v>2</v>
      </c>
    </row>
    <row r="6" ht="15.75" customHeight="1">
      <c r="B6" t="s">
        <v>3</v>
      </c>
    </row>
    <row r="7" ht="15.75" customHeight="1">
      <c r="C7" t="s">
        <v>4</v>
      </c>
      <c r="D7" t="s">
        <v>5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J7" t="s">
        <v>11</v>
      </c>
      <c r="K7" t="s">
        <v>12</v>
      </c>
    </row>
    <row r="9" ht="15.75" customHeight="1">
      <c r="B9" t="s">
        <v>13</v>
      </c>
    </row>
    <row r="10" ht="15.75" customHeight="1">
      <c r="B10" s="1" t="s">
        <v>14</v>
      </c>
      <c r="C10" s="2">
        <v>200</v>
      </c>
    </row>
    <row r="11" ht="15.75" customHeight="1">
      <c r="B11" s="1" t="s">
        <v>15</v>
      </c>
      <c r="D11" s="3">
        <v>0.13</v>
      </c>
      <c r="E11" s="3">
        <v>0.145</v>
      </c>
      <c r="F11" s="3">
        <v>0.12</v>
      </c>
      <c r="G11" s="3">
        <v>0.1</v>
      </c>
      <c r="H11" s="3">
        <v>0.08</v>
      </c>
      <c r="I11" s="3">
        <v>0.07</v>
      </c>
      <c r="J11" s="3">
        <v>0.06</v>
      </c>
      <c r="K11" s="3">
        <v>0.06</v>
      </c>
    </row>
    <row r="13" ht="15.75" customHeight="1">
      <c r="B13" t="s">
        <v>16</v>
      </c>
    </row>
    <row r="14" ht="15.75" customHeight="1">
      <c r="B14" s="1" t="s">
        <v>17</v>
      </c>
      <c r="C14" s="3">
        <v>0.25</v>
      </c>
      <c r="D14" s="3">
        <v>0.26</v>
      </c>
      <c r="E14" s="3">
        <v>0.27</v>
      </c>
      <c r="F14" s="3">
        <v>0.275</v>
      </c>
      <c r="G14" s="3">
        <v>0.28</v>
      </c>
      <c r="H14" s="3">
        <v>0.285</v>
      </c>
      <c r="I14" s="3">
        <v>0.29</v>
      </c>
      <c r="J14" s="3">
        <v>0.295</v>
      </c>
      <c r="K14" s="3">
        <v>0.3</v>
      </c>
    </row>
    <row r="15" ht="15.75" customHeight="1">
      <c r="B15" s="1" t="s">
        <v>18</v>
      </c>
      <c r="C15" s="3">
        <v>0.18</v>
      </c>
      <c r="D15" s="3">
        <v>0.175</v>
      </c>
      <c r="E15" s="3">
        <v>0.17</v>
      </c>
      <c r="F15" s="3">
        <v>0.165</v>
      </c>
      <c r="G15" s="3">
        <v>0.16</v>
      </c>
      <c r="H15" s="3">
        <v>0.155</v>
      </c>
      <c r="I15" s="3">
        <v>0.15</v>
      </c>
      <c r="J15" s="3">
        <v>0.15</v>
      </c>
      <c r="K15" s="3">
        <v>0.15</v>
      </c>
    </row>
    <row r="17" ht="15.75" customHeight="1">
      <c r="B17" t="s">
        <v>19</v>
      </c>
    </row>
    <row r="18" ht="15.75" customHeight="1">
      <c r="B18" s="1" t="s">
        <v>20</v>
      </c>
      <c r="C18" s="2">
        <v>45</v>
      </c>
      <c r="D18" s="2">
        <v>42</v>
      </c>
      <c r="E18" s="2">
        <v>40</v>
      </c>
      <c r="F18" s="2">
        <v>38</v>
      </c>
      <c r="G18" s="2">
        <v>35</v>
      </c>
      <c r="H18" s="2">
        <v>35</v>
      </c>
      <c r="I18" s="2">
        <v>35</v>
      </c>
      <c r="J18" s="2">
        <v>35</v>
      </c>
      <c r="K18" s="2">
        <v>35</v>
      </c>
    </row>
    <row r="19" ht="15.75" customHeight="1">
      <c r="B19" s="1" t="s">
        <v>21</v>
      </c>
      <c r="C19" s="2">
        <v>75</v>
      </c>
      <c r="D19" s="2">
        <v>72</v>
      </c>
      <c r="E19" s="2">
        <v>70</v>
      </c>
      <c r="F19" s="2">
        <v>68</v>
      </c>
      <c r="G19" s="2">
        <v>65</v>
      </c>
      <c r="H19" s="2">
        <v>65</v>
      </c>
      <c r="I19" s="2">
        <v>65</v>
      </c>
      <c r="J19" s="2">
        <v>65</v>
      </c>
      <c r="K19" s="2">
        <v>65</v>
      </c>
    </row>
    <row r="20" ht="15.75" customHeight="1">
      <c r="B20" s="1" t="s">
        <v>22</v>
      </c>
      <c r="C20" s="2">
        <v>45</v>
      </c>
      <c r="D20" s="2">
        <v>48</v>
      </c>
      <c r="E20" s="2">
        <v>50</v>
      </c>
      <c r="F20" s="2">
        <v>52</v>
      </c>
      <c r="G20" s="2">
        <v>55</v>
      </c>
      <c r="H20" s="2">
        <v>55</v>
      </c>
      <c r="I20" s="2">
        <v>55</v>
      </c>
      <c r="J20" s="2">
        <v>55</v>
      </c>
      <c r="K20" s="2">
        <v>55</v>
      </c>
    </row>
    <row r="22" ht="15.75" customHeight="1">
      <c r="B22" t="s">
        <v>23</v>
      </c>
    </row>
    <row r="23" ht="15.75" customHeight="1">
      <c r="B23" s="1" t="s">
        <v>24</v>
      </c>
      <c r="C23" s="3">
        <v>0.045</v>
      </c>
      <c r="D23" s="3">
        <v>0.05</v>
      </c>
      <c r="E23" s="3">
        <v>0.045</v>
      </c>
      <c r="F23" s="3">
        <v>0.04</v>
      </c>
      <c r="G23" s="3">
        <v>0.035</v>
      </c>
      <c r="H23" s="3">
        <v>0.03</v>
      </c>
      <c r="I23" s="3">
        <v>0.03</v>
      </c>
      <c r="J23" s="3">
        <v>0.03</v>
      </c>
      <c r="K23" s="3">
        <v>0.03</v>
      </c>
    </row>
    <row r="24" ht="15.75" customHeight="1">
      <c r="B24" s="1" t="s">
        <v>25</v>
      </c>
      <c r="C24" s="2">
        <v>10</v>
      </c>
    </row>
    <row r="26" ht="15.75" customHeight="1">
      <c r="B26" t="s">
        <v>26</v>
      </c>
    </row>
    <row r="27" ht="15.75" customHeight="1">
      <c r="B27" s="1" t="s">
        <v>27</v>
      </c>
      <c r="C27" s="2">
        <v>50</v>
      </c>
    </row>
    <row r="28" ht="15.75" customHeight="1">
      <c r="B28" s="1" t="s">
        <v>28</v>
      </c>
      <c r="C28" s="2">
        <v>5</v>
      </c>
    </row>
    <row r="29" ht="15.75" customHeight="1">
      <c r="B29" s="1" t="s">
        <v>29</v>
      </c>
      <c r="C29" s="3">
        <v>0.055</v>
      </c>
    </row>
    <row r="31" ht="15.75" customHeight="1">
      <c r="B31" t="s">
        <v>30</v>
      </c>
    </row>
    <row r="32" ht="15.75" customHeight="1">
      <c r="B32" s="1" t="s">
        <v>31</v>
      </c>
      <c r="C32" s="3">
        <v>0.28</v>
      </c>
    </row>
    <row r="34" ht="15.75" customHeight="1">
      <c r="B34" t="s">
        <v>32</v>
      </c>
    </row>
    <row r="35" ht="15.75" customHeight="1">
      <c r="B35" s="1" t="s">
        <v>33</v>
      </c>
      <c r="C35" s="3">
        <v>0.35</v>
      </c>
    </row>
    <row r="37" ht="15.75" customHeight="1">
      <c r="B37" t="s">
        <v>34</v>
      </c>
    </row>
    <row r="38" ht="15.75" customHeight="1">
      <c r="B38" s="1" t="s">
        <v>35</v>
      </c>
      <c r="C38" s="2">
        <v>40</v>
      </c>
    </row>
    <row r="39" ht="15.75" customHeight="1">
      <c r="B39" s="1" t="s">
        <v>36</v>
      </c>
      <c r="C39" s="2">
        <v>80</v>
      </c>
    </row>
    <row r="40" ht="15.75" customHeight="1">
      <c r="B40" s="1" t="s">
        <v>37</v>
      </c>
      <c r="C40" s="2">
        <v>5</v>
      </c>
      <c r="D40" s="2">
        <v>5</v>
      </c>
      <c r="E40" s="2">
        <v>5</v>
      </c>
      <c r="F40" s="2">
        <v>5</v>
      </c>
      <c r="G40" s="2">
        <v>5</v>
      </c>
      <c r="H40" s="2">
        <v>5</v>
      </c>
      <c r="I40" s="2">
        <v>5</v>
      </c>
      <c r="J40" s="2">
        <v>5</v>
      </c>
      <c r="K40" s="2">
        <v>5</v>
      </c>
    </row>
    <row r="41" ht="15.75" customHeight="1">
      <c r="B41" s="1" t="s">
        <v>38</v>
      </c>
      <c r="C41" s="2">
        <v>41.469999999999985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6BF0407-8F37-2E98-B082-EA018520E448}" mc:Ignorable="x14ac xr xr2 xr3">
  <dimension ref="A1:GR50000"/>
  <sheetViews>
    <sheetView showGridLines="0" topLeftCell="A7" workbookViewId="0" tabSelected="1">
      <selection activeCell="A1" sqref="A1:GR50000"/>
    </sheetView>
  </sheetViews>
  <sheetFormatPr defaultRowHeight="15" defaultColWidth="7.75390625" customHeight="1"/>
  <cols>
    <col min="2" max="2" width="19.75390625" customWidth="1"/>
    <col min="3" max="11" width="8.00390625" customWidth="1"/>
  </cols>
  <sheetData>
    <row r="2" ht="15.75" customHeight="1">
      <c r="B2" t="s">
        <v>39</v>
      </c>
    </row>
    <row r="3" ht="15.75" customHeight="1">
      <c r="B3" t="s">
        <v>40</v>
      </c>
    </row>
    <row r="5" ht="15.75" customHeight="1">
      <c r="B5" t="s">
        <v>41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</row>
    <row r="7" ht="15.75" customHeight="1">
      <c r="B7" t="s">
        <v>42</v>
      </c>
      <c r="C7" s="4" cm="1">
        <f t="array" ref="C7">Revenue_Build!C8</f>
        <v>200</v>
      </c>
      <c r="D7" s="4" cm="1">
        <f t="array" ref="D7">Revenue_Build!D8</f>
        <v>226</v>
      </c>
      <c r="E7" s="4" cm="1">
        <f t="array" ref="E7">Revenue_Build!E8</f>
        <v>258.77</v>
      </c>
      <c r="F7" s="4" cm="1">
        <f t="array" ref="F7">Revenue_Build!F8</f>
        <v>289.8224</v>
      </c>
      <c r="G7" s="4" cm="1">
        <f t="array" ref="G7">Revenue_Build!G8</f>
        <v>318.80464</v>
      </c>
      <c r="H7" s="4" cm="1">
        <f t="array" ref="H7">Revenue_Build!H8</f>
        <v>344.3090112</v>
      </c>
      <c r="I7" s="4" cm="1">
        <f t="array" ref="I7">Revenue_Build!I8</f>
        <v>368.410641984</v>
      </c>
      <c r="J7" s="4" cm="1">
        <f t="array" ref="J7">Revenue_Build!J8</f>
        <v>390.51528050304</v>
      </c>
      <c r="K7" s="4" cm="1">
        <f t="array" ref="K7">Revenue_Build!K8</f>
        <v>413.946197333222</v>
      </c>
    </row>
    <row r="8" ht="15.75" customHeight="1">
      <c r="B8" t="s">
        <v>43</v>
      </c>
      <c r="C8" s="4">
        <f>-COGS_OpEx!C10</f>
        <v>-150</v>
      </c>
      <c r="D8" s="4">
        <f>-COGS_OpEx!D10</f>
        <v>-167.24</v>
      </c>
      <c r="E8" s="4">
        <f>-COGS_OpEx!E10</f>
        <v>-188.9021</v>
      </c>
      <c r="F8" s="4">
        <f>-COGS_OpEx!F10</f>
        <v>-210.12124</v>
      </c>
      <c r="G8" s="4">
        <f>-COGS_OpEx!G10</f>
        <v>-229.5393408</v>
      </c>
      <c r="H8" s="4">
        <f>-COGS_OpEx!H10</f>
        <v>-246.180943008</v>
      </c>
      <c r="I8" s="4">
        <f>-COGS_OpEx!I10</f>
        <v>-261.57155580864</v>
      </c>
      <c r="J8" s="4">
        <f>-COGS_OpEx!J10</f>
        <v>-275.313272754643</v>
      </c>
      <c r="K8" s="4">
        <f>-COGS_OpEx!K10</f>
        <v>-289.762338133255</v>
      </c>
    </row>
    <row r="10" ht="15.75" customHeight="1">
      <c r="B10" t="s">
        <v>44</v>
      </c>
      <c r="C10" s="5">
        <f t="shared" si="0" ref="C10:K26">C7+C8</f>
        <v>50</v>
      </c>
      <c r="D10" s="5">
        <f t="shared" si="0"/>
        <v>58.76</v>
      </c>
      <c r="E10" s="5">
        <f t="shared" si="0"/>
        <v>69.8679</v>
      </c>
      <c r="F10" s="5">
        <f t="shared" si="0"/>
        <v>79.70116</v>
      </c>
      <c r="G10" s="5">
        <f t="shared" si="0"/>
        <v>89.2652992</v>
      </c>
      <c r="H10" s="5">
        <f t="shared" si="0"/>
        <v>98.128068192</v>
      </c>
      <c r="I10" s="5">
        <f t="shared" si="0"/>
        <v>106.83908617536</v>
      </c>
      <c r="J10" s="5">
        <f t="shared" si="0"/>
        <v>115.202007748397</v>
      </c>
      <c r="K10" s="5">
        <f t="shared" si="0"/>
        <v>124.183859199967</v>
      </c>
    </row>
    <row r="11" ht="15.75" customHeight="1">
      <c r="B11" t="s">
        <v>17</v>
      </c>
      <c r="C11" s="6">
        <f t="shared" si="1" ref="C11:K11">C10/C7</f>
        <v>0.25</v>
      </c>
      <c r="D11" s="6">
        <f t="shared" si="1"/>
        <v>0.26</v>
      </c>
      <c r="E11" s="6">
        <f t="shared" si="1"/>
        <v>0.27</v>
      </c>
      <c r="F11" s="6">
        <f t="shared" si="1"/>
        <v>0.275</v>
      </c>
      <c r="G11" s="6">
        <f t="shared" si="1"/>
        <v>0.28</v>
      </c>
      <c r="H11" s="6">
        <f t="shared" si="1"/>
        <v>0.285</v>
      </c>
      <c r="I11" s="6">
        <f t="shared" si="1"/>
        <v>0.29</v>
      </c>
      <c r="J11" s="6">
        <f t="shared" si="1"/>
        <v>0.295</v>
      </c>
      <c r="K11" s="6">
        <f t="shared" si="1"/>
        <v>0.3</v>
      </c>
    </row>
    <row r="13" ht="15.75" customHeight="1">
      <c r="B13" t="s">
        <v>45</v>
      </c>
      <c r="C13" s="4">
        <f>-COGS_OpEx!C14</f>
        <v>-36</v>
      </c>
      <c r="D13" s="4">
        <f>-COGS_OpEx!D14</f>
        <v>-39.55</v>
      </c>
      <c r="E13" s="4">
        <f>-COGS_OpEx!E14</f>
        <v>-43.9909</v>
      </c>
      <c r="F13" s="4">
        <f>-COGS_OpEx!F14</f>
        <v>-47.820696</v>
      </c>
      <c r="G13" s="4">
        <f>-COGS_OpEx!G14</f>
        <v>-51.0087424</v>
      </c>
      <c r="H13" s="4">
        <f>-COGS_OpEx!H14</f>
        <v>-53.367896736</v>
      </c>
      <c r="I13" s="4">
        <f>-COGS_OpEx!I14</f>
        <v>-55.2615962976</v>
      </c>
      <c r="J13" s="4">
        <f>-COGS_OpEx!J14</f>
        <v>-58.577292075456</v>
      </c>
      <c r="K13" s="4">
        <f>-COGS_OpEx!K14</f>
        <v>-62.0919295999833</v>
      </c>
    </row>
    <row r="15" ht="15.75" customHeight="1">
      <c r="B15" t="s">
        <v>46</v>
      </c>
      <c r="C15" s="5">
        <f t="shared" si="2" ref="C15:K20">C10+C13</f>
        <v>14</v>
      </c>
      <c r="D15" s="5">
        <f t="shared" si="2"/>
        <v>19.21</v>
      </c>
      <c r="E15" s="5">
        <f t="shared" si="2"/>
        <v>25.877</v>
      </c>
      <c r="F15" s="5">
        <f t="shared" si="2"/>
        <v>31.880464</v>
      </c>
      <c r="G15" s="5">
        <f t="shared" si="2"/>
        <v>38.2565568</v>
      </c>
      <c r="H15" s="5">
        <f t="shared" si="2"/>
        <v>44.760171456</v>
      </c>
      <c r="I15" s="5">
        <f t="shared" si="2"/>
        <v>51.57748987776</v>
      </c>
      <c r="J15" s="5">
        <f t="shared" si="2"/>
        <v>56.624715672941</v>
      </c>
      <c r="K15" s="5">
        <f t="shared" si="2"/>
        <v>62.0919295999837</v>
      </c>
    </row>
    <row r="16" ht="15.75" customHeight="1">
      <c r="B16" t="s">
        <v>47</v>
      </c>
      <c r="C16" s="6">
        <f t="shared" si="3" ref="C16:K16">C15/C7</f>
        <v>0.07</v>
      </c>
      <c r="D16" s="6">
        <f t="shared" si="3"/>
        <v>0.085</v>
      </c>
      <c r="E16" s="6">
        <f t="shared" si="3"/>
        <v>0.1</v>
      </c>
      <c r="F16" s="6">
        <f t="shared" si="3"/>
        <v>0.11</v>
      </c>
      <c r="G16" s="6">
        <f t="shared" si="3"/>
        <v>0.12</v>
      </c>
      <c r="H16" s="6">
        <f t="shared" si="3"/>
        <v>0.13</v>
      </c>
      <c r="I16" s="6">
        <f t="shared" si="3"/>
        <v>0.14</v>
      </c>
      <c r="J16" s="6">
        <f t="shared" si="3"/>
        <v>0.145</v>
      </c>
      <c r="K16" s="6">
        <f t="shared" si="3"/>
        <v>0.15</v>
      </c>
    </row>
    <row r="18" ht="15.75" customHeight="1">
      <c r="B18" t="s">
        <v>48</v>
      </c>
      <c r="C18" s="4">
        <f>-PPE_Depreciation!C15</f>
        <v>-4</v>
      </c>
      <c r="D18" s="4">
        <f>-PPE_Depreciation!D15</f>
        <v>-5.065</v>
      </c>
      <c r="E18" s="4">
        <f>-PPE_Depreciation!E15</f>
        <v>-5.7057325</v>
      </c>
      <c r="F18" s="4">
        <f>-PPE_Depreciation!F15</f>
        <v>-6.29703655</v>
      </c>
      <c r="G18" s="4">
        <f>-PPE_Depreciation!G15</f>
        <v>-6.804885815</v>
      </c>
      <c r="H18" s="4">
        <f>-PPE_Depreciation!H15</f>
        <v>-7.1987688703</v>
      </c>
      <c r="I18" s="4">
        <f>-PPE_Depreciation!I15</f>
        <v>-7.547971463046</v>
      </c>
      <c r="J18" s="4">
        <f>-PPE_Depreciation!J15</f>
        <v>-7.93156320047196</v>
      </c>
      <c r="K18" s="4">
        <f>-PPE_Depreciation!K15</f>
        <v>-8.34509909717917</v>
      </c>
    </row>
    <row r="20" ht="15.75" customHeight="1">
      <c r="B20" t="s">
        <v>49</v>
      </c>
      <c r="C20" s="5">
        <f t="shared" si="2"/>
        <v>10</v>
      </c>
      <c r="D20" s="5">
        <f t="shared" si="2"/>
        <v>14.145</v>
      </c>
      <c r="E20" s="5">
        <f t="shared" si="2"/>
        <v>20.1712675</v>
      </c>
      <c r="F20" s="5">
        <f t="shared" si="2"/>
        <v>25.58342745</v>
      </c>
      <c r="G20" s="5">
        <f t="shared" si="2"/>
        <v>31.451670985</v>
      </c>
      <c r="H20" s="5">
        <f t="shared" si="2"/>
        <v>37.5614025857</v>
      </c>
      <c r="I20" s="5">
        <f t="shared" si="2"/>
        <v>44.029518414714</v>
      </c>
      <c r="J20" s="5">
        <f t="shared" si="2"/>
        <v>48.693152472469</v>
      </c>
      <c r="K20" s="5">
        <f t="shared" si="2"/>
        <v>53.7468305028045</v>
      </c>
    </row>
    <row r="21" ht="15.75" customHeight="1">
      <c r="B21" t="s">
        <v>50</v>
      </c>
      <c r="C21" s="4">
        <f>-Debt_Interest!C14</f>
        <v>-2.6125</v>
      </c>
      <c r="D21" s="4">
        <f>-Debt_Interest!D14</f>
        <v>0</v>
      </c>
      <c r="E21" s="4">
        <f>-Debt_Interest!E14</f>
        <v>0</v>
      </c>
      <c r="F21" s="4">
        <f>-Debt_Interest!F14</f>
        <v>0</v>
      </c>
      <c r="G21" s="4">
        <f>-Debt_Interest!G14</f>
        <v>0</v>
      </c>
      <c r="H21" s="4">
        <f>-Debt_Interest!H14</f>
        <v>0</v>
      </c>
      <c r="I21" s="4">
        <f>-Debt_Interest!I14</f>
        <v>0</v>
      </c>
      <c r="J21" s="4">
        <f>-Debt_Interest!J14</f>
        <v>0</v>
      </c>
      <c r="K21" s="4">
        <f>-Debt_Interest!K14</f>
        <v>0</v>
      </c>
    </row>
    <row r="23" ht="15.75" customHeight="1">
      <c r="B23" t="s">
        <v>51</v>
      </c>
      <c r="C23" s="5">
        <f t="shared" si="0"/>
        <v>7.3875</v>
      </c>
      <c r="D23" s="5">
        <f t="shared" si="0"/>
        <v>14.145</v>
      </c>
      <c r="E23" s="5">
        <f t="shared" si="0"/>
        <v>20.1712675</v>
      </c>
      <c r="F23" s="5">
        <f t="shared" si="0"/>
        <v>25.58342745</v>
      </c>
      <c r="G23" s="5">
        <f t="shared" si="0"/>
        <v>31.451670985</v>
      </c>
      <c r="H23" s="5">
        <f t="shared" si="0"/>
        <v>37.5614025857</v>
      </c>
      <c r="I23" s="5">
        <f t="shared" si="0"/>
        <v>44.029518414714</v>
      </c>
      <c r="J23" s="5">
        <f t="shared" si="0"/>
        <v>48.693152472469</v>
      </c>
      <c r="K23" s="5">
        <f t="shared" si="0"/>
        <v>53.7468305028045</v>
      </c>
    </row>
    <row r="24" ht="15.75" customHeight="1">
      <c r="B24" t="s">
        <v>52</v>
      </c>
      <c r="C24" s="4">
        <f>-MAX(0,C23)*Cover_Assumptions!$C$32</f>
        <v>-2.0685</v>
      </c>
      <c r="D24" s="4">
        <f>-MAX(0,D23)*Cover_Assumptions!$C$32</f>
        <v>-3.9606</v>
      </c>
      <c r="E24" s="4">
        <f>-MAX(0,E23)*Cover_Assumptions!$C$32</f>
        <v>-5.6479549</v>
      </c>
      <c r="F24" s="4">
        <f>-MAX(0,F23)*Cover_Assumptions!$C$32</f>
        <v>-7.163359686</v>
      </c>
      <c r="G24" s="4">
        <f>-MAX(0,G23)*Cover_Assumptions!$C$32</f>
        <v>-8.8064678758</v>
      </c>
      <c r="H24" s="4">
        <f>-MAX(0,H23)*Cover_Assumptions!$C$32</f>
        <v>-10.517192723996</v>
      </c>
      <c r="I24" s="4">
        <f>-MAX(0,I23)*Cover_Assumptions!$C$32</f>
        <v>-12.3282651561199</v>
      </c>
      <c r="J24" s="4">
        <f>-MAX(0,J23)*Cover_Assumptions!$C$32</f>
        <v>-13.6340826922913</v>
      </c>
      <c r="K24" s="4">
        <f>-MAX(0,K23)*Cover_Assumptions!$C$32</f>
        <v>-15.0491125407853</v>
      </c>
    </row>
    <row r="26" ht="15.75" customHeight="1">
      <c r="B26" t="s">
        <v>53</v>
      </c>
      <c r="C26" s="5">
        <f t="shared" si="0"/>
        <v>5.319</v>
      </c>
      <c r="D26" s="5">
        <f t="shared" si="0"/>
        <v>10.1844</v>
      </c>
      <c r="E26" s="5">
        <f t="shared" si="0"/>
        <v>14.5233126</v>
      </c>
      <c r="F26" s="5">
        <f t="shared" si="0"/>
        <v>18.420067764</v>
      </c>
      <c r="G26" s="5">
        <f t="shared" si="0"/>
        <v>22.6452031092</v>
      </c>
      <c r="H26" s="5">
        <f t="shared" si="0"/>
        <v>27.044209861704</v>
      </c>
      <c r="I26" s="5">
        <f t="shared" si="0"/>
        <v>31.7012532585941</v>
      </c>
      <c r="J26" s="5">
        <f t="shared" si="0"/>
        <v>35.0590697801777</v>
      </c>
      <c r="K26" s="5">
        <f t="shared" si="0"/>
        <v>38.6977179620192</v>
      </c>
    </row>
    <row r="27" ht="15.75" customHeight="1">
      <c r="B27" t="s">
        <v>54</v>
      </c>
      <c r="C27" s="6">
        <f t="shared" si="4" ref="C27:K27">C26/C7</f>
        <v>0.026595</v>
      </c>
      <c r="D27" s="6">
        <f t="shared" si="4"/>
        <v>0.0450637168141593</v>
      </c>
      <c r="E27" s="6">
        <f t="shared" si="4"/>
        <v>0.0561244062294702</v>
      </c>
      <c r="F27" s="6">
        <f t="shared" si="4"/>
        <v>0.0635563978629671</v>
      </c>
      <c r="G27" s="6">
        <f t="shared" si="4"/>
        <v>0.0710315982515185</v>
      </c>
      <c r="H27" s="6">
        <f t="shared" si="4"/>
        <v>0.0785463318762655</v>
      </c>
      <c r="I27" s="6">
        <f t="shared" si="4"/>
        <v>0.086048690363214</v>
      </c>
      <c r="J27" s="6">
        <f t="shared" si="4"/>
        <v>0.0897764352140499</v>
      </c>
      <c r="K27" s="6">
        <f t="shared" si="4"/>
        <v>0.0934848978232501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E4572AD-0294-1AE8-DFF6-0CABC11B5C7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sheetData>
    <row r="2" ht="15.75" customHeight="1">
      <c r="B2" t="s">
        <v>55</v>
      </c>
    </row>
    <row r="3" ht="15.75" customHeight="1">
      <c r="B3" t="s">
        <v>40</v>
      </c>
    </row>
    <row r="5" ht="15.75" customHeight="1">
      <c r="B5" t="s">
        <v>41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</row>
    <row r="7" ht="15.75" customHeight="1">
      <c r="B7" t="s">
        <v>56</v>
      </c>
    </row>
    <row r="9" ht="15.75" customHeight="1">
      <c r="B9" t="s">
        <v>57</v>
      </c>
    </row>
    <row r="10" ht="15.75" customHeight="1">
      <c r="B10" t="s">
        <v>58</v>
      </c>
      <c r="C10" s="4" cm="1">
        <f t="array" ref="C10">Cover_Assumptions!C41</f>
        <v>41.469999999999985</v>
      </c>
      <c r="D10" s="4" cm="1">
        <f t="array" ref="D10">Cash_Flow!D30</f>
        <v>35.7226191780822</v>
      </c>
      <c r="E10" s="4" cm="1">
        <f t="array" ref="E10">Cash_Flow!E30</f>
        <v>37.5999403054794</v>
      </c>
      <c r="F10" s="4" cm="1">
        <f t="array" ref="F10">Cash_Flow!F30</f>
        <v>45.0492197427671</v>
      </c>
      <c r="G10" s="4" cm="1">
        <f t="array" ref="G10">Cash_Flow!G30</f>
        <v>60.8661742998438</v>
      </c>
      <c r="H10" s="4" cm="1">
        <f t="array" ref="H10">Cash_Flow!H30</f>
        <v>76.878323753163</v>
      </c>
      <c r="I10" s="4" cm="1">
        <f t="array" ref="I10">Cash_Flow!I30</f>
        <v>97.3424533099504</v>
      </c>
      <c r="J10" s="4" cm="1">
        <f t="array" ref="J10">Cash_Flow!J30</f>
        <v>121.121519608039</v>
      </c>
      <c r="K10" s="4" cm="1">
        <f t="array" ref="K10">Cash_Flow!K30</f>
        <v>148.103285698357</v>
      </c>
    </row>
    <row r="11" ht="15.75" customHeight="1">
      <c r="B11" t="s">
        <v>59</v>
      </c>
      <c r="C11" s="4" cm="1">
        <f t="array" ref="C11">Working_Capital!C11</f>
        <v>24.6575342465753</v>
      </c>
      <c r="D11" s="4" cm="1">
        <f t="array" ref="D11">Working_Capital!D11</f>
        <v>26.0054794520548</v>
      </c>
      <c r="E11" s="4" cm="1">
        <f t="array" ref="E11">Working_Capital!E11</f>
        <v>28.3583561643836</v>
      </c>
      <c r="F11" s="4" cm="1">
        <f t="array" ref="F11">Working_Capital!F11</f>
        <v>30.1732909589041</v>
      </c>
      <c r="G11" s="4" cm="1">
        <f t="array" ref="G11">Working_Capital!G11</f>
        <v>30.5703079452055</v>
      </c>
      <c r="H11" s="4" cm="1">
        <f t="array" ref="H11">Working_Capital!H11</f>
        <v>33.0159325808219</v>
      </c>
      <c r="I11" s="4" cm="1">
        <f t="array" ref="I11">Working_Capital!I11</f>
        <v>35.3270478614794</v>
      </c>
      <c r="J11" s="4" cm="1">
        <f t="array" ref="J11">Working_Capital!J11</f>
        <v>37.4466707331682</v>
      </c>
      <c r="K11" s="4" cm="1">
        <f t="array" ref="K11">Working_Capital!K11</f>
        <v>39.6934709771583</v>
      </c>
    </row>
    <row r="12" ht="15.75" customHeight="1">
      <c r="B12" t="s">
        <v>60</v>
      </c>
      <c r="C12" s="4" cm="1">
        <f t="array" ref="C12">Working_Capital!C15</f>
        <v>30.8219178082192</v>
      </c>
      <c r="D12" s="4" cm="1">
        <f t="array" ref="D12">Working_Capital!D15</f>
        <v>32.9898082191781</v>
      </c>
      <c r="E12" s="4" cm="1">
        <f t="array" ref="E12">Working_Capital!E15</f>
        <v>36.2278</v>
      </c>
      <c r="F12" s="4" cm="1">
        <f t="array" ref="F12">Working_Capital!F15</f>
        <v>39.1458748493151</v>
      </c>
      <c r="G12" s="4" cm="1">
        <f t="array" ref="G12">Working_Capital!G15</f>
        <v>40.876868909589</v>
      </c>
      <c r="H12" s="4" cm="1">
        <f t="array" ref="H12">Working_Capital!H15</f>
        <v>43.8404419055342</v>
      </c>
      <c r="I12" s="4" cm="1">
        <f t="array" ref="I12">Working_Capital!I15</f>
        <v>46.5812359659222</v>
      </c>
      <c r="J12" s="4" cm="1">
        <f t="array" ref="J12">Working_Capital!J15</f>
        <v>49.0283910384981</v>
      </c>
      <c r="K12" s="4" cm="1">
        <f t="array" ref="K12">Working_Capital!K15</f>
        <v>51.6015122703057</v>
      </c>
    </row>
    <row r="13" ht="15.75" customHeight="1">
      <c r="B13" t="s">
        <v>61</v>
      </c>
      <c r="C13" s="4" cm="1">
        <f t="array" ref="C13">Cover_Assumptions!C40</f>
        <v>5</v>
      </c>
      <c r="D13" s="4" cm="1">
        <f t="array" ref="D13">Cover_Assumptions!D40</f>
        <v>5</v>
      </c>
      <c r="E13" s="4" cm="1">
        <f t="array" ref="E13">Cover_Assumptions!E40</f>
        <v>5</v>
      </c>
      <c r="F13" s="4" cm="1">
        <f t="array" ref="F13">Cover_Assumptions!F40</f>
        <v>5</v>
      </c>
      <c r="G13" s="4" cm="1">
        <f t="array" ref="G13">Cover_Assumptions!G40</f>
        <v>5</v>
      </c>
      <c r="H13" s="4" cm="1">
        <f t="array" ref="H13">Cover_Assumptions!H40</f>
        <v>5</v>
      </c>
      <c r="I13" s="4" cm="1">
        <f t="array" ref="I13">Cover_Assumptions!I40</f>
        <v>5</v>
      </c>
      <c r="J13" s="4" cm="1">
        <f t="array" ref="J13">Cover_Assumptions!J40</f>
        <v>5</v>
      </c>
      <c r="K13" s="4" cm="1">
        <f t="array" ref="K13">Cover_Assumptions!K40</f>
        <v>5</v>
      </c>
    </row>
    <row r="15" ht="15.75" customHeight="1">
      <c r="B15" t="s">
        <v>62</v>
      </c>
      <c r="C15" s="5">
        <f t="shared" si="0" ref="C15:K15">SUM(C10:C13)</f>
        <v>101.949452054794</v>
      </c>
      <c r="D15" s="5">
        <f t="shared" si="0"/>
        <v>99.7179068493151</v>
      </c>
      <c r="E15" s="5">
        <f t="shared" si="0"/>
        <v>107.186096469863</v>
      </c>
      <c r="F15" s="5">
        <f t="shared" si="0"/>
        <v>119.368385550986</v>
      </c>
      <c r="G15" s="5">
        <f t="shared" si="0"/>
        <v>137.313351154638</v>
      </c>
      <c r="H15" s="5">
        <f t="shared" si="0"/>
        <v>158.734698239519</v>
      </c>
      <c r="I15" s="5">
        <f t="shared" si="0"/>
        <v>184.250737137352</v>
      </c>
      <c r="J15" s="5">
        <f t="shared" si="0"/>
        <v>212.596581379705</v>
      </c>
      <c r="K15" s="5">
        <f t="shared" si="0"/>
        <v>244.398268945821</v>
      </c>
    </row>
    <row r="17" ht="15.75" customHeight="1">
      <c r="B17" t="s">
        <v>63</v>
      </c>
    </row>
    <row r="18" ht="15.75" customHeight="1">
      <c r="B18" t="s">
        <v>64</v>
      </c>
      <c r="C18" s="4" cm="1">
        <f t="array" ref="C18">PPE_Depreciation!C17</f>
        <v>45</v>
      </c>
      <c r="D18" s="4" cm="1">
        <f t="array" ref="D18">PPE_Depreciation!D17</f>
        <v>51.235</v>
      </c>
      <c r="E18" s="4" cm="1">
        <f t="array" ref="E18">PPE_Depreciation!E17</f>
        <v>57.1739175</v>
      </c>
      <c r="F18" s="4" cm="1">
        <f t="array" ref="F18">PPE_Depreciation!F17</f>
        <v>62.46977695</v>
      </c>
      <c r="G18" s="4" cm="1">
        <f t="array" ref="G18">PPE_Depreciation!G17</f>
        <v>66.823053535</v>
      </c>
      <c r="H18" s="4" cm="1">
        <f t="array" ref="H18">PPE_Depreciation!H17</f>
        <v>69.9535550007</v>
      </c>
      <c r="I18" s="4" cm="1">
        <f t="array" ref="I18">PPE_Depreciation!I17</f>
        <v>73.457902797174</v>
      </c>
      <c r="J18" s="4" cm="1">
        <f t="array" ref="J18">PPE_Depreciation!J17</f>
        <v>77.2417980117933</v>
      </c>
      <c r="K18" s="4" cm="1">
        <f t="array" ref="K18">PPE_Depreciation!K17</f>
        <v>81.3150848346108</v>
      </c>
    </row>
    <row r="20" ht="15.75" customHeight="1">
      <c r="B20" t="s">
        <v>65</v>
      </c>
      <c r="C20" s="5">
        <f t="shared" si="1" ref="C20:K20">C15+C18</f>
        <v>146.949452054794</v>
      </c>
      <c r="D20" s="5">
        <f t="shared" si="1"/>
        <v>150.952906849315</v>
      </c>
      <c r="E20" s="5">
        <f t="shared" si="1"/>
        <v>164.360013969863</v>
      </c>
      <c r="F20" s="5">
        <f t="shared" si="1"/>
        <v>181.838162500986</v>
      </c>
      <c r="G20" s="5">
        <f t="shared" si="1"/>
        <v>204.136404689638</v>
      </c>
      <c r="H20" s="5">
        <f t="shared" si="1"/>
        <v>228.688253240219</v>
      </c>
      <c r="I20" s="5">
        <f t="shared" si="1"/>
        <v>257.708639934526</v>
      </c>
      <c r="J20" s="5">
        <f t="shared" si="1"/>
        <v>289.838379391498</v>
      </c>
      <c r="K20" s="5">
        <f t="shared" si="1"/>
        <v>325.713353780432</v>
      </c>
    </row>
    <row r="23" ht="15.75" customHeight="1">
      <c r="B23" t="s">
        <v>66</v>
      </c>
    </row>
    <row r="25" ht="15.75" customHeight="1">
      <c r="B25" t="s">
        <v>67</v>
      </c>
    </row>
    <row r="26" ht="15.75" customHeight="1">
      <c r="B26" t="s">
        <v>68</v>
      </c>
      <c r="C26" s="4" cm="1">
        <f t="array" ref="C26">Working_Capital!C19</f>
        <v>18.4931506849315</v>
      </c>
      <c r="D26" s="4" cm="1">
        <f t="array" ref="D26">Working_Capital!D19</f>
        <v>21.9932054794521</v>
      </c>
      <c r="E26" s="4" cm="1">
        <f t="array" ref="E26">Working_Capital!E19</f>
        <v>25.877</v>
      </c>
      <c r="F26" s="4" cm="1">
        <f t="array" ref="F26">Working_Capital!F19</f>
        <v>29.9350807671233</v>
      </c>
      <c r="G26" s="4" cm="1">
        <f t="array" ref="G26">Working_Capital!G19</f>
        <v>34.5881198465753</v>
      </c>
      <c r="H26" s="4" cm="1">
        <f t="array" ref="H26">Working_Capital!H19</f>
        <v>37.0957585354521</v>
      </c>
      <c r="I26" s="4" cm="1">
        <f t="array" ref="I26">Working_Capital!I19</f>
        <v>39.4148919711649</v>
      </c>
      <c r="J26" s="4" cm="1">
        <f t="array" ref="J26">Working_Capital!J19</f>
        <v>41.4855616479599</v>
      </c>
      <c r="K26" s="4" cm="1">
        <f t="array" ref="K26">Working_Capital!K19</f>
        <v>43.662818074874</v>
      </c>
    </row>
    <row r="28" ht="15.75" customHeight="1">
      <c r="B28" t="s">
        <v>69</v>
      </c>
      <c r="C28" s="5" cm="1">
        <f t="array" ref="C28">C26</f>
        <v>18.4931506849315</v>
      </c>
      <c r="D28" s="5" cm="1">
        <f t="array" ref="D28">D26</f>
        <v>21.9932054794521</v>
      </c>
      <c r="E28" s="5" cm="1">
        <f t="array" ref="E28">E26</f>
        <v>25.877</v>
      </c>
      <c r="F28" s="5" cm="1">
        <f t="array" ref="F28">F26</f>
        <v>29.9350807671233</v>
      </c>
      <c r="G28" s="5" cm="1">
        <f t="array" ref="G28">G26</f>
        <v>34.5881198465753</v>
      </c>
      <c r="H28" s="5" cm="1">
        <f t="array" ref="H28">H26</f>
        <v>37.0957585354521</v>
      </c>
      <c r="I28" s="5" cm="1">
        <f t="array" ref="I28">I26</f>
        <v>39.4148919711649</v>
      </c>
      <c r="J28" s="5" cm="1">
        <f t="array" ref="J28">J26</f>
        <v>41.4855616479599</v>
      </c>
      <c r="K28" s="5" cm="1">
        <f t="array" ref="K28">K26</f>
        <v>43.662818074874</v>
      </c>
    </row>
    <row r="30" ht="15.75" customHeight="1">
      <c r="B30" t="s">
        <v>70</v>
      </c>
      <c r="C30" s="4" cm="1">
        <f t="array" ref="C30">Debt_Interest!C9</f>
        <v>45</v>
      </c>
      <c r="D30" s="4" cm="1">
        <f t="array" ref="D30">Debt_Interest!D9</f>
        <v>40</v>
      </c>
      <c r="E30" s="4" cm="1">
        <f t="array" ref="E30">Debt_Interest!E9</f>
        <v>35</v>
      </c>
      <c r="F30" s="4" cm="1">
        <f t="array" ref="F30">Debt_Interest!F9</f>
        <v>30</v>
      </c>
      <c r="G30" s="4" cm="1">
        <f t="array" ref="G30">Debt_Interest!G9</f>
        <v>25</v>
      </c>
      <c r="H30" s="4" cm="1">
        <f t="array" ref="H30">Debt_Interest!H9</f>
        <v>20</v>
      </c>
      <c r="I30" s="4" cm="1">
        <f t="array" ref="I30">Debt_Interest!I9</f>
        <v>15</v>
      </c>
      <c r="J30" s="4" cm="1">
        <f t="array" ref="J30">Debt_Interest!J9</f>
        <v>10</v>
      </c>
      <c r="K30" s="4" cm="1">
        <f t="array" ref="K30">Debt_Interest!K9</f>
        <v>5</v>
      </c>
    </row>
    <row r="32" ht="15.75" customHeight="1">
      <c r="B32" t="s">
        <v>71</v>
      </c>
      <c r="C32" s="5">
        <f t="shared" si="2" ref="C32:K32">C28+C30</f>
        <v>63.4931506849315</v>
      </c>
      <c r="D32" s="5">
        <f t="shared" si="2"/>
        <v>61.9932054794521</v>
      </c>
      <c r="E32" s="5">
        <f t="shared" si="2"/>
        <v>60.877</v>
      </c>
      <c r="F32" s="5">
        <f t="shared" si="2"/>
        <v>59.9350807671233</v>
      </c>
      <c r="G32" s="5">
        <f t="shared" si="2"/>
        <v>59.5881198465753</v>
      </c>
      <c r="H32" s="5">
        <f t="shared" si="2"/>
        <v>57.0957585354521</v>
      </c>
      <c r="I32" s="5">
        <f t="shared" si="2"/>
        <v>54.4148919711649</v>
      </c>
      <c r="J32" s="5">
        <f t="shared" si="2"/>
        <v>51.4855616479599</v>
      </c>
      <c r="K32" s="5">
        <f t="shared" si="2"/>
        <v>48.662818074874</v>
      </c>
    </row>
    <row r="35" ht="15.75" customHeight="1">
      <c r="B35" t="s">
        <v>72</v>
      </c>
    </row>
    <row r="36" ht="15.75" customHeight="1">
      <c r="B36" t="s">
        <v>73</v>
      </c>
      <c r="C36" s="4" cm="1">
        <f t="array" ref="C36">Equity_Dividends!C17</f>
        <v>83.45735</v>
      </c>
      <c r="D36" s="4" cm="1">
        <f t="array" ref="D36">Equity_Dividends!D17</f>
        <v>93.64175</v>
      </c>
      <c r="E36" s="4" cm="1">
        <f t="array" ref="E36">Equity_Dividends!E17</f>
        <v>108.1650626</v>
      </c>
      <c r="F36" s="4" cm="1">
        <f t="array" ref="F36">Equity_Dividends!F17</f>
        <v>126.585130364</v>
      </c>
      <c r="G36" s="4" cm="1">
        <f t="array" ref="G36">Equity_Dividends!G17</f>
        <v>149.2303334732</v>
      </c>
      <c r="H36" s="4" cm="1">
        <f t="array" ref="H36">Equity_Dividends!H17</f>
        <v>176.274543334904</v>
      </c>
      <c r="I36" s="4" cm="1">
        <f t="array" ref="I36">Equity_Dividends!I17</f>
        <v>207.975796593498</v>
      </c>
      <c r="J36" s="4" cm="1">
        <f t="array" ref="J36">Equity_Dividends!J17</f>
        <v>243.034866373676</v>
      </c>
      <c r="K36" s="4" cm="1">
        <f t="array" ref="K36">Equity_Dividends!K17</f>
        <v>281.732584335695</v>
      </c>
    </row>
    <row r="38" ht="15.75" customHeight="1">
      <c r="B38" t="s">
        <v>74</v>
      </c>
      <c r="C38" s="5">
        <f t="shared" si="3" ref="C38:K38">C32+C36</f>
        <v>146.950500684932</v>
      </c>
      <c r="D38" s="5">
        <f t="shared" si="3"/>
        <v>155.634955479452</v>
      </c>
      <c r="E38" s="5">
        <f t="shared" si="3"/>
        <v>169.0420626</v>
      </c>
      <c r="F38" s="5">
        <f t="shared" si="3"/>
        <v>186.520211131123</v>
      </c>
      <c r="G38" s="5">
        <f t="shared" si="3"/>
        <v>208.818453319775</v>
      </c>
      <c r="H38" s="5">
        <f t="shared" si="3"/>
        <v>233.370301870356</v>
      </c>
      <c r="I38" s="5">
        <f t="shared" si="3"/>
        <v>262.390688564663</v>
      </c>
      <c r="J38" s="5">
        <f t="shared" si="3"/>
        <v>294.520428021636</v>
      </c>
      <c r="K38" s="5">
        <f t="shared" si="3"/>
        <v>330.395402410569</v>
      </c>
    </row>
    <row r="40" ht="15.75" customHeight="1">
      <c r="B40" t="s">
        <v>75</v>
      </c>
      <c r="C40" s="5">
        <f t="shared" si="4" ref="C40:K40">C20-C38</f>
        <v>-0.00104863013800127</v>
      </c>
      <c r="D40" s="5">
        <f t="shared" si="4"/>
        <v>-4.68204863013699</v>
      </c>
      <c r="E40" s="5">
        <f t="shared" si="4"/>
        <v>-4.68204863013702</v>
      </c>
      <c r="F40" s="5">
        <f t="shared" si="4"/>
        <v>-4.68204863013702</v>
      </c>
      <c r="G40" s="5">
        <f t="shared" si="4"/>
        <v>-4.68204863013699</v>
      </c>
      <c r="H40" s="5">
        <f t="shared" si="4"/>
        <v>-4.68204863013699</v>
      </c>
      <c r="I40" s="5">
        <f t="shared" si="4"/>
        <v>-4.68204863013699</v>
      </c>
      <c r="J40" s="5">
        <f t="shared" si="4"/>
        <v>-4.68204863013801</v>
      </c>
      <c r="K40" s="5">
        <f t="shared" si="4"/>
        <v>-4.68204863013699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3948805-C036-737D-7A88-598F08C407B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sheetData>
    <row r="2" ht="15.75" customHeight="1">
      <c r="B2" t="s">
        <v>76</v>
      </c>
    </row>
    <row r="3" ht="15.75" customHeight="1">
      <c r="B3" t="s">
        <v>40</v>
      </c>
    </row>
    <row r="5" ht="15.75" customHeight="1">
      <c r="B5" t="s">
        <v>41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</row>
    <row r="7" ht="15.75" customHeight="1">
      <c r="B7" t="s">
        <v>77</v>
      </c>
    </row>
    <row r="8" ht="15.75" customHeight="1">
      <c r="B8" t="s">
        <v>53</v>
      </c>
      <c r="C8" s="4" cm="1">
        <f t="array" ref="C8">Income_Statement!C26</f>
        <v>5.319</v>
      </c>
      <c r="D8" s="4" cm="1">
        <f t="array" ref="D8">Income_Statement!D26</f>
        <v>10.1844</v>
      </c>
      <c r="E8" s="4" cm="1">
        <f t="array" ref="E8">Income_Statement!E26</f>
        <v>14.5233126</v>
      </c>
      <c r="F8" s="4" cm="1">
        <f t="array" ref="F8">Income_Statement!F26</f>
        <v>18.420067764</v>
      </c>
      <c r="G8" s="4" cm="1">
        <f t="array" ref="G8">Income_Statement!G26</f>
        <v>22.6452031092</v>
      </c>
      <c r="H8" s="4" cm="1">
        <f t="array" ref="H8">Income_Statement!H26</f>
        <v>27.044209861704</v>
      </c>
      <c r="I8" s="4" cm="1">
        <f t="array" ref="I8">Income_Statement!I26</f>
        <v>31.7012532585941</v>
      </c>
      <c r="J8" s="4" cm="1">
        <f t="array" ref="J8">Income_Statement!J26</f>
        <v>35.0590697801777</v>
      </c>
      <c r="K8" s="4" cm="1">
        <f t="array" ref="K8">Income_Statement!K26</f>
        <v>38.6977179620192</v>
      </c>
    </row>
    <row r="9" ht="15.75" customHeight="1">
      <c r="B9" t="s">
        <v>78</v>
      </c>
      <c r="C9" s="4" cm="1">
        <f t="array" ref="C9">PPE_Depreciation!C15</f>
        <v>4</v>
      </c>
      <c r="D9" s="4" cm="1">
        <f t="array" ref="D9">PPE_Depreciation!D15</f>
        <v>5.065</v>
      </c>
      <c r="E9" s="4" cm="1">
        <f t="array" ref="E9">PPE_Depreciation!E15</f>
        <v>5.7057325</v>
      </c>
      <c r="F9" s="4" cm="1">
        <f t="array" ref="F9">PPE_Depreciation!F15</f>
        <v>6.29703655</v>
      </c>
      <c r="G9" s="4" cm="1">
        <f t="array" ref="G9">PPE_Depreciation!G15</f>
        <v>6.804885815</v>
      </c>
      <c r="H9" s="4" cm="1">
        <f t="array" ref="H9">PPE_Depreciation!H15</f>
        <v>7.1987688703</v>
      </c>
      <c r="I9" s="4" cm="1">
        <f t="array" ref="I9">PPE_Depreciation!I15</f>
        <v>7.547971463046</v>
      </c>
      <c r="J9" s="4" cm="1">
        <f t="array" ref="J9">PPE_Depreciation!J15</f>
        <v>7.93156320047196</v>
      </c>
      <c r="K9" s="4" cm="1">
        <f t="array" ref="K9">PPE_Depreciation!K15</f>
        <v>8.34509909717917</v>
      </c>
    </row>
    <row r="10" ht="15.75" customHeight="1">
      <c r="B10" t="s">
        <v>79</v>
      </c>
      <c r="C10" s="7">
        <v>0</v>
      </c>
      <c r="D10" s="4">
        <f>-Working_Capital!D24</f>
        <v>-0.0157808219178008</v>
      </c>
      <c r="E10" s="4">
        <f>-Working_Capital!E24</f>
        <v>-1.7070739726028</v>
      </c>
      <c r="F10" s="4">
        <f>-Working_Capital!F24</f>
        <v>-0.674928876712301</v>
      </c>
      <c r="G10" s="4">
        <f>-Working_Capital!G24</f>
        <v>2.5250280328767</v>
      </c>
      <c r="H10" s="4">
        <f>-Working_Capital!H24</f>
        <v>-2.90155894268479</v>
      </c>
      <c r="I10" s="4">
        <f>-Working_Capital!I24</f>
        <v>-2.7327759053327</v>
      </c>
      <c r="J10" s="4">
        <f>-Working_Capital!J24</f>
        <v>-2.4961082674697</v>
      </c>
      <c r="K10" s="4">
        <f>-Working_Capital!K24</f>
        <v>-2.6426650488836</v>
      </c>
    </row>
    <row r="12" ht="15.75" customHeight="1">
      <c r="B12" t="s">
        <v>80</v>
      </c>
      <c r="C12" s="5">
        <f>C8+C9</f>
        <v>9.319</v>
      </c>
      <c r="D12" s="5">
        <f t="shared" si="0" ref="D12:K12">D8+D9+D10</f>
        <v>15.2336191780822</v>
      </c>
      <c r="E12" s="5">
        <f t="shared" si="0"/>
        <v>18.5219711273972</v>
      </c>
      <c r="F12" s="5">
        <f t="shared" si="0"/>
        <v>24.0421754372877</v>
      </c>
      <c r="G12" s="5">
        <f t="shared" si="0"/>
        <v>31.9751169570767</v>
      </c>
      <c r="H12" s="5">
        <f t="shared" si="0"/>
        <v>31.3414197893192</v>
      </c>
      <c r="I12" s="5">
        <f t="shared" si="0"/>
        <v>36.5164488163074</v>
      </c>
      <c r="J12" s="5">
        <f t="shared" si="0"/>
        <v>40.49452471318</v>
      </c>
      <c r="K12" s="5">
        <f t="shared" si="0"/>
        <v>44.4001520103148</v>
      </c>
    </row>
    <row r="14" ht="15.75" customHeight="1">
      <c r="B14" t="s">
        <v>81</v>
      </c>
    </row>
    <row r="15" ht="15.75" customHeight="1">
      <c r="B15" t="s">
        <v>82</v>
      </c>
      <c r="C15" s="4">
        <f>-PPE_Depreciation!C10</f>
        <v>-9</v>
      </c>
      <c r="D15" s="4">
        <f>-PPE_Depreciation!D10</f>
        <v>-11.3</v>
      </c>
      <c r="E15" s="4">
        <f>-PPE_Depreciation!E10</f>
        <v>-11.64465</v>
      </c>
      <c r="F15" s="4">
        <f>-PPE_Depreciation!F10</f>
        <v>-11.592896</v>
      </c>
      <c r="G15" s="4">
        <f>-PPE_Depreciation!G10</f>
        <v>-11.1581624</v>
      </c>
      <c r="H15" s="4">
        <f>-PPE_Depreciation!H10</f>
        <v>-10.329270336</v>
      </c>
      <c r="I15" s="4">
        <f>-PPE_Depreciation!I10</f>
        <v>-11.05231925952</v>
      </c>
      <c r="J15" s="4">
        <f>-PPE_Depreciation!J10</f>
        <v>-11.7154584150912</v>
      </c>
      <c r="K15" s="4">
        <f>-PPE_Depreciation!K10</f>
        <v>-12.4183859199967</v>
      </c>
    </row>
    <row r="17" ht="15.75" customHeight="1">
      <c r="B17" t="s">
        <v>83</v>
      </c>
      <c r="C17" s="5" cm="1">
        <f t="array" ref="C17">C15</f>
        <v>-9</v>
      </c>
      <c r="D17" s="5" cm="1">
        <f t="array" ref="D17">D15</f>
        <v>-11.3</v>
      </c>
      <c r="E17" s="5" cm="1">
        <f t="array" ref="E17">E15</f>
        <v>-11.64465</v>
      </c>
      <c r="F17" s="5" cm="1">
        <f t="array" ref="F17">F15</f>
        <v>-11.592896</v>
      </c>
      <c r="G17" s="5" cm="1">
        <f t="array" ref="G17">G15</f>
        <v>-11.1581624</v>
      </c>
      <c r="H17" s="5" cm="1">
        <f t="array" ref="H17">H15</f>
        <v>-10.329270336</v>
      </c>
      <c r="I17" s="5" cm="1">
        <f t="array" ref="I17">I15</f>
        <v>-11.05231925952</v>
      </c>
      <c r="J17" s="5" cm="1">
        <f t="array" ref="J17">J15</f>
        <v>-11.7154584150912</v>
      </c>
      <c r="K17" s="5" cm="1">
        <f t="array" ref="K17">K15</f>
        <v>-12.4183859199967</v>
      </c>
    </row>
    <row r="19" ht="15.75" customHeight="1">
      <c r="B19" t="s">
        <v>84</v>
      </c>
    </row>
    <row r="20" ht="15.75" customHeight="1">
      <c r="B20" t="s">
        <v>85</v>
      </c>
      <c r="C20" s="4">
        <f>-Debt_Interest!C8</f>
        <v>-5</v>
      </c>
      <c r="D20" s="4">
        <f>-Debt_Interest!D8</f>
        <v>-5</v>
      </c>
      <c r="E20" s="4">
        <f>-Debt_Interest!E8</f>
        <v>-5</v>
      </c>
      <c r="F20" s="4">
        <f>-Debt_Interest!F8</f>
        <v>-5</v>
      </c>
      <c r="G20" s="4">
        <f>-Debt_Interest!G8</f>
        <v>-5</v>
      </c>
      <c r="H20" s="4">
        <f>-Debt_Interest!H8</f>
        <v>-5</v>
      </c>
      <c r="I20" s="4">
        <f>-Debt_Interest!I8</f>
        <v>-5</v>
      </c>
      <c r="J20" s="4">
        <f>-Debt_Interest!J8</f>
        <v>-5</v>
      </c>
      <c r="K20" s="4">
        <f>-Debt_Interest!K8</f>
        <v>-5</v>
      </c>
    </row>
    <row r="21" ht="15.75" customHeight="1">
      <c r="B21" t="s">
        <v>86</v>
      </c>
      <c r="C21" s="7">
        <v>0</v>
      </c>
      <c r="D21" s="4">
        <f>-Equity_Dividends!D10</f>
        <v>0</v>
      </c>
      <c r="E21" s="4">
        <f>-Equity_Dividends!E10</f>
        <v>0</v>
      </c>
      <c r="F21" s="4">
        <f>-Equity_Dividends!F10</f>
        <v>0</v>
      </c>
      <c r="G21" s="4">
        <f>-Equity_Dividends!G10</f>
        <v>0</v>
      </c>
      <c r="H21" s="4">
        <f>-Equity_Dividends!H10</f>
        <v>0</v>
      </c>
      <c r="I21" s="4">
        <f>-Equity_Dividends!I10</f>
        <v>0</v>
      </c>
      <c r="J21" s="4">
        <f>-Equity_Dividends!J10</f>
        <v>0</v>
      </c>
      <c r="K21" s="4">
        <f>-Equity_Dividends!K10</f>
        <v>0</v>
      </c>
    </row>
    <row r="23" ht="15.75" customHeight="1">
      <c r="B23" t="s">
        <v>87</v>
      </c>
      <c r="C23" s="5" cm="1">
        <f t="array" ref="C23">C20</f>
        <v>-5</v>
      </c>
      <c r="D23" s="5">
        <f t="shared" si="1" ref="D23:K23">D20+D21</f>
        <v>-5</v>
      </c>
      <c r="E23" s="5">
        <f t="shared" si="1"/>
        <v>-5</v>
      </c>
      <c r="F23" s="5">
        <f t="shared" si="1"/>
        <v>-5</v>
      </c>
      <c r="G23" s="5">
        <f t="shared" si="1"/>
        <v>-5</v>
      </c>
      <c r="H23" s="5">
        <f t="shared" si="1"/>
        <v>-5</v>
      </c>
      <c r="I23" s="5">
        <f t="shared" si="1"/>
        <v>-5</v>
      </c>
      <c r="J23" s="5">
        <f t="shared" si="1"/>
        <v>-5</v>
      </c>
      <c r="K23" s="5">
        <f t="shared" si="1"/>
        <v>-5</v>
      </c>
    </row>
    <row r="25" ht="15.75" customHeight="1">
      <c r="B25" t="s">
        <v>88</v>
      </c>
      <c r="C25" s="5">
        <f t="shared" si="2" ref="C25:K25">C12+C17+C23</f>
        <v>-4.681</v>
      </c>
      <c r="D25" s="5">
        <f t="shared" si="2"/>
        <v>-1.0663808219178</v>
      </c>
      <c r="E25" s="5">
        <f t="shared" si="2"/>
        <v>1.8773211273972</v>
      </c>
      <c r="F25" s="5">
        <f t="shared" si="2"/>
        <v>7.4492794372877</v>
      </c>
      <c r="G25" s="5">
        <f t="shared" si="2"/>
        <v>15.8169545570767</v>
      </c>
      <c r="H25" s="5">
        <f t="shared" si="2"/>
        <v>16.0121494533192</v>
      </c>
      <c r="I25" s="5">
        <f t="shared" si="2"/>
        <v>20.4641295567874</v>
      </c>
      <c r="J25" s="5">
        <f t="shared" si="2"/>
        <v>23.7790662980888</v>
      </c>
      <c r="K25" s="5">
        <f t="shared" si="2"/>
        <v>26.9817660903181</v>
      </c>
    </row>
    <row r="27" ht="15.75" customHeight="1">
      <c r="B27" t="s">
        <v>89</v>
      </c>
    </row>
    <row r="28" ht="15.75" customHeight="1">
      <c r="B28" t="s">
        <v>90</v>
      </c>
      <c r="C28" s="4" cm="1">
        <f t="array" ref="C28">Cover_Assumptions!C41</f>
        <v>41.469999999999985</v>
      </c>
      <c r="D28" s="5" cm="1">
        <f t="array" ref="D28">C30</f>
        <v>36.789</v>
      </c>
      <c r="E28" s="5" cm="1">
        <f t="array" ref="E28">D30</f>
        <v>35.7226191780822</v>
      </c>
      <c r="F28" s="5" cm="1">
        <f t="array" ref="F28">E30</f>
        <v>37.5999403054794</v>
      </c>
      <c r="G28" s="5" cm="1">
        <f t="array" ref="G28">F30</f>
        <v>45.0492197427671</v>
      </c>
      <c r="H28" s="5" cm="1">
        <f t="array" ref="H28">G30</f>
        <v>60.8661742998438</v>
      </c>
      <c r="I28" s="5" cm="1">
        <f t="array" ref="I28">H30</f>
        <v>76.878323753163</v>
      </c>
      <c r="J28" s="5" cm="1">
        <f t="array" ref="J28">I30</f>
        <v>97.3424533099504</v>
      </c>
      <c r="K28" s="5" cm="1">
        <f t="array" ref="K28">J30</f>
        <v>121.121519608039</v>
      </c>
    </row>
    <row r="29" ht="15.75" customHeight="1">
      <c r="B29" t="s">
        <v>91</v>
      </c>
      <c r="C29" s="5" cm="1">
        <f t="array" ref="C29">C25</f>
        <v>-4.681</v>
      </c>
      <c r="D29" s="5" cm="1">
        <f t="array" ref="D29">D25</f>
        <v>-1.0663808219178</v>
      </c>
      <c r="E29" s="5" cm="1">
        <f t="array" ref="E29">E25</f>
        <v>1.8773211273972</v>
      </c>
      <c r="F29" s="5" cm="1">
        <f t="array" ref="F29">F25</f>
        <v>7.4492794372877</v>
      </c>
      <c r="G29" s="5" cm="1">
        <f t="array" ref="G29">G25</f>
        <v>15.8169545570767</v>
      </c>
      <c r="H29" s="5" cm="1">
        <f t="array" ref="H29">H25</f>
        <v>16.0121494533192</v>
      </c>
      <c r="I29" s="5" cm="1">
        <f t="array" ref="I29">I25</f>
        <v>20.4641295567874</v>
      </c>
      <c r="J29" s="5" cm="1">
        <f t="array" ref="J29">J25</f>
        <v>23.7790662980888</v>
      </c>
      <c r="K29" s="5" cm="1">
        <f t="array" ref="K29">K25</f>
        <v>26.9817660903181</v>
      </c>
    </row>
    <row r="30" ht="15.75" customHeight="1">
      <c r="B30" t="s">
        <v>92</v>
      </c>
      <c r="C30" s="5">
        <f t="shared" si="3" ref="C30:K30">C28+C29</f>
        <v>36.789</v>
      </c>
      <c r="D30" s="5">
        <f t="shared" si="3"/>
        <v>35.7226191780822</v>
      </c>
      <c r="E30" s="5">
        <f t="shared" si="3"/>
        <v>37.5999403054794</v>
      </c>
      <c r="F30" s="5">
        <f t="shared" si="3"/>
        <v>45.0492197427671</v>
      </c>
      <c r="G30" s="5">
        <f t="shared" si="3"/>
        <v>60.8661742998438</v>
      </c>
      <c r="H30" s="5">
        <f t="shared" si="3"/>
        <v>76.878323753163</v>
      </c>
      <c r="I30" s="5">
        <f t="shared" si="3"/>
        <v>97.3424533099504</v>
      </c>
      <c r="J30" s="5">
        <f t="shared" si="3"/>
        <v>121.121519608039</v>
      </c>
      <c r="K30" s="5">
        <f t="shared" si="3"/>
        <v>148.103285698357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3306964-29A4-98D8-4EA3-4CF16CCCFC2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sheetData>
    <row r="2" ht="15.75" customHeight="1">
      <c r="B2" t="s">
        <v>93</v>
      </c>
    </row>
    <row r="4" ht="15.75" customHeight="1">
      <c r="B4" t="s">
        <v>41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6" ht="15.75" customHeight="1">
      <c r="B6" t="s">
        <v>15</v>
      </c>
      <c r="C6">
        <v>0</v>
      </c>
      <c r="D6" cm="1">
        <f t="array" ref="D6">Cover_Assumptions!D11</f>
        <v>0.13</v>
      </c>
      <c r="E6" cm="1">
        <f t="array" ref="E6">Cover_Assumptions!E11</f>
        <v>0.145</v>
      </c>
      <c r="F6" cm="1">
        <f t="array" ref="F6">Cover_Assumptions!F11</f>
        <v>0.12</v>
      </c>
      <c r="G6" cm="1">
        <f t="array" ref="G6">Cover_Assumptions!G11</f>
        <v>0.1</v>
      </c>
      <c r="H6" cm="1">
        <f t="array" ref="H6">Cover_Assumptions!H11</f>
        <v>0.08</v>
      </c>
      <c r="I6" cm="1">
        <f t="array" ref="I6">Cover_Assumptions!I11</f>
        <v>0.07</v>
      </c>
      <c r="J6" cm="1">
        <f t="array" ref="J6">Cover_Assumptions!J11</f>
        <v>0.06</v>
      </c>
      <c r="K6" cm="1">
        <f t="array" ref="K6">Cover_Assumptions!K11</f>
        <v>0.06</v>
      </c>
    </row>
    <row r="8" ht="15.75" customHeight="1">
      <c r="B8" t="s">
        <v>94</v>
      </c>
      <c r="C8" s="8" cm="1">
        <f t="array" ref="C8">Cover_Assumptions!C10</f>
        <v>200</v>
      </c>
      <c r="D8" s="8">
        <f t="shared" si="0" ref="D8:K8">C8*(1+D6)</f>
        <v>226</v>
      </c>
      <c r="E8" s="8">
        <f t="shared" si="0"/>
        <v>258.77</v>
      </c>
      <c r="F8" s="8">
        <f t="shared" si="0"/>
        <v>289.8224</v>
      </c>
      <c r="G8" s="8">
        <f t="shared" si="0"/>
        <v>318.80464</v>
      </c>
      <c r="H8" s="8">
        <f t="shared" si="0"/>
        <v>344.3090112</v>
      </c>
      <c r="I8" s="8">
        <f t="shared" si="0"/>
        <v>368.410641984</v>
      </c>
      <c r="J8" s="8">
        <f t="shared" si="0"/>
        <v>390.51528050304</v>
      </c>
      <c r="K8" s="8">
        <f t="shared" si="0"/>
        <v>413.946197333222</v>
      </c>
    </row>
    <row r="10" ht="15.75" customHeight="1">
      <c r="B10" t="s">
        <v>95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5FEF3A8-93C6-9AE8-4788-C8FEC9CFBC1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sheetData>
    <row r="2" ht="15.75" customHeight="1">
      <c r="B2" t="s">
        <v>96</v>
      </c>
    </row>
    <row r="4" ht="15.75" customHeight="1">
      <c r="B4" t="s">
        <v>41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6" ht="15.75" customHeight="1">
      <c r="B6" t="s">
        <v>94</v>
      </c>
      <c r="C6" cm="1">
        <f t="array" ref="C6">Revenue_Build!C8</f>
        <v>200</v>
      </c>
      <c r="D6" s="9" cm="1">
        <f t="array" ref="D6">Revenue_Build!D8</f>
        <v>226</v>
      </c>
      <c r="E6" s="9" cm="1">
        <f t="array" ref="E6">Revenue_Build!E8</f>
        <v>258.77</v>
      </c>
      <c r="F6" s="9" cm="1">
        <f t="array" ref="F6">Revenue_Build!F8</f>
        <v>289.8224</v>
      </c>
      <c r="G6" s="9" cm="1">
        <f t="array" ref="G6">Revenue_Build!G8</f>
        <v>318.80464</v>
      </c>
      <c r="H6" s="9" cm="1">
        <f t="array" ref="H6">Revenue_Build!H8</f>
        <v>344.3090112</v>
      </c>
      <c r="I6" s="9" cm="1">
        <f t="array" ref="I6">Revenue_Build!I8</f>
        <v>368.410641984</v>
      </c>
      <c r="J6" s="9" cm="1">
        <f t="array" ref="J6">Revenue_Build!J8</f>
        <v>390.51528050304</v>
      </c>
      <c r="K6" s="9" cm="1">
        <f t="array" ref="K6">Revenue_Build!K8</f>
        <v>413.946197333222</v>
      </c>
    </row>
    <row r="8" ht="15.75" customHeight="1">
      <c r="B8" t="s">
        <v>17</v>
      </c>
      <c r="C8" cm="1">
        <f t="array" ref="C8">Cover_Assumptions!C14</f>
        <v>0.25</v>
      </c>
      <c r="D8" s="9" cm="1">
        <f t="array" ref="D8">Cover_Assumptions!D14</f>
        <v>0.26</v>
      </c>
      <c r="E8" s="9" cm="1">
        <f t="array" ref="E8">Cover_Assumptions!E14</f>
        <v>0.27</v>
      </c>
      <c r="F8" s="9" cm="1">
        <f t="array" ref="F8">Cover_Assumptions!F14</f>
        <v>0.275</v>
      </c>
      <c r="G8" s="9" cm="1">
        <f t="array" ref="G8">Cover_Assumptions!G14</f>
        <v>0.28</v>
      </c>
      <c r="H8" s="9" cm="1">
        <f t="array" ref="H8">Cover_Assumptions!H14</f>
        <v>0.285</v>
      </c>
      <c r="I8" s="9" cm="1">
        <f t="array" ref="I8">Cover_Assumptions!I14</f>
        <v>0.29</v>
      </c>
      <c r="J8" s="9" cm="1">
        <f t="array" ref="J8">Cover_Assumptions!J14</f>
        <v>0.295</v>
      </c>
      <c r="K8" s="9" cm="1">
        <f t="array" ref="K8">Cover_Assumptions!K14</f>
        <v>0.3</v>
      </c>
    </row>
    <row r="10" ht="15.75" customHeight="1">
      <c r="B10" t="s">
        <v>97</v>
      </c>
      <c r="C10" s="8">
        <f t="shared" si="0" ref="C10:K10">C6*(1-C8)</f>
        <v>150</v>
      </c>
      <c r="D10" s="8">
        <f t="shared" si="0"/>
        <v>167.24</v>
      </c>
      <c r="E10" s="8">
        <f t="shared" si="0"/>
        <v>188.9021</v>
      </c>
      <c r="F10" s="8">
        <f t="shared" si="0"/>
        <v>210.12124</v>
      </c>
      <c r="G10" s="8">
        <f t="shared" si="0"/>
        <v>229.5393408</v>
      </c>
      <c r="H10" s="8">
        <f t="shared" si="0"/>
        <v>246.180943008</v>
      </c>
      <c r="I10" s="8">
        <f t="shared" si="0"/>
        <v>261.57155580864</v>
      </c>
      <c r="J10" s="8">
        <f t="shared" si="0"/>
        <v>275.313272754643</v>
      </c>
      <c r="K10" s="8">
        <f t="shared" si="0"/>
        <v>289.762338133255</v>
      </c>
    </row>
    <row r="12" ht="15.75" customHeight="1">
      <c r="B12" t="s">
        <v>18</v>
      </c>
      <c r="C12" cm="1">
        <f t="array" ref="C12">Cover_Assumptions!C15</f>
        <v>0.18</v>
      </c>
      <c r="D12" s="9" cm="1">
        <f t="array" ref="D12">Cover_Assumptions!D15</f>
        <v>0.175</v>
      </c>
      <c r="E12" s="9" cm="1">
        <f t="array" ref="E12">Cover_Assumptions!E15</f>
        <v>0.17</v>
      </c>
      <c r="F12" s="9" cm="1">
        <f t="array" ref="F12">Cover_Assumptions!F15</f>
        <v>0.165</v>
      </c>
      <c r="G12" s="9" cm="1">
        <f t="array" ref="G12">Cover_Assumptions!G15</f>
        <v>0.16</v>
      </c>
      <c r="H12" s="9" cm="1">
        <f t="array" ref="H12">Cover_Assumptions!H15</f>
        <v>0.155</v>
      </c>
      <c r="I12" s="9" cm="1">
        <f t="array" ref="I12">Cover_Assumptions!I15</f>
        <v>0.15</v>
      </c>
      <c r="J12" s="9" cm="1">
        <f t="array" ref="J12">Cover_Assumptions!J15</f>
        <v>0.15</v>
      </c>
      <c r="K12" s="9" cm="1">
        <f t="array" ref="K12">Cover_Assumptions!K15</f>
        <v>0.15</v>
      </c>
    </row>
    <row r="14" ht="15.75" customHeight="1">
      <c r="B14" t="s">
        <v>98</v>
      </c>
      <c r="C14" s="8">
        <f t="shared" si="1" ref="C14:K14">C6*C12</f>
        <v>36</v>
      </c>
      <c r="D14" s="8">
        <f t="shared" si="1"/>
        <v>39.55</v>
      </c>
      <c r="E14" s="8">
        <f t="shared" si="1"/>
        <v>43.9909</v>
      </c>
      <c r="F14" s="8">
        <f t="shared" si="1"/>
        <v>47.820696</v>
      </c>
      <c r="G14" s="8">
        <f t="shared" si="1"/>
        <v>51.0087424</v>
      </c>
      <c r="H14" s="8">
        <f t="shared" si="1"/>
        <v>53.367896736</v>
      </c>
      <c r="I14" s="8">
        <f t="shared" si="1"/>
        <v>55.2615962976</v>
      </c>
      <c r="J14" s="8">
        <f t="shared" si="1"/>
        <v>58.577292075456</v>
      </c>
      <c r="K14" s="8">
        <f t="shared" si="1"/>
        <v>62.0919295999833</v>
      </c>
    </row>
    <row r="16" ht="15.75" customHeight="1">
      <c r="B16" t="s">
        <v>99</v>
      </c>
    </row>
    <row r="17" ht="15.75" customHeight="1">
      <c r="B17" t="s">
        <v>100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6B44F41-FC2E-9EA8-5484-1074787B4419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sheetData>
    <row r="2" ht="15.75" customHeight="1">
      <c r="B2" t="s">
        <v>101</v>
      </c>
    </row>
    <row r="4" ht="15.75" customHeight="1">
      <c r="B4" t="s">
        <v>41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6" ht="15.75" customHeight="1">
      <c r="B6" t="s">
        <v>94</v>
      </c>
      <c r="C6" cm="1">
        <f t="array" ref="C6">Revenue_Build!C8</f>
        <v>200</v>
      </c>
      <c r="D6" s="9" cm="1">
        <f t="array" ref="D6">Revenue_Build!D8</f>
        <v>226</v>
      </c>
      <c r="E6" s="9" cm="1">
        <f t="array" ref="E6">Revenue_Build!E8</f>
        <v>258.77</v>
      </c>
      <c r="F6" s="9" cm="1">
        <f t="array" ref="F6">Revenue_Build!F8</f>
        <v>289.8224</v>
      </c>
      <c r="G6" s="9" cm="1">
        <f t="array" ref="G6">Revenue_Build!G8</f>
        <v>318.80464</v>
      </c>
      <c r="H6" s="9" cm="1">
        <f t="array" ref="H6">Revenue_Build!H8</f>
        <v>344.3090112</v>
      </c>
      <c r="I6" s="9" cm="1">
        <f t="array" ref="I6">Revenue_Build!I8</f>
        <v>368.410641984</v>
      </c>
      <c r="J6" s="9" cm="1">
        <f t="array" ref="J6">Revenue_Build!J8</f>
        <v>390.51528050304</v>
      </c>
      <c r="K6" s="9" cm="1">
        <f t="array" ref="K6">Revenue_Build!K8</f>
        <v>413.946197333222</v>
      </c>
    </row>
    <row r="8" ht="15.75" customHeight="1">
      <c r="B8" t="s">
        <v>24</v>
      </c>
      <c r="C8" cm="1">
        <f t="array" ref="C8">Cover_Assumptions!C23</f>
        <v>0.045</v>
      </c>
      <c r="D8" s="9" cm="1">
        <f t="array" ref="D8">Cover_Assumptions!D23</f>
        <v>0.05</v>
      </c>
      <c r="E8" s="9" cm="1">
        <f t="array" ref="E8">Cover_Assumptions!E23</f>
        <v>0.045</v>
      </c>
      <c r="F8" s="9" cm="1">
        <f t="array" ref="F8">Cover_Assumptions!F23</f>
        <v>0.04</v>
      </c>
      <c r="G8" s="9" cm="1">
        <f t="array" ref="G8">Cover_Assumptions!G23</f>
        <v>0.035</v>
      </c>
      <c r="H8" s="9" cm="1">
        <f t="array" ref="H8">Cover_Assumptions!H23</f>
        <v>0.03</v>
      </c>
      <c r="I8" s="9" cm="1">
        <f t="array" ref="I8">Cover_Assumptions!I23</f>
        <v>0.03</v>
      </c>
      <c r="J8" s="9" cm="1">
        <f t="array" ref="J8">Cover_Assumptions!J23</f>
        <v>0.03</v>
      </c>
      <c r="K8" s="9" cm="1">
        <f t="array" ref="K8">Cover_Assumptions!K23</f>
        <v>0.03</v>
      </c>
    </row>
    <row r="10" ht="15.75" customHeight="1">
      <c r="B10" t="s">
        <v>102</v>
      </c>
      <c r="C10" s="8">
        <f t="shared" si="0" ref="C10:K10">C6*C8</f>
        <v>9</v>
      </c>
      <c r="D10" s="8">
        <f t="shared" si="0"/>
        <v>11.3</v>
      </c>
      <c r="E10" s="8">
        <f t="shared" si="0"/>
        <v>11.64465</v>
      </c>
      <c r="F10" s="8">
        <f t="shared" si="0"/>
        <v>11.592896</v>
      </c>
      <c r="G10" s="8">
        <f t="shared" si="0"/>
        <v>11.1581624</v>
      </c>
      <c r="H10" s="8">
        <f t="shared" si="0"/>
        <v>10.329270336</v>
      </c>
      <c r="I10" s="8">
        <f t="shared" si="0"/>
        <v>11.05231925952</v>
      </c>
      <c r="J10" s="8">
        <f t="shared" si="0"/>
        <v>11.7154584150912</v>
      </c>
      <c r="K10" s="8">
        <f t="shared" si="0"/>
        <v>12.4183859199967</v>
      </c>
    </row>
    <row r="12" ht="15.75" customHeight="1">
      <c r="B12" t="s">
        <v>103</v>
      </c>
    </row>
    <row r="13" ht="15.75" customHeight="1">
      <c r="B13" t="s">
        <v>104</v>
      </c>
      <c r="C13" s="8" cm="1">
        <f t="array" ref="C13">Cover_Assumptions!C38</f>
        <v>40</v>
      </c>
      <c r="D13" s="8" cm="1">
        <f t="array" ref="D13">C17</f>
        <v>45</v>
      </c>
      <c r="E13" s="8" cm="1">
        <f t="array" ref="E13">D17</f>
        <v>51.235</v>
      </c>
      <c r="F13" s="8" cm="1">
        <f t="array" ref="F13">E17</f>
        <v>57.1739175</v>
      </c>
      <c r="G13" s="8" cm="1">
        <f t="array" ref="G13">F17</f>
        <v>62.46977695</v>
      </c>
      <c r="H13" s="8" cm="1">
        <f t="array" ref="H13">G17</f>
        <v>66.823053535</v>
      </c>
      <c r="I13" s="8" cm="1">
        <f t="array" ref="I13">H17</f>
        <v>69.9535550007</v>
      </c>
      <c r="J13" s="8" cm="1">
        <f t="array" ref="J13">I17</f>
        <v>73.457902797174</v>
      </c>
      <c r="K13" s="8" cm="1">
        <f t="array" ref="K13">J17</f>
        <v>77.2417980117933</v>
      </c>
    </row>
    <row r="14" ht="15.75" customHeight="1">
      <c r="B14" t="s">
        <v>105</v>
      </c>
      <c r="C14" s="8" cm="1">
        <f t="array" ref="C14">C10</f>
        <v>9</v>
      </c>
      <c r="D14" s="8" cm="1">
        <f t="array" ref="D14">D10</f>
        <v>11.3</v>
      </c>
      <c r="E14" s="8" cm="1">
        <f t="array" ref="E14">E10</f>
        <v>11.64465</v>
      </c>
      <c r="F14" s="8" cm="1">
        <f t="array" ref="F14">F10</f>
        <v>11.592896</v>
      </c>
      <c r="G14" s="8" cm="1">
        <f t="array" ref="G14">G10</f>
        <v>11.1581624</v>
      </c>
      <c r="H14" s="8" cm="1">
        <f t="array" ref="H14">H10</f>
        <v>10.329270336</v>
      </c>
      <c r="I14" s="8" cm="1">
        <f t="array" ref="I14">I10</f>
        <v>11.05231925952</v>
      </c>
      <c r="J14" s="8" cm="1">
        <f t="array" ref="J14">J10</f>
        <v>11.7154584150912</v>
      </c>
      <c r="K14" s="8" cm="1">
        <f t="array" ref="K14">K10</f>
        <v>12.4183859199967</v>
      </c>
    </row>
    <row r="15" ht="15.75" customHeight="1">
      <c r="B15" t="s">
        <v>106</v>
      </c>
      <c r="C15" s="8">
        <f>C13/Cover_Assumptions!$C$24</f>
        <v>4</v>
      </c>
      <c r="D15" s="8">
        <f>(D13+D14/2)/Cover_Assumptions!$C$24</f>
        <v>5.065</v>
      </c>
      <c r="E15" s="8">
        <f>(E13+E14/2)/Cover_Assumptions!$C$24</f>
        <v>5.7057325</v>
      </c>
      <c r="F15" s="8">
        <f>(F13+F14/2)/Cover_Assumptions!$C$24</f>
        <v>6.29703655</v>
      </c>
      <c r="G15" s="8">
        <f>(G13+G14/2)/Cover_Assumptions!$C$24</f>
        <v>6.804885815</v>
      </c>
      <c r="H15" s="8">
        <f>(H13+H14/2)/Cover_Assumptions!$C$24</f>
        <v>7.1987688703</v>
      </c>
      <c r="I15" s="8">
        <f>(I13+I14/2)/Cover_Assumptions!$C$24</f>
        <v>7.547971463046</v>
      </c>
      <c r="J15" s="8">
        <f>(J13+J14/2)/Cover_Assumptions!$C$24</f>
        <v>7.93156320047196</v>
      </c>
      <c r="K15" s="8">
        <f>(K13+K14/2)/Cover_Assumptions!$C$24</f>
        <v>8.34509909717917</v>
      </c>
    </row>
    <row r="17" ht="15.75" customHeight="1">
      <c r="B17" t="s">
        <v>107</v>
      </c>
      <c r="C17" s="8">
        <f t="shared" si="1" ref="C17:K17">C13+C14-C15</f>
        <v>45</v>
      </c>
      <c r="D17" s="8">
        <f t="shared" si="1"/>
        <v>51.235</v>
      </c>
      <c r="E17" s="8">
        <f t="shared" si="1"/>
        <v>57.1739175</v>
      </c>
      <c r="F17" s="8">
        <f t="shared" si="1"/>
        <v>62.46977695</v>
      </c>
      <c r="G17" s="8">
        <f t="shared" si="1"/>
        <v>66.823053535</v>
      </c>
      <c r="H17" s="8">
        <f t="shared" si="1"/>
        <v>69.9535550007</v>
      </c>
      <c r="I17" s="8">
        <f t="shared" si="1"/>
        <v>73.457902797174</v>
      </c>
      <c r="J17" s="8">
        <f t="shared" si="1"/>
        <v>77.2417980117933</v>
      </c>
      <c r="K17" s="8">
        <f t="shared" si="1"/>
        <v>81.3150848346108</v>
      </c>
    </row>
    <row r="19" ht="15.75" customHeight="1">
      <c r="B19" t="s">
        <v>108</v>
      </c>
    </row>
    <row r="20" ht="15.75" customHeight="1">
      <c r="B20" t="s">
        <v>109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CDCA362-D8B8-A1A8-8A4D-22F3AF9C114C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sheetData>
    <row r="2" ht="15.75" customHeight="1">
      <c r="B2" t="s">
        <v>110</v>
      </c>
    </row>
    <row r="4" ht="15.75" customHeight="1">
      <c r="B4" t="s">
        <v>41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6" ht="15.75" customHeight="1">
      <c r="B6" t="s">
        <v>94</v>
      </c>
      <c r="C6" cm="1">
        <f t="array" ref="C6">Revenue_Build!C8</f>
        <v>200</v>
      </c>
      <c r="D6" s="9" cm="1">
        <f t="array" ref="D6">Revenue_Build!D8</f>
        <v>226</v>
      </c>
      <c r="E6" s="9" cm="1">
        <f t="array" ref="E6">Revenue_Build!E8</f>
        <v>258.77</v>
      </c>
      <c r="F6" s="9" cm="1">
        <f t="array" ref="F6">Revenue_Build!F8</f>
        <v>289.8224</v>
      </c>
      <c r="G6" s="9" cm="1">
        <f t="array" ref="G6">Revenue_Build!G8</f>
        <v>318.80464</v>
      </c>
      <c r="H6" s="9" cm="1">
        <f t="array" ref="H6">Revenue_Build!H8</f>
        <v>344.3090112</v>
      </c>
      <c r="I6" s="9" cm="1">
        <f t="array" ref="I6">Revenue_Build!I8</f>
        <v>368.410641984</v>
      </c>
      <c r="J6" s="9" cm="1">
        <f t="array" ref="J6">Revenue_Build!J8</f>
        <v>390.51528050304</v>
      </c>
      <c r="K6" s="9" cm="1">
        <f t="array" ref="K6">Revenue_Build!K8</f>
        <v>413.946197333222</v>
      </c>
    </row>
    <row r="7" ht="15.75" customHeight="1">
      <c r="B7" t="s">
        <v>97</v>
      </c>
      <c r="C7" cm="1">
        <f t="array" ref="C7">COGS_OpEx!C10</f>
        <v>150</v>
      </c>
      <c r="D7" s="9" cm="1">
        <f t="array" ref="D7">COGS_OpEx!D10</f>
        <v>167.24</v>
      </c>
      <c r="E7" s="9" cm="1">
        <f t="array" ref="E7">COGS_OpEx!E10</f>
        <v>188.9021</v>
      </c>
      <c r="F7" s="9" cm="1">
        <f t="array" ref="F7">COGS_OpEx!F10</f>
        <v>210.12124</v>
      </c>
      <c r="G7" s="9" cm="1">
        <f t="array" ref="G7">COGS_OpEx!G10</f>
        <v>229.5393408</v>
      </c>
      <c r="H7" s="9" cm="1">
        <f t="array" ref="H7">COGS_OpEx!H10</f>
        <v>246.180943008</v>
      </c>
      <c r="I7" s="9" cm="1">
        <f t="array" ref="I7">COGS_OpEx!I10</f>
        <v>261.57155580864</v>
      </c>
      <c r="J7" s="9" cm="1">
        <f t="array" ref="J7">COGS_OpEx!J10</f>
        <v>275.313272754643</v>
      </c>
      <c r="K7" s="9" cm="1">
        <f t="array" ref="K7">COGS_OpEx!K10</f>
        <v>289.762338133255</v>
      </c>
    </row>
    <row r="9" ht="15.75" customHeight="1">
      <c r="B9" t="s">
        <v>111</v>
      </c>
    </row>
    <row r="10" ht="15.75" customHeight="1">
      <c r="B10" t="s">
        <v>112</v>
      </c>
      <c r="C10" cm="1">
        <f t="array" ref="C10">Cover_Assumptions!C18</f>
        <v>45</v>
      </c>
      <c r="D10" s="9" cm="1">
        <f t="array" ref="D10">Cover_Assumptions!D18</f>
        <v>42</v>
      </c>
      <c r="E10" s="9" cm="1">
        <f t="array" ref="E10">Cover_Assumptions!E18</f>
        <v>40</v>
      </c>
      <c r="F10" s="9" cm="1">
        <f t="array" ref="F10">Cover_Assumptions!F18</f>
        <v>38</v>
      </c>
      <c r="G10" s="9" cm="1">
        <f t="array" ref="G10">Cover_Assumptions!G18</f>
        <v>35</v>
      </c>
      <c r="H10" s="9" cm="1">
        <f t="array" ref="H10">Cover_Assumptions!H18</f>
        <v>35</v>
      </c>
      <c r="I10" s="9" cm="1">
        <f t="array" ref="I10">Cover_Assumptions!I18</f>
        <v>35</v>
      </c>
      <c r="J10" s="9" cm="1">
        <f t="array" ref="J10">Cover_Assumptions!J18</f>
        <v>35</v>
      </c>
      <c r="K10" s="9" cm="1">
        <f t="array" ref="K10">Cover_Assumptions!K18</f>
        <v>35</v>
      </c>
    </row>
    <row r="11" ht="15.75" customHeight="1">
      <c r="B11" t="s">
        <v>113</v>
      </c>
      <c r="C11" s="8">
        <f t="shared" si="0" ref="C11:K11">(C6/365)*C10</f>
        <v>24.6575342465753</v>
      </c>
      <c r="D11" s="8">
        <f t="shared" si="0"/>
        <v>26.0054794520548</v>
      </c>
      <c r="E11" s="8">
        <f t="shared" si="0"/>
        <v>28.3583561643836</v>
      </c>
      <c r="F11" s="8">
        <f t="shared" si="0"/>
        <v>30.1732909589041</v>
      </c>
      <c r="G11" s="8">
        <f t="shared" si="0"/>
        <v>30.5703079452055</v>
      </c>
      <c r="H11" s="8">
        <f t="shared" si="0"/>
        <v>33.0159325808219</v>
      </c>
      <c r="I11" s="8">
        <f t="shared" si="0"/>
        <v>35.3270478614794</v>
      </c>
      <c r="J11" s="8">
        <f t="shared" si="0"/>
        <v>37.4466707331682</v>
      </c>
      <c r="K11" s="8">
        <f t="shared" si="0"/>
        <v>39.6934709771583</v>
      </c>
    </row>
    <row r="13" ht="15.75" customHeight="1">
      <c r="B13" t="s">
        <v>114</v>
      </c>
    </row>
    <row r="14" ht="15.75" customHeight="1">
      <c r="B14" t="s">
        <v>21</v>
      </c>
      <c r="C14" cm="1">
        <f t="array" ref="C14">Cover_Assumptions!C19</f>
        <v>75</v>
      </c>
      <c r="D14" s="9" cm="1">
        <f t="array" ref="D14">Cover_Assumptions!D19</f>
        <v>72</v>
      </c>
      <c r="E14" s="9" cm="1">
        <f t="array" ref="E14">Cover_Assumptions!E19</f>
        <v>70</v>
      </c>
      <c r="F14" s="9" cm="1">
        <f t="array" ref="F14">Cover_Assumptions!F19</f>
        <v>68</v>
      </c>
      <c r="G14" s="9" cm="1">
        <f t="array" ref="G14">Cover_Assumptions!G19</f>
        <v>65</v>
      </c>
      <c r="H14" s="9" cm="1">
        <f t="array" ref="H14">Cover_Assumptions!H19</f>
        <v>65</v>
      </c>
      <c r="I14" s="9" cm="1">
        <f t="array" ref="I14">Cover_Assumptions!I19</f>
        <v>65</v>
      </c>
      <c r="J14" s="9" cm="1">
        <f t="array" ref="J14">Cover_Assumptions!J19</f>
        <v>65</v>
      </c>
      <c r="K14" s="9" cm="1">
        <f t="array" ref="K14">Cover_Assumptions!K19</f>
        <v>65</v>
      </c>
    </row>
    <row r="15" ht="15.75" customHeight="1">
      <c r="B15" t="s">
        <v>115</v>
      </c>
      <c r="C15" s="8">
        <f t="shared" si="1" ref="C15:K15">(C7/365)*C14</f>
        <v>30.8219178082192</v>
      </c>
      <c r="D15" s="8">
        <f t="shared" si="1"/>
        <v>32.9898082191781</v>
      </c>
      <c r="E15" s="8">
        <f t="shared" si="1"/>
        <v>36.2278</v>
      </c>
      <c r="F15" s="8">
        <f t="shared" si="1"/>
        <v>39.1458748493151</v>
      </c>
      <c r="G15" s="8">
        <f t="shared" si="1"/>
        <v>40.876868909589</v>
      </c>
      <c r="H15" s="8">
        <f t="shared" si="1"/>
        <v>43.8404419055342</v>
      </c>
      <c r="I15" s="8">
        <f t="shared" si="1"/>
        <v>46.5812359659222</v>
      </c>
      <c r="J15" s="8">
        <f t="shared" si="1"/>
        <v>49.0283910384981</v>
      </c>
      <c r="K15" s="8">
        <f t="shared" si="1"/>
        <v>51.6015122703057</v>
      </c>
    </row>
    <row r="17" ht="15.75" customHeight="1">
      <c r="B17" t="s">
        <v>116</v>
      </c>
    </row>
    <row r="18" ht="15.75" customHeight="1">
      <c r="B18" t="s">
        <v>117</v>
      </c>
      <c r="C18" cm="1">
        <f t="array" ref="C18">Cover_Assumptions!C20</f>
        <v>45</v>
      </c>
      <c r="D18" s="9" cm="1">
        <f t="array" ref="D18">Cover_Assumptions!D20</f>
        <v>48</v>
      </c>
      <c r="E18" s="9" cm="1">
        <f t="array" ref="E18">Cover_Assumptions!E20</f>
        <v>50</v>
      </c>
      <c r="F18" s="9" cm="1">
        <f t="array" ref="F18">Cover_Assumptions!F20</f>
        <v>52</v>
      </c>
      <c r="G18" s="9" cm="1">
        <f t="array" ref="G18">Cover_Assumptions!G20</f>
        <v>55</v>
      </c>
      <c r="H18" s="9" cm="1">
        <f t="array" ref="H18">Cover_Assumptions!H20</f>
        <v>55</v>
      </c>
      <c r="I18" s="9" cm="1">
        <f t="array" ref="I18">Cover_Assumptions!I20</f>
        <v>55</v>
      </c>
      <c r="J18" s="9" cm="1">
        <f t="array" ref="J18">Cover_Assumptions!J20</f>
        <v>55</v>
      </c>
      <c r="K18" s="9" cm="1">
        <f t="array" ref="K18">Cover_Assumptions!K20</f>
        <v>55</v>
      </c>
    </row>
    <row r="19" ht="15.75" customHeight="1">
      <c r="B19" t="s">
        <v>118</v>
      </c>
      <c r="C19" s="8">
        <f t="shared" si="2" ref="C19:K19">(C7/365)*C18</f>
        <v>18.4931506849315</v>
      </c>
      <c r="D19" s="8">
        <f t="shared" si="2"/>
        <v>21.9932054794521</v>
      </c>
      <c r="E19" s="8">
        <f t="shared" si="2"/>
        <v>25.877</v>
      </c>
      <c r="F19" s="8">
        <f t="shared" si="2"/>
        <v>29.9350807671233</v>
      </c>
      <c r="G19" s="8">
        <f t="shared" si="2"/>
        <v>34.5881198465753</v>
      </c>
      <c r="H19" s="8">
        <f t="shared" si="2"/>
        <v>37.0957585354521</v>
      </c>
      <c r="I19" s="8">
        <f t="shared" si="2"/>
        <v>39.4148919711649</v>
      </c>
      <c r="J19" s="8">
        <f t="shared" si="2"/>
        <v>41.4855616479599</v>
      </c>
      <c r="K19" s="8">
        <f t="shared" si="2"/>
        <v>43.662818074874</v>
      </c>
    </row>
    <row r="21" ht="15.75" customHeight="1">
      <c r="B21" t="s">
        <v>119</v>
      </c>
    </row>
    <row r="22" ht="15.75" customHeight="1">
      <c r="B22" t="s">
        <v>120</v>
      </c>
      <c r="C22" s="8">
        <f t="shared" si="3" ref="C22:K22">C11+C15-C19</f>
        <v>36.986301369863</v>
      </c>
      <c r="D22" s="8">
        <f t="shared" si="3"/>
        <v>37.0020821917808</v>
      </c>
      <c r="E22" s="8">
        <f t="shared" si="3"/>
        <v>38.7091561643836</v>
      </c>
      <c r="F22" s="8">
        <f t="shared" si="3"/>
        <v>39.3840850410959</v>
      </c>
      <c r="G22" s="8">
        <f t="shared" si="3"/>
        <v>36.8590570082192</v>
      </c>
      <c r="H22" s="8">
        <f t="shared" si="3"/>
        <v>39.760615950904</v>
      </c>
      <c r="I22" s="8">
        <f t="shared" si="3"/>
        <v>42.4933918562367</v>
      </c>
      <c r="J22" s="8">
        <f t="shared" si="3"/>
        <v>44.9895001237064</v>
      </c>
      <c r="K22" s="8">
        <f t="shared" si="3"/>
        <v>47.63216517259</v>
      </c>
    </row>
    <row r="24" ht="15.75" customHeight="1">
      <c r="B24" t="s">
        <v>121</v>
      </c>
      <c r="C24">
        <v>0</v>
      </c>
      <c r="D24" s="8">
        <f t="shared" si="4" ref="D24:K24">D22-C22</f>
        <v>0.0157808219178008</v>
      </c>
      <c r="E24" s="8">
        <f t="shared" si="4"/>
        <v>1.7070739726028</v>
      </c>
      <c r="F24" s="8">
        <f t="shared" si="4"/>
        <v>0.674928876712301</v>
      </c>
      <c r="G24" s="8">
        <f t="shared" si="4"/>
        <v>-2.5250280328767</v>
      </c>
      <c r="H24" s="8">
        <f t="shared" si="4"/>
        <v>2.90155894268479</v>
      </c>
      <c r="I24" s="8">
        <f t="shared" si="4"/>
        <v>2.7327759053327</v>
      </c>
      <c r="J24" s="8">
        <f t="shared" si="4"/>
        <v>2.4961082674697</v>
      </c>
      <c r="K24" s="8">
        <f t="shared" si="4"/>
        <v>2.6426650488836</v>
      </c>
    </row>
    <row r="26" ht="15.75" customHeight="1">
      <c r="B26" t="s">
        <v>122</v>
      </c>
    </row>
    <row r="27" ht="15.75" customHeight="1">
      <c r="B27" t="s">
        <v>123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49DB708-A018-6E58-DC08-FA3956C7EFB8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sheetData>
    <row r="2" ht="15.75" customHeight="1">
      <c r="B2" t="s">
        <v>124</v>
      </c>
    </row>
    <row r="4" ht="15.75" customHeight="1">
      <c r="B4" t="s">
        <v>41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6" ht="15.75" customHeight="1">
      <c r="B6" t="s">
        <v>125</v>
      </c>
    </row>
    <row r="7" ht="15.75" customHeight="1">
      <c r="B7" t="s">
        <v>27</v>
      </c>
      <c r="C7" s="8" cm="1">
        <f t="array" ref="C7">Cover_Assumptions!C27</f>
        <v>50</v>
      </c>
      <c r="D7" s="8" cm="1">
        <f t="array" ref="D7">C9</f>
        <v>45</v>
      </c>
      <c r="E7" s="8" cm="1">
        <f t="array" ref="E7">D9</f>
        <v>40</v>
      </c>
      <c r="F7" s="8" cm="1">
        <f t="array" ref="F7">E9</f>
        <v>35</v>
      </c>
      <c r="G7" s="8" cm="1">
        <f t="array" ref="G7">F9</f>
        <v>30</v>
      </c>
      <c r="H7" s="8" cm="1">
        <f t="array" ref="H7">G9</f>
        <v>25</v>
      </c>
      <c r="I7" s="8" cm="1">
        <f t="array" ref="I7">H9</f>
        <v>20</v>
      </c>
      <c r="J7" s="8" cm="1">
        <f t="array" ref="J7">I9</f>
        <v>15</v>
      </c>
      <c r="K7" s="8" cm="1">
        <f t="array" ref="K7">J9</f>
        <v>10</v>
      </c>
    </row>
    <row r="8" ht="15.75" customHeight="1">
      <c r="B8" t="s">
        <v>126</v>
      </c>
      <c r="C8" s="8" cm="1">
        <f t="array" ref="C8">Cover_Assumptions!$C$28</f>
        <v>5</v>
      </c>
      <c r="D8" s="8" cm="1">
        <f t="array" ref="D8">Cover_Assumptions!$C$28</f>
        <v>5</v>
      </c>
      <c r="E8" s="8" cm="1">
        <f t="array" ref="E8">Cover_Assumptions!$C$28</f>
        <v>5</v>
      </c>
      <c r="F8" s="8" cm="1">
        <f t="array" ref="F8">Cover_Assumptions!$C$28</f>
        <v>5</v>
      </c>
      <c r="G8" s="8" cm="1">
        <f t="array" ref="G8">Cover_Assumptions!$C$28</f>
        <v>5</v>
      </c>
      <c r="H8" s="8" cm="1">
        <f t="array" ref="H8">Cover_Assumptions!$C$28</f>
        <v>5</v>
      </c>
      <c r="I8" s="8" cm="1">
        <f t="array" ref="I8">Cover_Assumptions!$C$28</f>
        <v>5</v>
      </c>
      <c r="J8" s="8" cm="1">
        <f t="array" ref="J8">Cover_Assumptions!$C$28</f>
        <v>5</v>
      </c>
      <c r="K8" s="8" cm="1">
        <f t="array" ref="K8">Cover_Assumptions!$C$28</f>
        <v>5</v>
      </c>
    </row>
    <row r="9" ht="15.75" customHeight="1">
      <c r="B9" t="s">
        <v>127</v>
      </c>
      <c r="C9" s="8">
        <f t="shared" si="0" ref="C9:K9">MAX(0,C7-C8)</f>
        <v>45</v>
      </c>
      <c r="D9" s="8">
        <f t="shared" si="0"/>
        <v>40</v>
      </c>
      <c r="E9" s="8">
        <f t="shared" si="0"/>
        <v>35</v>
      </c>
      <c r="F9" s="8">
        <f t="shared" si="0"/>
        <v>30</v>
      </c>
      <c r="G9" s="8">
        <f t="shared" si="0"/>
        <v>25</v>
      </c>
      <c r="H9" s="8">
        <f t="shared" si="0"/>
        <v>20</v>
      </c>
      <c r="I9" s="8">
        <f t="shared" si="0"/>
        <v>15</v>
      </c>
      <c r="J9" s="8">
        <f t="shared" si="0"/>
        <v>10</v>
      </c>
      <c r="K9" s="8">
        <f t="shared" si="0"/>
        <v>5</v>
      </c>
    </row>
    <row r="11" ht="15.75" customHeight="1">
      <c r="B11" t="s">
        <v>128</v>
      </c>
    </row>
    <row r="12" ht="15.75" customHeight="1">
      <c r="B12" t="s">
        <v>129</v>
      </c>
      <c r="C12" s="8">
        <f t="shared" si="1" ref="C12:K12">(C7+C9)/2</f>
        <v>47.5</v>
      </c>
      <c r="D12" s="8">
        <f t="shared" si="1"/>
        <v>42.5</v>
      </c>
      <c r="E12" s="8">
        <f t="shared" si="1"/>
        <v>37.5</v>
      </c>
      <c r="F12" s="8">
        <f t="shared" si="1"/>
        <v>32.5</v>
      </c>
      <c r="G12" s="8">
        <f t="shared" si="1"/>
        <v>27.5</v>
      </c>
      <c r="H12" s="8">
        <f t="shared" si="1"/>
        <v>22.5</v>
      </c>
      <c r="I12" s="8">
        <f t="shared" si="1"/>
        <v>17.5</v>
      </c>
      <c r="J12" s="8">
        <f t="shared" si="1"/>
        <v>12.5</v>
      </c>
      <c r="K12" s="8">
        <f t="shared" si="1"/>
        <v>7.5</v>
      </c>
    </row>
    <row r="13" ht="15.75" customHeight="1">
      <c r="B13" t="s">
        <v>29</v>
      </c>
      <c r="C13" cm="1">
        <f t="array" ref="C13">Cover_Assumptions!C29</f>
        <v>0.055</v>
      </c>
      <c r="D13" s="9" cm="1">
        <f t="array" ref="D13">Cover_Assumptions!D29</f>
        <v>0</v>
      </c>
      <c r="E13" s="9" cm="1">
        <f t="array" ref="E13">Cover_Assumptions!E29</f>
        <v>0</v>
      </c>
      <c r="F13" s="9" cm="1">
        <f t="array" ref="F13">Cover_Assumptions!F29</f>
        <v>0</v>
      </c>
      <c r="G13" s="9" cm="1">
        <f t="array" ref="G13">Cover_Assumptions!G29</f>
        <v>0</v>
      </c>
      <c r="H13" s="9" cm="1">
        <f t="array" ref="H13">Cover_Assumptions!H29</f>
        <v>0</v>
      </c>
      <c r="I13" s="9" cm="1">
        <f t="array" ref="I13">Cover_Assumptions!I29</f>
        <v>0</v>
      </c>
      <c r="J13" s="9" cm="1">
        <f t="array" ref="J13">Cover_Assumptions!J29</f>
        <v>0</v>
      </c>
      <c r="K13" s="9" cm="1">
        <f t="array" ref="K13">Cover_Assumptions!K29</f>
        <v>0</v>
      </c>
    </row>
    <row r="14" ht="15.75" customHeight="1">
      <c r="B14" t="s">
        <v>130</v>
      </c>
      <c r="C14" s="8">
        <f t="shared" si="2" ref="C14:K14">C12*C13</f>
        <v>2.6125</v>
      </c>
      <c r="D14" s="8">
        <f t="shared" si="2"/>
        <v>0</v>
      </c>
      <c r="E14" s="8">
        <f t="shared" si="2"/>
        <v>0</v>
      </c>
      <c r="F14" s="8">
        <f t="shared" si="2"/>
        <v>0</v>
      </c>
      <c r="G14" s="8">
        <f t="shared" si="2"/>
        <v>0</v>
      </c>
      <c r="H14" s="8">
        <f t="shared" si="2"/>
        <v>0</v>
      </c>
      <c r="I14" s="8">
        <f t="shared" si="2"/>
        <v>0</v>
      </c>
      <c r="J14" s="8">
        <f t="shared" si="2"/>
        <v>0</v>
      </c>
      <c r="K14" s="8">
        <f t="shared" si="2"/>
        <v>0</v>
      </c>
    </row>
    <row r="16" ht="15.75" customHeight="1">
      <c r="B16" t="s">
        <v>131</v>
      </c>
    </row>
    <row r="17" ht="15.75" customHeight="1">
      <c r="B17" t="s">
        <v>132</v>
      </c>
    </row>
    <row r="18" ht="15.75" customHeight="1">
      <c r="B18" t="s">
        <v>133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04C4AA5-DB58-D2E8-8198-088DD47BB2C4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sheetData>
    <row r="2" ht="15.75" customHeight="1">
      <c r="B2" t="s">
        <v>134</v>
      </c>
    </row>
    <row r="4" ht="15.75" customHeight="1">
      <c r="B4" t="s">
        <v>41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6" ht="15.75" customHeight="1">
      <c r="B6" t="s">
        <v>135</v>
      </c>
      <c r="C6" cm="1">
        <f t="array" ref="C6">Income_Statement!C26</f>
        <v>5.319</v>
      </c>
      <c r="D6" cm="1">
        <f t="array" ref="D6">Income_Statement!D26</f>
        <v>10.1844</v>
      </c>
      <c r="E6" s="9" cm="1">
        <f t="array" ref="E6">Income_Statement!E26</f>
        <v>14.5233126</v>
      </c>
      <c r="F6" s="9" cm="1">
        <f t="array" ref="F6">Income_Statement!F26</f>
        <v>18.420067764</v>
      </c>
      <c r="G6" s="9" cm="1">
        <f t="array" ref="G6">Income_Statement!G26</f>
        <v>22.6452031092</v>
      </c>
      <c r="H6" s="9" cm="1">
        <f t="array" ref="H6">Income_Statement!H26</f>
        <v>27.044209861704</v>
      </c>
      <c r="I6" s="9" cm="1">
        <f t="array" ref="I6">Income_Statement!I26</f>
        <v>31.7012532585941</v>
      </c>
      <c r="J6" s="9" cm="1">
        <f t="array" ref="J6">Income_Statement!J26</f>
        <v>35.0590697801777</v>
      </c>
      <c r="K6" s="9" cm="1">
        <f t="array" ref="K6">Income_Statement!K26</f>
        <v>38.6977179620192</v>
      </c>
    </row>
    <row r="8" ht="15.75" customHeight="1">
      <c r="B8" t="s">
        <v>136</v>
      </c>
    </row>
    <row r="9" ht="15.75" customHeight="1">
      <c r="B9" t="s">
        <v>33</v>
      </c>
      <c r="C9" cm="1">
        <f t="array" ref="C9">Cover_Assumptions!C35</f>
        <v>0.35</v>
      </c>
      <c r="D9" s="9" cm="1">
        <f t="array" ref="D9">Cover_Assumptions!D35</f>
        <v>0</v>
      </c>
      <c r="E9" s="9" cm="1">
        <f t="array" ref="E9">Cover_Assumptions!E35</f>
        <v>0</v>
      </c>
      <c r="F9" s="9" cm="1">
        <f t="array" ref="F9">Cover_Assumptions!F35</f>
        <v>0</v>
      </c>
      <c r="G9" s="9" cm="1">
        <f t="array" ref="G9">Cover_Assumptions!G35</f>
        <v>0</v>
      </c>
      <c r="H9" s="9" cm="1">
        <f t="array" ref="H9">Cover_Assumptions!H35</f>
        <v>0</v>
      </c>
      <c r="I9" s="9" cm="1">
        <f t="array" ref="I9">Cover_Assumptions!I35</f>
        <v>0</v>
      </c>
      <c r="J9" s="9" cm="1">
        <f t="array" ref="J9">Cover_Assumptions!J35</f>
        <v>0</v>
      </c>
      <c r="K9" s="9" cm="1">
        <f t="array" ref="K9">Cover_Assumptions!K35</f>
        <v>0</v>
      </c>
    </row>
    <row r="10" ht="15.75" customHeight="1">
      <c r="B10" t="s">
        <v>137</v>
      </c>
      <c r="C10" s="8">
        <f t="shared" si="0" ref="C10:K10">MAX(0,C6*C9)</f>
        <v>1.86165</v>
      </c>
      <c r="D10" s="8">
        <f t="shared" si="0"/>
        <v>0</v>
      </c>
      <c r="E10" s="8">
        <f t="shared" si="0"/>
        <v>0</v>
      </c>
      <c r="F10" s="8">
        <f t="shared" si="0"/>
        <v>0</v>
      </c>
      <c r="G10" s="8">
        <f t="shared" si="0"/>
        <v>0</v>
      </c>
      <c r="H10" s="8">
        <f t="shared" si="0"/>
        <v>0</v>
      </c>
      <c r="I10" s="8">
        <f t="shared" si="0"/>
        <v>0</v>
      </c>
      <c r="J10" s="8">
        <f t="shared" si="0"/>
        <v>0</v>
      </c>
      <c r="K10" s="8">
        <f t="shared" si="0"/>
        <v>0</v>
      </c>
    </row>
    <row r="12" ht="15.75" customHeight="1">
      <c r="B12" t="s">
        <v>138</v>
      </c>
    </row>
    <row r="13" ht="15.75" customHeight="1">
      <c r="B13" t="s">
        <v>36</v>
      </c>
      <c r="C13" s="8" cm="1">
        <f t="array" ref="C13">Cover_Assumptions!C39</f>
        <v>80</v>
      </c>
      <c r="D13" s="8" cm="1">
        <f t="array" ref="D13">C17</f>
        <v>83.45735</v>
      </c>
      <c r="E13" s="8" cm="1">
        <f t="array" ref="E13">D17</f>
        <v>93.64175</v>
      </c>
      <c r="F13" s="8" cm="1">
        <f t="array" ref="F13">E17</f>
        <v>108.1650626</v>
      </c>
      <c r="G13" s="8" cm="1">
        <f t="array" ref="G13">F17</f>
        <v>126.585130364</v>
      </c>
      <c r="H13" s="8" cm="1">
        <f t="array" ref="H13">G17</f>
        <v>149.2303334732</v>
      </c>
      <c r="I13" s="8" cm="1">
        <f t="array" ref="I13">H17</f>
        <v>176.274543334904</v>
      </c>
      <c r="J13" s="8" cm="1">
        <f t="array" ref="J13">I17</f>
        <v>207.975796593498</v>
      </c>
      <c r="K13" s="8" cm="1">
        <f t="array" ref="K13">J17</f>
        <v>243.034866373676</v>
      </c>
    </row>
    <row r="14" ht="15.75" customHeight="1">
      <c r="B14" t="s">
        <v>139</v>
      </c>
      <c r="C14" s="8" cm="1">
        <f t="array" ref="C14">C6</f>
        <v>5.319</v>
      </c>
      <c r="D14" s="8" cm="1">
        <f t="array" ref="D14">D6</f>
        <v>10.1844</v>
      </c>
      <c r="E14" s="8" cm="1">
        <f t="array" ref="E14">E6</f>
        <v>14.5233126</v>
      </c>
      <c r="F14" s="8" cm="1">
        <f t="array" ref="F14">F6</f>
        <v>18.420067764</v>
      </c>
      <c r="G14" s="8" cm="1">
        <f t="array" ref="G14">G6</f>
        <v>22.6452031092</v>
      </c>
      <c r="H14" s="8" cm="1">
        <f t="array" ref="H14">H6</f>
        <v>27.044209861704</v>
      </c>
      <c r="I14" s="8" cm="1">
        <f t="array" ref="I14">I6</f>
        <v>31.7012532585941</v>
      </c>
      <c r="J14" s="8" cm="1">
        <f t="array" ref="J14">J6</f>
        <v>35.0590697801777</v>
      </c>
      <c r="K14" s="8" cm="1">
        <f t="array" ref="K14">K6</f>
        <v>38.6977179620192</v>
      </c>
    </row>
    <row r="15" ht="15.75" customHeight="1">
      <c r="B15" t="s">
        <v>140</v>
      </c>
      <c r="C15" s="8" cm="1">
        <f t="array" ref="C15">C10</f>
        <v>1.86165</v>
      </c>
      <c r="D15" s="8" cm="1">
        <f t="array" ref="D15">D10</f>
        <v>0</v>
      </c>
      <c r="E15" s="8" cm="1">
        <f t="array" ref="E15">E10</f>
        <v>0</v>
      </c>
      <c r="F15" s="8" cm="1">
        <f t="array" ref="F15">F10</f>
        <v>0</v>
      </c>
      <c r="G15" s="8" cm="1">
        <f t="array" ref="G15">G10</f>
        <v>0</v>
      </c>
      <c r="H15" s="8" cm="1">
        <f t="array" ref="H15">H10</f>
        <v>0</v>
      </c>
      <c r="I15" s="8" cm="1">
        <f t="array" ref="I15">I10</f>
        <v>0</v>
      </c>
      <c r="J15" s="8" cm="1">
        <f t="array" ref="J15">J10</f>
        <v>0</v>
      </c>
      <c r="K15" s="8" cm="1">
        <f t="array" ref="K15">K10</f>
        <v>0</v>
      </c>
    </row>
    <row r="17" ht="15.75" customHeight="1">
      <c r="B17" t="s">
        <v>141</v>
      </c>
      <c r="C17" s="8">
        <f t="shared" si="1" ref="C17:K17">C13+C14-C15</f>
        <v>83.45735</v>
      </c>
      <c r="D17" s="8">
        <f t="shared" si="1"/>
        <v>93.64175</v>
      </c>
      <c r="E17" s="8">
        <f t="shared" si="1"/>
        <v>108.1650626</v>
      </c>
      <c r="F17" s="8">
        <f t="shared" si="1"/>
        <v>126.585130364</v>
      </c>
      <c r="G17" s="8">
        <f t="shared" si="1"/>
        <v>149.2303334732</v>
      </c>
      <c r="H17" s="8">
        <f t="shared" si="1"/>
        <v>176.274543334904</v>
      </c>
      <c r="I17" s="8">
        <f t="shared" si="1"/>
        <v>207.975796593498</v>
      </c>
      <c r="J17" s="8">
        <f t="shared" si="1"/>
        <v>243.034866373676</v>
      </c>
      <c r="K17" s="8">
        <f t="shared" si="1"/>
        <v>281.732584335695</v>
      </c>
    </row>
    <row r="19" ht="15.75" customHeight="1">
      <c r="B19" t="s">
        <v>142</v>
      </c>
    </row>
    <row r="20" ht="15.75" customHeight="1">
      <c r="B20" t="s">
        <v>143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ED0C748-B478-036E-3A38-5FE7D249D561}" mc:Ignorable="x14ac xr xr2 xr3">
  <dimension ref="A1:GR50000"/>
  <sheetViews>
    <sheetView showGridLines="0" topLeftCell="A1" workbookViewId="0">
      <selection activeCell="A1" sqref="A1"/>
    </sheetView>
  </sheetViews>
  <sheetFormatPr defaultRowHeight="15" defaultColWidth="7.75390625" customHeight="1"/>
  <sheetData>
    <row r="2" ht="15.75" customHeight="1">
      <c r="B2" t="s">
        <v>144</v>
      </c>
    </row>
    <row r="4" ht="15.75" customHeight="1">
      <c r="B4" t="s">
        <v>41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6" ht="15.75" customHeight="1">
      <c r="B6" t="s">
        <v>145</v>
      </c>
    </row>
    <row r="7" ht="15.75" customHeight="1">
      <c r="B7" t="s">
        <v>94</v>
      </c>
      <c r="C7" cm="1">
        <f t="array" ref="C7">Income_Statement!C7</f>
        <v>200</v>
      </c>
      <c r="D7" s="9" cm="1">
        <f t="array" ref="D7">Income_Statement!D7</f>
        <v>226</v>
      </c>
      <c r="E7" s="9" cm="1">
        <f t="array" ref="E7">Income_Statement!E7</f>
        <v>258.77</v>
      </c>
      <c r="F7" s="9" cm="1">
        <f t="array" ref="F7">Income_Statement!F7</f>
        <v>289.8224</v>
      </c>
      <c r="G7" s="9" cm="1">
        <f t="array" ref="G7">Income_Statement!G7</f>
        <v>318.80464</v>
      </c>
      <c r="H7" s="9" cm="1">
        <f t="array" ref="H7">Income_Statement!H7</f>
        <v>344.3090112</v>
      </c>
      <c r="I7" s="9" cm="1">
        <f t="array" ref="I7">Income_Statement!I7</f>
        <v>368.410641984</v>
      </c>
      <c r="J7" s="9" cm="1">
        <f t="array" ref="J7">Income_Statement!J7</f>
        <v>390.51528050304</v>
      </c>
      <c r="K7" s="9" cm="1">
        <f t="array" ref="K7">Income_Statement!K7</f>
        <v>413.946197333222</v>
      </c>
    </row>
    <row r="8" ht="15.75" customHeight="1">
      <c r="B8" t="s">
        <v>146</v>
      </c>
      <c r="C8">
        <v>0</v>
      </c>
      <c r="D8" s="10">
        <f t="shared" si="0" ref="D8:K8">(D7-C7)/C7</f>
        <v>0.13</v>
      </c>
      <c r="E8" s="10">
        <f t="shared" si="0"/>
        <v>0.145</v>
      </c>
      <c r="F8" s="10">
        <f t="shared" si="0"/>
        <v>0.12</v>
      </c>
      <c r="G8" s="10">
        <f t="shared" si="0"/>
        <v>0.1</v>
      </c>
      <c r="H8" s="10">
        <f t="shared" si="0"/>
        <v>0.08</v>
      </c>
      <c r="I8" s="10">
        <f t="shared" si="0"/>
        <v>0.07</v>
      </c>
      <c r="J8" s="10">
        <f t="shared" si="0"/>
        <v>0.06</v>
      </c>
      <c r="K8" s="10">
        <f t="shared" si="0"/>
        <v>0.059999999999999</v>
      </c>
    </row>
    <row r="10" ht="15.75" customHeight="1">
      <c r="B10" t="s">
        <v>147</v>
      </c>
    </row>
    <row r="11" ht="15.75" customHeight="1">
      <c r="B11" t="s">
        <v>17</v>
      </c>
      <c r="C11" cm="1">
        <f t="array" ref="C11">Income_Statement!C11</f>
        <v>0.25</v>
      </c>
      <c r="D11" s="9" cm="1">
        <f t="array" ref="D11">Income_Statement!D11</f>
        <v>0.26</v>
      </c>
      <c r="E11" s="9" cm="1">
        <f t="array" ref="E11">Income_Statement!E11</f>
        <v>0.27</v>
      </c>
      <c r="F11" s="9" cm="1">
        <f t="array" ref="F11">Income_Statement!F11</f>
        <v>0.275</v>
      </c>
      <c r="G11" s="9" cm="1">
        <f t="array" ref="G11">Income_Statement!G11</f>
        <v>0.28</v>
      </c>
      <c r="H11" s="9" cm="1">
        <f t="array" ref="H11">Income_Statement!H11</f>
        <v>0.285</v>
      </c>
      <c r="I11" s="9" cm="1">
        <f t="array" ref="I11">Income_Statement!I11</f>
        <v>0.29</v>
      </c>
      <c r="J11" s="9" cm="1">
        <f t="array" ref="J11">Income_Statement!J11</f>
        <v>0.295</v>
      </c>
      <c r="K11" s="9" cm="1">
        <f t="array" ref="K11">Income_Statement!K11</f>
        <v>0.3</v>
      </c>
    </row>
    <row r="12" ht="15.75" customHeight="1">
      <c r="B12" t="s">
        <v>47</v>
      </c>
      <c r="C12" cm="1">
        <f t="array" ref="C12">Income_Statement!C16</f>
        <v>0.07</v>
      </c>
      <c r="D12" s="9" cm="1">
        <f t="array" ref="D12">Income_Statement!D16</f>
        <v>0.085</v>
      </c>
      <c r="E12" s="9" cm="1">
        <f t="array" ref="E12">Income_Statement!E16</f>
        <v>0.1</v>
      </c>
      <c r="F12" s="9" cm="1">
        <f t="array" ref="F12">Income_Statement!F16</f>
        <v>0.11</v>
      </c>
      <c r="G12" s="9" cm="1">
        <f t="array" ref="G12">Income_Statement!G16</f>
        <v>0.12</v>
      </c>
      <c r="H12" s="9" cm="1">
        <f t="array" ref="H12">Income_Statement!H16</f>
        <v>0.13</v>
      </c>
      <c r="I12" s="9" cm="1">
        <f t="array" ref="I12">Income_Statement!I16</f>
        <v>0.14</v>
      </c>
      <c r="J12" s="9" cm="1">
        <f t="array" ref="J12">Income_Statement!J16</f>
        <v>0.145</v>
      </c>
      <c r="K12" s="9" cm="1">
        <f t="array" ref="K12">Income_Statement!K16</f>
        <v>0.15</v>
      </c>
    </row>
    <row r="13" ht="15.75" customHeight="1">
      <c r="B13" t="s">
        <v>54</v>
      </c>
      <c r="C13" cm="1">
        <f t="array" ref="C13">Income_Statement!C27</f>
        <v>0.026595</v>
      </c>
      <c r="D13" s="9" cm="1">
        <f t="array" ref="D13">Income_Statement!D27</f>
        <v>0.0450637168141593</v>
      </c>
      <c r="E13" s="9" cm="1">
        <f t="array" ref="E13">Income_Statement!E27</f>
        <v>0.0561244062294702</v>
      </c>
      <c r="F13" s="9" cm="1">
        <f t="array" ref="F13">Income_Statement!F27</f>
        <v>0.0635563978629671</v>
      </c>
      <c r="G13" s="9" cm="1">
        <f t="array" ref="G13">Income_Statement!G27</f>
        <v>0.0710315982515185</v>
      </c>
      <c r="H13" s="9" cm="1">
        <f t="array" ref="H13">Income_Statement!H27</f>
        <v>0.0785463318762655</v>
      </c>
      <c r="I13" s="9" cm="1">
        <f t="array" ref="I13">Income_Statement!I27</f>
        <v>0.086048690363214</v>
      </c>
      <c r="J13" s="9" cm="1">
        <f t="array" ref="J13">Income_Statement!J27</f>
        <v>0.0897764352140499</v>
      </c>
      <c r="K13" s="9" cm="1">
        <f t="array" ref="K13">Income_Statement!K27</f>
        <v>0.0934848978232501</v>
      </c>
    </row>
    <row r="15" ht="15.75" customHeight="1">
      <c r="B15" t="s">
        <v>148</v>
      </c>
    </row>
    <row r="16" ht="15.75" customHeight="1">
      <c r="B16" t="s">
        <v>149</v>
      </c>
      <c r="C16" s="10">
        <f>Income_Statement!C26/Balance_Sheet!C20</f>
        <v>0.0361961199965323</v>
      </c>
      <c r="D16" s="10">
        <f>Income_Statement!D26/Balance_Sheet!D20</f>
        <v>0.0674673990224403</v>
      </c>
      <c r="E16" s="10">
        <f>Income_Statement!E26/Balance_Sheet!E20</f>
        <v>0.0883628094766589</v>
      </c>
      <c r="F16" s="10">
        <f>Income_Statement!F26/Balance_Sheet!F20</f>
        <v>0.101299240548035</v>
      </c>
      <c r="G16" s="10">
        <f>Income_Statement!G26/Balance_Sheet!G20</f>
        <v>0.110931723048757</v>
      </c>
      <c r="H16" s="10">
        <f>Income_Statement!H26/Balance_Sheet!H20</f>
        <v>0.11825797555634</v>
      </c>
      <c r="I16" s="10">
        <f>Income_Statement!I26/Balance_Sheet!I20</f>
        <v>0.123011992406029</v>
      </c>
      <c r="J16" s="10">
        <f>Income_Statement!J26/Balance_Sheet!J20</f>
        <v>0.120960757004585</v>
      </c>
      <c r="K16" s="10">
        <f>Income_Statement!K26/Balance_Sheet!K20</f>
        <v>0.11880912315344</v>
      </c>
    </row>
    <row r="17" ht="15.75" customHeight="1">
      <c r="B17" t="s">
        <v>150</v>
      </c>
      <c r="C17" s="10">
        <f>Income_Statement!C26/Balance_Sheet!C36</f>
        <v>0.0637331523227133</v>
      </c>
      <c r="D17" s="10">
        <f>Income_Statement!D26/Balance_Sheet!D36</f>
        <v>0.108759180600533</v>
      </c>
      <c r="E17" s="10">
        <f>Income_Statement!E26/Balance_Sheet!E36</f>
        <v>0.134269904263893</v>
      </c>
      <c r="F17" s="10">
        <f>Income_Statement!F26/Balance_Sheet!F36</f>
        <v>0.145515256894964</v>
      </c>
      <c r="G17" s="10">
        <f>Income_Statement!G26/Balance_Sheet!G36</f>
        <v>0.151746649505858</v>
      </c>
      <c r="H17" s="10">
        <f>Income_Statement!H26/Balance_Sheet!H36</f>
        <v>0.1534209611329</v>
      </c>
      <c r="I17" s="10">
        <f>Income_Statement!I26/Balance_Sheet!I36</f>
        <v>0.152427608297884</v>
      </c>
      <c r="J17" s="10">
        <f>Income_Statement!J26/Balance_Sheet!J36</f>
        <v>0.144255309138537</v>
      </c>
      <c r="K17" s="10">
        <f>Income_Statement!K26/Balance_Sheet!K36</f>
        <v>0.137356202702877</v>
      </c>
    </row>
    <row r="19" ht="15.75" customHeight="1">
      <c r="B19" t="s">
        <v>151</v>
      </c>
    </row>
    <row r="20" ht="15.75" customHeight="1">
      <c r="B20" t="s">
        <v>152</v>
      </c>
      <c r="C20" s="11">
        <f>Balance_Sheet!C30/Income_Statement!C15</f>
        <v>3.21428571428571</v>
      </c>
      <c r="D20" s="11">
        <f>Balance_Sheet!D30/Income_Statement!D15</f>
        <v>2.08224882873503</v>
      </c>
      <c r="E20" s="11">
        <f>Balance_Sheet!E30/Income_Statement!E15</f>
        <v>1.35255245971326</v>
      </c>
      <c r="F20" s="11">
        <f>Balance_Sheet!F30/Income_Statement!F15</f>
        <v>0.941015162138167</v>
      </c>
      <c r="G20" s="11">
        <f>Balance_Sheet!G30/Income_Statement!G15</f>
        <v>0.653482751484838</v>
      </c>
      <c r="H20" s="11">
        <f>Balance_Sheet!H30/Income_Statement!H15</f>
        <v>0.446825812981086</v>
      </c>
      <c r="I20" s="11">
        <f>Balance_Sheet!I30/Income_Statement!I15</f>
        <v>0.290824544497035</v>
      </c>
      <c r="J20" s="11">
        <f>Balance_Sheet!J30/Income_Statement!J15</f>
        <v>0.176601328256711</v>
      </c>
      <c r="K20" s="11">
        <f>Balance_Sheet!K30/Income_Statement!K15</f>
        <v>0.0805257628843493</v>
      </c>
    </row>
    <row r="21" ht="15.75" customHeight="1">
      <c r="B21" t="s">
        <v>153</v>
      </c>
      <c r="C21" s="11">
        <f>(Balance_Sheet!C30-Balance_Sheet!C10)/Income_Statement!C15</f>
        <v>0.252142857142858</v>
      </c>
      <c r="D21" s="11">
        <f>(Balance_Sheet!D30-Balance_Sheet!D10)/Income_Statement!D15</f>
        <v>0.222664280162301</v>
      </c>
      <c r="E21" s="11">
        <f>(Balance_Sheet!E30-Balance_Sheet!E10)/Income_Statement!E15</f>
        <v>-0.100473018722394</v>
      </c>
      <c r="F21" s="11">
        <f>(Balance_Sheet!F30-Balance_Sheet!F10)/Income_Statement!F15</f>
        <v>-0.472051465209763</v>
      </c>
      <c r="G21" s="11">
        <f>(Balance_Sheet!G30-Balance_Sheet!G10)/Income_Statement!G15</f>
        <v>-0.937517050667869</v>
      </c>
      <c r="H21" s="11">
        <f>(Balance_Sheet!H30-Balance_Sheet!H10)/Income_Statement!H15</f>
        <v>-1.27073516260042</v>
      </c>
      <c r="I21" s="11">
        <f>(Balance_Sheet!I30-Balance_Sheet!I10)/Income_Statement!I15</f>
        <v>-1.59648043177565</v>
      </c>
      <c r="J21" s="11">
        <f>(Balance_Sheet!J30-Balance_Sheet!J10)/Income_Statement!J15</f>
        <v>-1.96242079606839</v>
      </c>
      <c r="K21" s="11">
        <f>(Balance_Sheet!K30-Balance_Sheet!K10)/Income_Statement!K15</f>
        <v>-2.30470025042344</v>
      </c>
    </row>
    <row r="22" ht="15.75" customHeight="1">
      <c r="B22" t="s">
        <v>154</v>
      </c>
      <c r="C22" s="11">
        <f>_xlfn.IFERROR(Income_Statement!C20/(-Income_Statement!C21),0)</f>
        <v>3.82775119617225</v>
      </c>
      <c r="D22" s="11">
        <f>_xlfn.IFERROR(Income_Statement!D20/(-Income_Statement!D21),0)</f>
        <v>0</v>
      </c>
      <c r="E22" s="11">
        <f>_xlfn.IFERROR(Income_Statement!E20/(-Income_Statement!E21),0)</f>
        <v>0</v>
      </c>
      <c r="F22" s="11">
        <f>_xlfn.IFERROR(Income_Statement!F20/(-Income_Statement!F21),0)</f>
        <v>0</v>
      </c>
      <c r="G22" s="11">
        <f>_xlfn.IFERROR(Income_Statement!G20/(-Income_Statement!G21),0)</f>
        <v>0</v>
      </c>
      <c r="H22" s="11">
        <f>_xlfn.IFERROR(Income_Statement!H20/(-Income_Statement!H21),0)</f>
        <v>0</v>
      </c>
      <c r="I22" s="11">
        <f>_xlfn.IFERROR(Income_Statement!I20/(-Income_Statement!I21),0)</f>
        <v>0</v>
      </c>
      <c r="J22" s="11">
        <f>_xlfn.IFERROR(Income_Statement!J20/(-Income_Statement!J21),0)</f>
        <v>0</v>
      </c>
      <c r="K22" s="11">
        <f>_xlfn.IFERROR(Income_Statement!K20/(-Income_Statement!K21),0)</f>
        <v>0</v>
      </c>
    </row>
    <row r="24" ht="15.75" customHeight="1">
      <c r="B24" t="s">
        <v>155</v>
      </c>
    </row>
    <row r="25" ht="15.75" customHeight="1">
      <c r="B25" t="s">
        <v>112</v>
      </c>
      <c r="C25" cm="1">
        <f t="array" ref="C25">Working_Capital!C10</f>
        <v>45</v>
      </c>
      <c r="D25" s="9" cm="1">
        <f t="array" ref="D25">Working_Capital!D10</f>
        <v>42</v>
      </c>
      <c r="E25" s="9" cm="1">
        <f t="array" ref="E25">Working_Capital!E10</f>
        <v>40</v>
      </c>
      <c r="F25" s="9" cm="1">
        <f t="array" ref="F25">Working_Capital!F10</f>
        <v>38</v>
      </c>
      <c r="G25" s="9" cm="1">
        <f t="array" ref="G25">Working_Capital!G10</f>
        <v>35</v>
      </c>
      <c r="H25" s="9" cm="1">
        <f t="array" ref="H25">Working_Capital!H10</f>
        <v>35</v>
      </c>
      <c r="I25" s="9" cm="1">
        <f t="array" ref="I25">Working_Capital!I10</f>
        <v>35</v>
      </c>
      <c r="J25" s="9" cm="1">
        <f t="array" ref="J25">Working_Capital!J10</f>
        <v>35</v>
      </c>
      <c r="K25" s="9" cm="1">
        <f t="array" ref="K25">Working_Capital!K10</f>
        <v>35</v>
      </c>
    </row>
    <row r="26" ht="15.75" customHeight="1">
      <c r="B26" t="s">
        <v>21</v>
      </c>
      <c r="C26" cm="1">
        <f t="array" ref="C26">Working_Capital!C14</f>
        <v>75</v>
      </c>
      <c r="D26" s="9" cm="1">
        <f t="array" ref="D26">Working_Capital!D14</f>
        <v>72</v>
      </c>
      <c r="E26" s="9" cm="1">
        <f t="array" ref="E26">Working_Capital!E14</f>
        <v>70</v>
      </c>
      <c r="F26" s="9" cm="1">
        <f t="array" ref="F26">Working_Capital!F14</f>
        <v>68</v>
      </c>
      <c r="G26" s="9" cm="1">
        <f t="array" ref="G26">Working_Capital!G14</f>
        <v>65</v>
      </c>
      <c r="H26" s="9" cm="1">
        <f t="array" ref="H26">Working_Capital!H14</f>
        <v>65</v>
      </c>
      <c r="I26" s="9" cm="1">
        <f t="array" ref="I26">Working_Capital!I14</f>
        <v>65</v>
      </c>
      <c r="J26" s="9" cm="1">
        <f t="array" ref="J26">Working_Capital!J14</f>
        <v>65</v>
      </c>
      <c r="K26" s="9" cm="1">
        <f t="array" ref="K26">Working_Capital!K14</f>
        <v>65</v>
      </c>
    </row>
    <row r="27" ht="15.75" customHeight="1">
      <c r="B27" t="s">
        <v>117</v>
      </c>
      <c r="C27" cm="1">
        <f t="array" ref="C27">Working_Capital!C18</f>
        <v>45</v>
      </c>
      <c r="D27" s="9" cm="1">
        <f t="array" ref="D27">Working_Capital!D18</f>
        <v>48</v>
      </c>
      <c r="E27" s="9" cm="1">
        <f t="array" ref="E27">Working_Capital!E18</f>
        <v>50</v>
      </c>
      <c r="F27" s="9" cm="1">
        <f t="array" ref="F27">Working_Capital!F18</f>
        <v>52</v>
      </c>
      <c r="G27" s="9" cm="1">
        <f t="array" ref="G27">Working_Capital!G18</f>
        <v>55</v>
      </c>
      <c r="H27" s="9" cm="1">
        <f t="array" ref="H27">Working_Capital!H18</f>
        <v>55</v>
      </c>
      <c r="I27" s="9" cm="1">
        <f t="array" ref="I27">Working_Capital!I18</f>
        <v>55</v>
      </c>
      <c r="J27" s="9" cm="1">
        <f t="array" ref="J27">Working_Capital!J18</f>
        <v>55</v>
      </c>
      <c r="K27" s="9" cm="1">
        <f t="array" ref="K27">Working_Capital!K18</f>
        <v>55</v>
      </c>
    </row>
    <row r="28" ht="15.75" customHeight="1">
      <c r="B28" t="s">
        <v>156</v>
      </c>
      <c r="C28" s="8">
        <f t="shared" si="1" ref="C28:K28">C25+C26-C27</f>
        <v>75</v>
      </c>
      <c r="D28" s="8">
        <f t="shared" si="1"/>
        <v>66</v>
      </c>
      <c r="E28" s="8">
        <f t="shared" si="1"/>
        <v>60</v>
      </c>
      <c r="F28" s="8">
        <f t="shared" si="1"/>
        <v>54</v>
      </c>
      <c r="G28" s="8">
        <f t="shared" si="1"/>
        <v>45</v>
      </c>
      <c r="H28" s="8">
        <f t="shared" si="1"/>
        <v>45</v>
      </c>
      <c r="I28" s="8">
        <f t="shared" si="1"/>
        <v>45</v>
      </c>
      <c r="J28" s="8">
        <f t="shared" si="1"/>
        <v>45</v>
      </c>
      <c r="K28" s="8">
        <f t="shared" si="1"/>
        <v>45</v>
      </c>
    </row>
    <row r="30" ht="15.75" customHeight="1">
      <c r="B30" t="s">
        <v>157</v>
      </c>
      <c r="C30" cm="1">
        <f t="array" ref="C30">Income_Statement!C15</f>
        <v>14</v>
      </c>
      <c r="D30" s="9" cm="1">
        <f t="array" ref="D30">Income_Statement!D15</f>
        <v>19.21</v>
      </c>
      <c r="E30" s="9" cm="1">
        <f t="array" ref="E30">Income_Statement!E15</f>
        <v>25.877</v>
      </c>
      <c r="F30" s="9" cm="1">
        <f t="array" ref="F30">Income_Statement!F15</f>
        <v>31.880464</v>
      </c>
      <c r="G30" s="9" cm="1">
        <f t="array" ref="G30">Income_Statement!G15</f>
        <v>38.2565568</v>
      </c>
      <c r="H30" s="9" cm="1">
        <f t="array" ref="H30">Income_Statement!H15</f>
        <v>44.760171456</v>
      </c>
      <c r="I30" s="9" cm="1">
        <f t="array" ref="I30">Income_Statement!I15</f>
        <v>51.57748987776</v>
      </c>
      <c r="J30" s="9" cm="1">
        <f t="array" ref="J30">Income_Statement!J15</f>
        <v>56.624715672941</v>
      </c>
      <c r="K30" s="9" cm="1">
        <f t="array" ref="K30">Income_Statement!K15</f>
        <v>62.0919295999837</v>
      </c>
    </row>
    <row r="32" ht="15.75" customHeight="1">
      <c r="B32" t="s">
        <v>158</v>
      </c>
    </row>
    <row r="33" ht="15.75" customHeight="1">
      <c r="B33" t="s">
        <v>41</v>
      </c>
      <c r="C33" t="s">
        <v>4</v>
      </c>
      <c r="D33" t="s">
        <v>5</v>
      </c>
      <c r="E33" t="s">
        <v>6</v>
      </c>
      <c r="F33" t="s">
        <v>7</v>
      </c>
      <c r="G33" t="s">
        <v>8</v>
      </c>
      <c r="H33" t="s">
        <v>9</v>
      </c>
      <c r="I33" t="s">
        <v>10</v>
      </c>
      <c r="J33" t="s">
        <v>11</v>
      </c>
      <c r="K33" t="s">
        <v>12</v>
      </c>
    </row>
    <row r="34" ht="15.75" customHeight="1">
      <c r="B34" t="s">
        <v>42</v>
      </c>
      <c r="C34" cm="1">
        <f t="array" ref="C34">C7</f>
        <v>200</v>
      </c>
      <c r="D34" s="9" cm="1">
        <f t="array" ref="D34">D7</f>
        <v>226</v>
      </c>
      <c r="E34" s="9" cm="1">
        <f t="array" ref="E34">E7</f>
        <v>258.77</v>
      </c>
      <c r="F34" s="9" cm="1">
        <f t="array" ref="F34">F7</f>
        <v>289.8224</v>
      </c>
      <c r="G34" s="9" cm="1">
        <f t="array" ref="G34">G7</f>
        <v>318.80464</v>
      </c>
      <c r="H34" s="9" cm="1">
        <f t="array" ref="H34">H7</f>
        <v>344.3090112</v>
      </c>
      <c r="I34" s="9" cm="1">
        <f t="array" ref="I34">I7</f>
        <v>368.410641984</v>
      </c>
      <c r="J34" s="9" cm="1">
        <f t="array" ref="J34">J7</f>
        <v>390.51528050304</v>
      </c>
      <c r="K34" s="9" cm="1">
        <f t="array" ref="K34">K7</f>
        <v>413.946197333222</v>
      </c>
    </row>
    <row r="35" ht="15.75" customHeight="1">
      <c r="B35" t="s">
        <v>46</v>
      </c>
      <c r="C35" cm="1">
        <f t="array" ref="C35">C30</f>
        <v>14</v>
      </c>
      <c r="D35" s="9" cm="1">
        <f t="array" ref="D35">D30</f>
        <v>19.21</v>
      </c>
      <c r="E35" s="9" cm="1">
        <f t="array" ref="E35">E30</f>
        <v>25.877</v>
      </c>
      <c r="F35" s="9" cm="1">
        <f t="array" ref="F35">F30</f>
        <v>31.880464</v>
      </c>
      <c r="G35" s="9" cm="1">
        <f t="array" ref="G35">G30</f>
        <v>38.2565568</v>
      </c>
      <c r="H35" s="9" cm="1">
        <f t="array" ref="H35">H30</f>
        <v>44.760171456</v>
      </c>
      <c r="I35" s="9" cm="1">
        <f t="array" ref="I35">I30</f>
        <v>51.57748987776</v>
      </c>
      <c r="J35" s="9" cm="1">
        <f t="array" ref="J35">J30</f>
        <v>56.624715672941</v>
      </c>
      <c r="K35" s="9" cm="1">
        <f t="array" ref="K35">K30</f>
        <v>62.0919295999837</v>
      </c>
    </row>
    <row r="36" ht="15.75" customHeight="1">
      <c r="B36" t="s">
        <v>41</v>
      </c>
      <c r="C36" t="s">
        <v>4</v>
      </c>
      <c r="D36" s="9" t="s">
        <v>5</v>
      </c>
      <c r="E36" s="9" t="s">
        <v>6</v>
      </c>
      <c r="F36" s="9" t="s">
        <v>7</v>
      </c>
      <c r="G36" s="9" t="s">
        <v>8</v>
      </c>
      <c r="H36" s="9" t="s">
        <v>9</v>
      </c>
      <c r="I36" s="9" t="s">
        <v>10</v>
      </c>
      <c r="J36" s="9" t="s">
        <v>11</v>
      </c>
      <c r="K36" s="9" t="s">
        <v>12</v>
      </c>
    </row>
    <row r="37" ht="15.75" customHeight="1">
      <c r="B37" t="s">
        <v>159</v>
      </c>
      <c r="C37" cm="1">
        <f t="array" ref="C37">Balance_Sheet!C10</f>
        <v>41.469999999999985</v>
      </c>
      <c r="D37" s="9" cm="1">
        <f t="array" ref="D37">Balance_Sheet!D10</f>
        <v>35.7226191780822</v>
      </c>
      <c r="E37" s="9" cm="1">
        <f t="array" ref="E37">Balance_Sheet!E10</f>
        <v>37.5999403054794</v>
      </c>
      <c r="F37" s="9" cm="1">
        <f t="array" ref="F37">Balance_Sheet!F10</f>
        <v>45.0492197427671</v>
      </c>
      <c r="G37" s="9" cm="1">
        <f t="array" ref="G37">Balance_Sheet!G10</f>
        <v>60.8661742998438</v>
      </c>
      <c r="H37" s="9" cm="1">
        <f t="array" ref="H37">Balance_Sheet!H10</f>
        <v>76.878323753163</v>
      </c>
      <c r="I37" s="9" cm="1">
        <f t="array" ref="I37">Balance_Sheet!I10</f>
        <v>97.3424533099504</v>
      </c>
      <c r="J37" s="9" cm="1">
        <f t="array" ref="J37">Balance_Sheet!J10</f>
        <v>121.121519608039</v>
      </c>
      <c r="K37" s="9" cm="1">
        <f t="array" ref="K37">Balance_Sheet!K10</f>
        <v>148.103285698357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0E5F45B-D6EC-9E68-61F8-8D74F089368C}" mc:Ignorable="x14ac xr xr2 xr3">
  <dimension ref="A1:GR50000"/>
  <sheetViews>
    <sheetView showGridLines="0" topLeftCell="A1" workbookViewId="0">
      <selection activeCell="E9" sqref="E9"/>
    </sheetView>
  </sheetViews>
  <sheetFormatPr defaultRowHeight="15" defaultColWidth="7.75390625" customHeight="1"/>
  <sheetData>
    <row r="2" ht="15.75" customHeight="1">
      <c r="B2" t="s">
        <v>160</v>
      </c>
    </row>
    <row r="3" ht="15.75" customHeight="1">
      <c r="B3" t="s">
        <v>161</v>
      </c>
    </row>
    <row r="5" ht="15.75" customHeight="1">
      <c r="B5" t="s">
        <v>41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</row>
    <row r="7" ht="15.75" customHeight="1">
      <c r="B7" t="s">
        <v>162</v>
      </c>
    </row>
    <row r="8" ht="15.75" customHeight="1">
      <c r="B8" t="s">
        <v>163</v>
      </c>
      <c r="C8" s="12" cm="1">
        <f t="array" ref="C8">Balance_Sheet!C40</f>
        <v>-0.00104863013800127</v>
      </c>
      <c r="D8" s="12" cm="1">
        <f t="array" ref="D8">Balance_Sheet!D40</f>
        <v>-4.68204863013699</v>
      </c>
      <c r="E8" s="12" cm="1">
        <f t="array" ref="E8">Balance_Sheet!E40</f>
        <v>-4.68204863013702</v>
      </c>
      <c r="F8" s="12" cm="1">
        <f t="array" ref="F8">Balance_Sheet!F40</f>
        <v>-4.68204863013702</v>
      </c>
      <c r="G8" s="12" cm="1">
        <f t="array" ref="G8">Balance_Sheet!G40</f>
        <v>-4.68204863013699</v>
      </c>
      <c r="H8" s="12" cm="1">
        <f t="array" ref="H8">Balance_Sheet!H40</f>
        <v>-4.68204863013699</v>
      </c>
      <c r="I8" s="12" cm="1">
        <f t="array" ref="I8">Balance_Sheet!I40</f>
        <v>-4.68204863013699</v>
      </c>
      <c r="J8" s="12" cm="1">
        <f t="array" ref="J8">Balance_Sheet!J40</f>
        <v>-4.68204863013801</v>
      </c>
      <c r="K8" s="12" cm="1">
        <f t="array" ref="K8">Balance_Sheet!K40</f>
        <v>-4.68204863013699</v>
      </c>
    </row>
    <row r="9" ht="15.75" customHeight="1">
      <c r="B9" t="s">
        <v>164</v>
      </c>
      <c r="C9" t="str">
        <f t="shared" si="0" ref="C9:K15">IF(ABS(C8)&lt;0.01,"PASS","FAIL")</f>
        <v>PASS</v>
      </c>
      <c r="D9" s="9" t="str">
        <f t="shared" si="0"/>
        <v>FAIL</v>
      </c>
      <c r="E9" s="9" t="str">
        <f t="shared" si="0"/>
        <v>FAIL</v>
      </c>
      <c r="F9" s="9" t="str">
        <f t="shared" si="0"/>
        <v>FAIL</v>
      </c>
      <c r="G9" s="9" t="str">
        <f t="shared" si="0"/>
        <v>FAIL</v>
      </c>
      <c r="H9" s="9" t="str">
        <f t="shared" si="0"/>
        <v>FAIL</v>
      </c>
      <c r="I9" s="9" t="str">
        <f t="shared" si="0"/>
        <v>FAIL</v>
      </c>
      <c r="J9" s="9" t="str">
        <f t="shared" si="0"/>
        <v>FAIL</v>
      </c>
      <c r="K9" s="9" t="str">
        <f t="shared" si="0"/>
        <v>FAIL</v>
      </c>
    </row>
    <row r="11" ht="15.75" customHeight="1">
      <c r="B11" t="s">
        <v>167</v>
      </c>
    </row>
    <row r="12" ht="15.75" customHeight="1">
      <c r="B12" t="s">
        <v>168</v>
      </c>
      <c r="C12" s="12" cm="1">
        <f t="array" ref="C12">Cash_Flow!C30</f>
        <v>36.789</v>
      </c>
      <c r="D12" s="12" cm="1">
        <f t="array" ref="D12">Cash_Flow!D30</f>
        <v>35.7226191780822</v>
      </c>
      <c r="E12" s="12" cm="1">
        <f t="array" ref="E12">Cash_Flow!E30</f>
        <v>37.5999403054794</v>
      </c>
      <c r="F12" s="12" cm="1">
        <f t="array" ref="F12">Cash_Flow!F30</f>
        <v>45.0492197427671</v>
      </c>
      <c r="G12" s="12" cm="1">
        <f t="array" ref="G12">Cash_Flow!G30</f>
        <v>60.8661742998438</v>
      </c>
      <c r="H12" s="12" cm="1">
        <f t="array" ref="H12">Cash_Flow!H30</f>
        <v>76.878323753163</v>
      </c>
      <c r="I12" s="12" cm="1">
        <f t="array" ref="I12">Cash_Flow!I30</f>
        <v>97.3424533099504</v>
      </c>
      <c r="J12" s="12" cm="1">
        <f t="array" ref="J12">Cash_Flow!J30</f>
        <v>121.121519608039</v>
      </c>
      <c r="K12" s="12" cm="1">
        <f t="array" ref="K12">Cash_Flow!K30</f>
        <v>148.103285698357</v>
      </c>
    </row>
    <row r="13" ht="15.75" customHeight="1">
      <c r="B13" t="s">
        <v>169</v>
      </c>
      <c r="C13" s="12" cm="1">
        <f t="array" ref="C13">Balance_Sheet!C10</f>
        <v>41.469999999999985</v>
      </c>
      <c r="D13" s="12" cm="1">
        <f t="array" ref="D13">Balance_Sheet!D10</f>
        <v>35.7226191780822</v>
      </c>
      <c r="E13" s="12" cm="1">
        <f t="array" ref="E13">Balance_Sheet!E10</f>
        <v>37.5999403054794</v>
      </c>
      <c r="F13" s="12" cm="1">
        <f t="array" ref="F13">Balance_Sheet!F10</f>
        <v>45.0492197427671</v>
      </c>
      <c r="G13" s="12" cm="1">
        <f t="array" ref="G13">Balance_Sheet!G10</f>
        <v>60.8661742998438</v>
      </c>
      <c r="H13" s="12" cm="1">
        <f t="array" ref="H13">Balance_Sheet!H10</f>
        <v>76.878323753163</v>
      </c>
      <c r="I13" s="12" cm="1">
        <f t="array" ref="I13">Balance_Sheet!I10</f>
        <v>97.3424533099504</v>
      </c>
      <c r="J13" s="12" cm="1">
        <f t="array" ref="J13">Balance_Sheet!J10</f>
        <v>121.121519608039</v>
      </c>
      <c r="K13" s="12" cm="1">
        <f t="array" ref="K13">Balance_Sheet!K10</f>
        <v>148.103285698357</v>
      </c>
    </row>
    <row r="14" ht="15.75" customHeight="1">
      <c r="B14" t="s">
        <v>170</v>
      </c>
      <c r="C14" s="12">
        <f t="shared" si="1" ref="C14:K14">C12-C13</f>
        <v>-4.68099999999998</v>
      </c>
      <c r="D14" s="12">
        <f t="shared" si="1"/>
        <v>0</v>
      </c>
      <c r="E14" s="12">
        <f t="shared" si="1"/>
        <v>0</v>
      </c>
      <c r="F14" s="12">
        <f t="shared" si="1"/>
        <v>0</v>
      </c>
      <c r="G14" s="12">
        <f t="shared" si="1"/>
        <v>0</v>
      </c>
      <c r="H14" s="12">
        <f t="shared" si="1"/>
        <v>0</v>
      </c>
      <c r="I14" s="12">
        <f t="shared" si="1"/>
        <v>0</v>
      </c>
      <c r="J14" s="12">
        <f t="shared" si="1"/>
        <v>0</v>
      </c>
      <c r="K14" s="12">
        <f t="shared" si="1"/>
        <v>0</v>
      </c>
    </row>
    <row r="15" ht="15.75" customHeight="1">
      <c r="B15" t="s">
        <v>164</v>
      </c>
      <c r="C15" t="str">
        <f t="shared" si="0"/>
        <v>FAIL</v>
      </c>
      <c r="D15" s="9" t="str">
        <f t="shared" si="0"/>
        <v>PASS</v>
      </c>
      <c r="E15" s="9" t="str">
        <f t="shared" si="0"/>
        <v>PASS</v>
      </c>
      <c r="F15" s="9" t="str">
        <f t="shared" si="0"/>
        <v>PASS</v>
      </c>
      <c r="G15" s="9" t="str">
        <f t="shared" si="0"/>
        <v>PASS</v>
      </c>
      <c r="H15" s="9" t="str">
        <f t="shared" si="0"/>
        <v>PASS</v>
      </c>
      <c r="I15" s="9" t="str">
        <f t="shared" si="0"/>
        <v>PASS</v>
      </c>
      <c r="J15" s="9" t="str">
        <f t="shared" si="0"/>
        <v>PASS</v>
      </c>
      <c r="K15" s="9" t="str">
        <f t="shared" si="0"/>
        <v>PASS</v>
      </c>
    </row>
    <row r="17" ht="15.75" customHeight="1">
      <c r="B17" t="s">
        <v>171</v>
      </c>
    </row>
    <row r="18" ht="15.75" customHeight="1">
      <c r="B18" t="s">
        <v>146</v>
      </c>
      <c r="C18">
        <v>0</v>
      </c>
      <c r="D18" s="10">
        <f>(Income_Statement!D7-Income_Statement!C7)/Income_Statement!C7</f>
        <v>0.13</v>
      </c>
      <c r="E18" s="10">
        <f>(Income_Statement!E7-Income_Statement!D7)/Income_Statement!D7</f>
        <v>0.145</v>
      </c>
      <c r="F18" s="10">
        <f>(Income_Statement!F7-Income_Statement!E7)/Income_Statement!E7</f>
        <v>0.12</v>
      </c>
      <c r="G18" s="10">
        <f>(Income_Statement!G7-Income_Statement!F7)/Income_Statement!F7</f>
        <v>0.1</v>
      </c>
      <c r="H18" s="10">
        <f>(Income_Statement!H7-Income_Statement!G7)/Income_Statement!G7</f>
        <v>0.08</v>
      </c>
      <c r="I18" s="10">
        <f>(Income_Statement!I7-Income_Statement!H7)/Income_Statement!H7</f>
        <v>0.07</v>
      </c>
      <c r="J18" s="10">
        <f>(Income_Statement!J7-Income_Statement!I7)/Income_Statement!I7</f>
        <v>0.06</v>
      </c>
      <c r="K18" s="10">
        <f>(Income_Statement!K7-Income_Statement!J7)/Income_Statement!J7</f>
        <v>0.059999999999999</v>
      </c>
    </row>
    <row r="19" ht="15.75" customHeight="1">
      <c r="B19" t="s">
        <v>172</v>
      </c>
      <c r="C19">
        <v>0</v>
      </c>
      <c r="D19" cm="1">
        <f t="array" ref="D19">Cover_Assumptions!D11</f>
        <v>0.13</v>
      </c>
      <c r="E19" s="9" cm="1">
        <f t="array" ref="E19">Cover_Assumptions!E11</f>
        <v>0.145</v>
      </c>
      <c r="F19" s="9" cm="1">
        <f t="array" ref="F19">Cover_Assumptions!F11</f>
        <v>0.12</v>
      </c>
      <c r="G19" s="9" cm="1">
        <f t="array" ref="G19">Cover_Assumptions!G11</f>
        <v>0.1</v>
      </c>
      <c r="H19" s="9" cm="1">
        <f t="array" ref="H19">Cover_Assumptions!H11</f>
        <v>0.08</v>
      </c>
      <c r="I19" s="9" cm="1">
        <f t="array" ref="I19">Cover_Assumptions!I11</f>
        <v>0.07</v>
      </c>
      <c r="J19" s="9" cm="1">
        <f t="array" ref="J19">Cover_Assumptions!J11</f>
        <v>0.06</v>
      </c>
      <c r="K19" s="9" cm="1">
        <f t="array" ref="K19">Cover_Assumptions!K11</f>
        <v>0.06</v>
      </c>
    </row>
    <row r="20" ht="15.75" customHeight="1">
      <c r="B20" t="s">
        <v>164</v>
      </c>
      <c r="C20" t="s">
        <v>165</v>
      </c>
      <c r="D20" t="str">
        <f t="shared" si="2" ref="D20:K20">IF(ABS(D18-D19)&lt;0.001,"PASS","CHECK")</f>
        <v>PASS</v>
      </c>
      <c r="E20" s="9" t="str">
        <f t="shared" si="2"/>
        <v>PASS</v>
      </c>
      <c r="F20" s="9" t="str">
        <f t="shared" si="2"/>
        <v>PASS</v>
      </c>
      <c r="G20" s="9" t="str">
        <f t="shared" si="2"/>
        <v>PASS</v>
      </c>
      <c r="H20" s="9" t="str">
        <f t="shared" si="2"/>
        <v>PASS</v>
      </c>
      <c r="I20" s="9" t="str">
        <f t="shared" si="2"/>
        <v>PASS</v>
      </c>
      <c r="J20" s="9" t="str">
        <f t="shared" si="2"/>
        <v>PASS</v>
      </c>
      <c r="K20" s="9" t="str">
        <f t="shared" si="2"/>
        <v>PASS</v>
      </c>
    </row>
    <row r="22" ht="15.75" customHeight="1">
      <c r="B22" t="s">
        <v>173</v>
      </c>
    </row>
    <row r="23" ht="15.75" customHeight="1">
      <c r="B23" t="s">
        <v>17</v>
      </c>
      <c r="C23" cm="1">
        <f t="array" ref="C23">Income_Statement!C11</f>
        <v>0.25</v>
      </c>
      <c r="D23" s="9" cm="1">
        <f t="array" ref="D23">Income_Statement!D11</f>
        <v>0.26</v>
      </c>
      <c r="E23" s="9" cm="1">
        <f t="array" ref="E23">Income_Statement!E11</f>
        <v>0.27</v>
      </c>
      <c r="F23" s="9" cm="1">
        <f t="array" ref="F23">Income_Statement!F11</f>
        <v>0.275</v>
      </c>
      <c r="G23" s="9" cm="1">
        <f t="array" ref="G23">Income_Statement!G11</f>
        <v>0.28</v>
      </c>
      <c r="H23" s="9" cm="1">
        <f t="array" ref="H23">Income_Statement!H11</f>
        <v>0.285</v>
      </c>
      <c r="I23" s="9" cm="1">
        <f t="array" ref="I23">Income_Statement!I11</f>
        <v>0.29</v>
      </c>
      <c r="J23" s="9" cm="1">
        <f t="array" ref="J23">Income_Statement!J11</f>
        <v>0.295</v>
      </c>
      <c r="K23" s="9" cm="1">
        <f t="array" ref="K23">Income_Statement!K11</f>
        <v>0.3</v>
      </c>
    </row>
    <row r="24" ht="15.75" customHeight="1">
      <c r="B24" t="s">
        <v>174</v>
      </c>
      <c r="C24" cm="1">
        <f t="array" ref="C24">Cover_Assumptions!C14</f>
        <v>0.25</v>
      </c>
      <c r="D24" s="9" cm="1">
        <f t="array" ref="D24">Cover_Assumptions!D14</f>
        <v>0.26</v>
      </c>
      <c r="E24" s="9" cm="1">
        <f t="array" ref="E24">Cover_Assumptions!E14</f>
        <v>0.27</v>
      </c>
      <c r="F24" s="9" cm="1">
        <f t="array" ref="F24">Cover_Assumptions!F14</f>
        <v>0.275</v>
      </c>
      <c r="G24" s="9" cm="1">
        <f t="array" ref="G24">Cover_Assumptions!G14</f>
        <v>0.28</v>
      </c>
      <c r="H24" s="9" cm="1">
        <f t="array" ref="H24">Cover_Assumptions!H14</f>
        <v>0.285</v>
      </c>
      <c r="I24" s="9" cm="1">
        <f t="array" ref="I24">Cover_Assumptions!I14</f>
        <v>0.29</v>
      </c>
      <c r="J24" s="9" cm="1">
        <f t="array" ref="J24">Cover_Assumptions!J14</f>
        <v>0.295</v>
      </c>
      <c r="K24" s="9" cm="1">
        <f t="array" ref="K24">Cover_Assumptions!K14</f>
        <v>0.3</v>
      </c>
    </row>
    <row r="25" ht="15.75" customHeight="1">
      <c r="B25" t="s">
        <v>164</v>
      </c>
      <c r="C25" t="str">
        <f t="shared" si="3" ref="C25:K25">IF(ABS(C23-C24)&lt;0.001,"PASS","CHECK")</f>
        <v>PASS</v>
      </c>
      <c r="D25" s="9" t="str">
        <f t="shared" si="3"/>
        <v>PASS</v>
      </c>
      <c r="E25" s="9" t="str">
        <f t="shared" si="3"/>
        <v>PASS</v>
      </c>
      <c r="F25" s="9" t="str">
        <f t="shared" si="3"/>
        <v>PASS</v>
      </c>
      <c r="G25" s="9" t="str">
        <f t="shared" si="3"/>
        <v>PASS</v>
      </c>
      <c r="H25" s="9" t="str">
        <f t="shared" si="3"/>
        <v>PASS</v>
      </c>
      <c r="I25" s="9" t="str">
        <f t="shared" si="3"/>
        <v>PASS</v>
      </c>
      <c r="J25" s="9" t="str">
        <f t="shared" si="3"/>
        <v>PASS</v>
      </c>
      <c r="K25" s="9" t="str">
        <f t="shared" si="3"/>
        <v>PASS</v>
      </c>
    </row>
    <row r="27" ht="15.75" customHeight="1">
      <c r="B27" t="s">
        <v>175</v>
      </c>
      <c r="C27" t="str">
        <f>IF(COUNTIF(C9:K9,"FAIL")+COUNTIF(C15:K15,"FAIL")=0,"MODEL BALANCED","ERRORS DETECTED")</f>
        <v>ERRORS DETECTED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