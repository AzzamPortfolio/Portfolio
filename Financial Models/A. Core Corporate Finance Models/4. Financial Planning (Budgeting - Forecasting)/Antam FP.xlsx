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8_{FCBED3D6-883E-4679-9850-5A7E3FFFA583}" xr6:coauthVersionLast="47" xr6:coauthVersionMax="47" xr10:uidLastSave="{00000000-0000-0000-0000-000000000000}"/>
  <bookViews>
    <workbookView xWindow="-108" yWindow="-108" windowWidth="23256" windowHeight="12456" activeTab="4" xr2:uid="{F08936F6-F4B9-4264-B316-2B7BADCEFBCB}"/>
  </bookViews>
  <sheets>
    <sheet name="Sheet1" sheetId="1" r:id="rId1"/>
    <sheet name="Sheet2" sheetId="2" r:id="rId2"/>
    <sheet name="Sheet3" sheetId="3" r:id="rId3"/>
    <sheet name="Sheet5" sheetId="5" r:id="rId4"/>
    <sheet name="Sheet6" sheetId="6" r:id="rId5"/>
  </sheets>
  <externalReferences>
    <externalReference r:id="rId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6" l="1"/>
  <c r="B7" i="6" s="1"/>
  <c r="B8" i="6" s="1"/>
  <c r="B1" i="2"/>
  <c r="B5" i="6"/>
  <c r="D54" i="5"/>
  <c r="D55" i="5" s="1"/>
  <c r="D50" i="5"/>
  <c r="D43" i="5"/>
  <c r="D31" i="5"/>
  <c r="D17" i="5"/>
  <c r="D4" i="5"/>
  <c r="D29" i="5" s="1"/>
  <c r="D51" i="5" s="1"/>
  <c r="D52" i="5" s="1"/>
  <c r="I19" i="3"/>
  <c r="H19" i="3"/>
  <c r="G19" i="3"/>
  <c r="M15" i="3"/>
  <c r="L15" i="3"/>
  <c r="K15" i="3"/>
  <c r="J15" i="3"/>
  <c r="I15" i="3"/>
  <c r="H15" i="3"/>
  <c r="G15" i="3"/>
  <c r="F15" i="3"/>
  <c r="E15" i="3"/>
  <c r="D15" i="3"/>
  <c r="N15" i="3" s="1"/>
  <c r="C15" i="3"/>
  <c r="B15" i="3"/>
  <c r="M11" i="3"/>
  <c r="M19" i="3" s="1"/>
  <c r="M21" i="3" s="1"/>
  <c r="L11" i="3"/>
  <c r="L19" i="3" s="1"/>
  <c r="L21" i="3" s="1"/>
  <c r="K11" i="3"/>
  <c r="K19" i="3" s="1"/>
  <c r="K21" i="3" s="1"/>
  <c r="J11" i="3"/>
  <c r="J19" i="3" s="1"/>
  <c r="J21" i="3" s="1"/>
  <c r="I11" i="3"/>
  <c r="H11" i="3"/>
  <c r="G11" i="3"/>
  <c r="F11" i="3"/>
  <c r="F19" i="3" s="1"/>
  <c r="F21" i="3" s="1"/>
  <c r="E11" i="3"/>
  <c r="E19" i="3" s="1"/>
  <c r="E21" i="3" s="1"/>
  <c r="D11" i="3"/>
  <c r="D19" i="3" s="1"/>
  <c r="D21" i="3" s="1"/>
  <c r="C11" i="3"/>
  <c r="C19" i="3" s="1"/>
  <c r="B11" i="3"/>
  <c r="B19" i="3" s="1"/>
  <c r="N9" i="3"/>
  <c r="M9" i="3"/>
  <c r="L9" i="3"/>
  <c r="K9" i="3"/>
  <c r="J9" i="3"/>
  <c r="I9" i="3"/>
  <c r="I21" i="3" s="1"/>
  <c r="H9" i="3"/>
  <c r="H21" i="3" s="1"/>
  <c r="G9" i="3"/>
  <c r="G21" i="3" s="1"/>
  <c r="F9" i="3"/>
  <c r="E9" i="3"/>
  <c r="D9" i="3"/>
  <c r="C9" i="3"/>
  <c r="B9" i="3"/>
  <c r="N8" i="3"/>
  <c r="N7" i="3"/>
  <c r="N6" i="3"/>
  <c r="C3" i="3"/>
  <c r="D3" i="3" s="1"/>
  <c r="E3" i="3" s="1"/>
  <c r="F3" i="3" s="1"/>
  <c r="G3" i="3" s="1"/>
  <c r="H3" i="3" s="1"/>
  <c r="I3" i="3" s="1"/>
  <c r="J3" i="3" s="1"/>
  <c r="K3" i="3" s="1"/>
  <c r="L3" i="3" s="1"/>
  <c r="M3" i="3" s="1"/>
  <c r="M39" i="2"/>
  <c r="L39" i="2"/>
  <c r="H39" i="2"/>
  <c r="K38" i="2"/>
  <c r="K40" i="2" s="1"/>
  <c r="J38" i="2"/>
  <c r="J40" i="2" s="1"/>
  <c r="I38" i="2"/>
  <c r="I40" i="2" s="1"/>
  <c r="E38" i="2"/>
  <c r="E40" i="2" s="1"/>
  <c r="M36" i="2"/>
  <c r="L36" i="2"/>
  <c r="K36" i="2"/>
  <c r="J36" i="2"/>
  <c r="I36" i="2"/>
  <c r="H36" i="2"/>
  <c r="G36" i="2"/>
  <c r="F36" i="2"/>
  <c r="F38" i="2" s="1"/>
  <c r="F40" i="2" s="1"/>
  <c r="E36" i="2"/>
  <c r="D36" i="2"/>
  <c r="C36" i="2"/>
  <c r="B36" i="2"/>
  <c r="N36" i="2" s="1"/>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M5" i="2"/>
  <c r="M38" i="2" s="1"/>
  <c r="M40" i="2" s="1"/>
  <c r="L5" i="2"/>
  <c r="L38" i="2" s="1"/>
  <c r="L40" i="2" s="1"/>
  <c r="K5" i="2"/>
  <c r="K39" i="2" s="1"/>
  <c r="J5" i="2"/>
  <c r="J39" i="2" s="1"/>
  <c r="I5" i="2"/>
  <c r="I39" i="2" s="1"/>
  <c r="H5" i="2"/>
  <c r="H38" i="2" s="1"/>
  <c r="H40" i="2" s="1"/>
  <c r="G5" i="2"/>
  <c r="G38" i="2" s="1"/>
  <c r="G40" i="2" s="1"/>
  <c r="F5" i="2"/>
  <c r="F39" i="2" s="1"/>
  <c r="E5" i="2"/>
  <c r="E39" i="2" s="1"/>
  <c r="D5" i="2"/>
  <c r="D38" i="2" s="1"/>
  <c r="D40" i="2" s="1"/>
  <c r="C5" i="2"/>
  <c r="C38" i="2" s="1"/>
  <c r="C40" i="2" s="1"/>
  <c r="B5" i="2"/>
  <c r="B38" i="2" s="1"/>
  <c r="B40" i="2" s="1"/>
  <c r="N4" i="2"/>
  <c r="N3" i="2"/>
  <c r="N5" i="2" s="1"/>
  <c r="C1" i="2"/>
  <c r="D1" i="2" s="1"/>
  <c r="E1" i="2" s="1"/>
  <c r="F1" i="2" s="1"/>
  <c r="G1" i="2" s="1"/>
  <c r="H1" i="2" s="1"/>
  <c r="I1" i="2" s="1"/>
  <c r="J1" i="2" s="1"/>
  <c r="K1" i="2" s="1"/>
  <c r="L1" i="2" s="1"/>
  <c r="M1" i="2" s="1"/>
  <c r="B42" i="1"/>
  <c r="B44" i="1" s="1"/>
  <c r="B40" i="1"/>
  <c r="B43" i="1" s="1"/>
  <c r="B21" i="3" l="1"/>
  <c r="B22" i="3" s="1"/>
  <c r="C4" i="3" s="1"/>
  <c r="C21" i="3"/>
  <c r="N11" i="3"/>
  <c r="N19" i="3" s="1"/>
  <c r="N39" i="2"/>
  <c r="N38" i="2"/>
  <c r="N40" i="2" s="1"/>
  <c r="B39" i="2"/>
  <c r="C39" i="2"/>
  <c r="D39" i="2"/>
  <c r="G39" i="2"/>
  <c r="C22" i="3" l="1"/>
  <c r="D4" i="3" s="1"/>
  <c r="D22" i="3" s="1"/>
  <c r="E4" i="3" s="1"/>
  <c r="E22" i="3" s="1"/>
  <c r="F4" i="3" s="1"/>
  <c r="F22" i="3" s="1"/>
  <c r="G4" i="3" s="1"/>
  <c r="G22" i="3" s="1"/>
  <c r="H4" i="3" s="1"/>
  <c r="H22" i="3" s="1"/>
  <c r="I4" i="3" s="1"/>
  <c r="I22" i="3" s="1"/>
  <c r="J4" i="3" s="1"/>
  <c r="J22" i="3" s="1"/>
  <c r="K4" i="3" s="1"/>
  <c r="K22" i="3" s="1"/>
  <c r="L4" i="3" s="1"/>
  <c r="L22" i="3" s="1"/>
  <c r="M4" i="3" s="1"/>
  <c r="M22" i="3" s="1"/>
</calcChain>
</file>

<file path=xl/sharedStrings.xml><?xml version="1.0" encoding="utf-8"?>
<sst xmlns="http://schemas.openxmlformats.org/spreadsheetml/2006/main" count="125" uniqueCount="113">
  <si>
    <t>Set-up costs</t>
  </si>
  <si>
    <t>Setting up the business</t>
  </si>
  <si>
    <t>Accountant's fees</t>
  </si>
  <si>
    <t>Solicitor's fees</t>
  </si>
  <si>
    <t>Business registration</t>
  </si>
  <si>
    <t>Domain name registration</t>
  </si>
  <si>
    <t>Insurance premiums</t>
  </si>
  <si>
    <t>Licences</t>
  </si>
  <si>
    <t>Workers compensation</t>
  </si>
  <si>
    <t>Setting up the premises</t>
  </si>
  <si>
    <t>Lease deposit and advance rent</t>
  </si>
  <si>
    <t>Fitout</t>
  </si>
  <si>
    <t>Utility bonds and connection</t>
  </si>
  <si>
    <t>Stationery and office supplies</t>
  </si>
  <si>
    <t>Plant and equipment</t>
  </si>
  <si>
    <t>Equipment</t>
  </si>
  <si>
    <t>Vehicles</t>
  </si>
  <si>
    <t>Telecommunications</t>
  </si>
  <si>
    <t>Computers and software</t>
  </si>
  <si>
    <t>Starting operations</t>
  </si>
  <si>
    <t>Advertising and promotion</t>
  </si>
  <si>
    <t>Raw materials and supplies</t>
  </si>
  <si>
    <t>Working capital</t>
  </si>
  <si>
    <t>Start-up capital</t>
  </si>
  <si>
    <t>Equity investment</t>
  </si>
  <si>
    <t>Borrowings</t>
  </si>
  <si>
    <t>Total</t>
  </si>
  <si>
    <t>The result</t>
  </si>
  <si>
    <t>Total set-up costs</t>
  </si>
  <si>
    <t>Surplus funds</t>
  </si>
  <si>
    <t>Borrowings required</t>
  </si>
  <si>
    <t>Totals</t>
  </si>
  <si>
    <t>Sales</t>
  </si>
  <si>
    <t>Sales (invoiced)</t>
  </si>
  <si>
    <t>Cost of goods sold</t>
  </si>
  <si>
    <t>Gross profit</t>
  </si>
  <si>
    <t>Expenses</t>
  </si>
  <si>
    <t>Accounting fees</t>
  </si>
  <si>
    <t>Advertising</t>
  </si>
  <si>
    <t>Bank charges</t>
  </si>
  <si>
    <t>Bank interest</t>
  </si>
  <si>
    <t>Depreciation</t>
  </si>
  <si>
    <t>Electricity and gas</t>
  </si>
  <si>
    <t>Equipment hire/lease</t>
  </si>
  <si>
    <t xml:space="preserve">Insurance </t>
  </si>
  <si>
    <t>Legal fees</t>
  </si>
  <si>
    <t xml:space="preserve">Motor vehicle expenses </t>
  </si>
  <si>
    <t>Postage, telephone and fax</t>
  </si>
  <si>
    <t>Stationery</t>
  </si>
  <si>
    <t>Rent</t>
  </si>
  <si>
    <t>Repairs and maintenance</t>
  </si>
  <si>
    <t>Security</t>
  </si>
  <si>
    <t>Sundries</t>
  </si>
  <si>
    <t>Superannuation</t>
  </si>
  <si>
    <t>Transport/courier costs</t>
  </si>
  <si>
    <t xml:space="preserve">Wages </t>
  </si>
  <si>
    <t>Result</t>
  </si>
  <si>
    <t>Net profit</t>
  </si>
  <si>
    <t>Gross profit margin</t>
  </si>
  <si>
    <t>Net profit margin</t>
  </si>
  <si>
    <t>Cash flow forecast</t>
  </si>
  <si>
    <t>Starting cash position</t>
  </si>
  <si>
    <t>Incoming</t>
  </si>
  <si>
    <t>Cash sales</t>
  </si>
  <si>
    <t>Collections from accounts receivable</t>
  </si>
  <si>
    <t>Other cash receipts</t>
  </si>
  <si>
    <t>Outgoing</t>
  </si>
  <si>
    <t>Fixed costs</t>
  </si>
  <si>
    <t>Administration</t>
  </si>
  <si>
    <t>Marketing</t>
  </si>
  <si>
    <t>Operations</t>
  </si>
  <si>
    <t>Variable costs</t>
  </si>
  <si>
    <t>Change during month</t>
  </si>
  <si>
    <t>Closing cash position</t>
  </si>
  <si>
    <t xml:space="preserve">Balance sheet forecast </t>
  </si>
  <si>
    <t>As at</t>
  </si>
  <si>
    <t>Assets</t>
  </si>
  <si>
    <t>Current assets</t>
  </si>
  <si>
    <t xml:space="preserve">Cash </t>
  </si>
  <si>
    <t xml:space="preserve">Petty cash </t>
  </si>
  <si>
    <t xml:space="preserve">Accounts receivable </t>
  </si>
  <si>
    <t xml:space="preserve">Stock </t>
  </si>
  <si>
    <t xml:space="preserve">Short-term investment </t>
  </si>
  <si>
    <t xml:space="preserve">Prepaid expenses </t>
  </si>
  <si>
    <t xml:space="preserve">Long-term investment </t>
  </si>
  <si>
    <t>Fixed assets</t>
  </si>
  <si>
    <t xml:space="preserve">Land </t>
  </si>
  <si>
    <t xml:space="preserve">Buildings </t>
  </si>
  <si>
    <t xml:space="preserve">Improvements </t>
  </si>
  <si>
    <t xml:space="preserve">Equipment </t>
  </si>
  <si>
    <t xml:space="preserve">Furniture </t>
  </si>
  <si>
    <t xml:space="preserve">Motor/vehicles </t>
  </si>
  <si>
    <t>Total assets</t>
  </si>
  <si>
    <t>Liabilities</t>
  </si>
  <si>
    <t>Current liabilities</t>
  </si>
  <si>
    <t xml:space="preserve">Accounts payable </t>
  </si>
  <si>
    <t xml:space="preserve">Interest payable </t>
  </si>
  <si>
    <t>Taxes payable</t>
  </si>
  <si>
    <t xml:space="preserve">Income tax </t>
  </si>
  <si>
    <t xml:space="preserve">Sales tax </t>
  </si>
  <si>
    <t xml:space="preserve">Payroll accrual </t>
  </si>
  <si>
    <t>Long-term liabilities</t>
  </si>
  <si>
    <t xml:space="preserve">Total liabilities </t>
  </si>
  <si>
    <t>Net assets</t>
  </si>
  <si>
    <t>Owner's equity</t>
  </si>
  <si>
    <t>Retained earnings</t>
  </si>
  <si>
    <t>Current year earnings</t>
  </si>
  <si>
    <t>Total equity (should equal net assets)</t>
  </si>
  <si>
    <t>Break-even analysis</t>
  </si>
  <si>
    <t>Average selling price per unit</t>
  </si>
  <si>
    <t>Average cost of each unit</t>
  </si>
  <si>
    <t>Dollar sales to break even</t>
  </si>
  <si>
    <t>Number of unit sales to break even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</si>
</sst>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quot;$&quot;#,##0"/>
    <numFmt numFmtId="165" formatCode="mmm"/>
    <numFmt numFmtId="166" formatCode="&quot;$&quot;#,##0.00"/>
    <numFmt numFmtId="167" formatCode="&quot;$&quot;#,##0"/>
    <numFmt numFmtId="168" formatCode="mmmm\ yyyy"/>
    <numFmt numFmtId="169" formatCode="#,##0_ ;\-#,##0\ "/>
  </numFmts>
  <fonts count="12" x14ac:knownFonts="1">
    <font>
      <sz val="11"/>
      <color theme="1"/>
      <name val="Aptos Narrow"/>
      <family val="2"/>
      <scheme val="minor"/>
    </font>
    <font>
      <b/>
      <sz val="12"/>
      <name val="Arial"/>
      <family val="2"/>
    </font>
    <font>
      <b/>
      <sz val="10"/>
      <name val="Arial"/>
      <family val="2"/>
    </font>
    <font>
      <sz val="8"/>
      <name val="Arial"/>
      <family val="2"/>
    </font>
    <font>
      <b/>
      <sz val="8"/>
      <name val="Arial"/>
      <family val="2"/>
    </font>
    <font>
      <sz val="10"/>
      <name val="Arial"/>
      <family val="2"/>
    </font>
    <font>
      <b/>
      <sz val="10"/>
      <color indexed="8"/>
      <name val="Arial"/>
      <family val="2"/>
    </font>
    <font>
      <sz val="9"/>
      <name val="Arial"/>
      <family val="2"/>
    </font>
    <font>
      <sz val="8"/>
      <color indexed="22"/>
      <name val="Arial"/>
      <family val="2"/>
    </font>
    <font>
      <b/>
      <sz val="8"/>
      <color indexed="22"/>
      <name val="Arial"/>
      <family val="2"/>
    </font>
    <font>
      <sz val="8"/>
      <color indexed="44"/>
      <name val="Arial"/>
      <family val="2"/>
    </font>
    <font>
      <b/>
      <sz val="8"/>
      <color indexed="12"/>
      <name val="Arial"/>
      <family val="2"/>
    </font>
  </fonts>
  <fills count="7">
    <fill>
      <patternFill patternType="none"/>
    </fill>
    <fill>
      <patternFill patternType="gray125"/>
    </fill>
    <fill>
      <patternFill patternType="solid">
        <fgColor indexed="26"/>
        <bgColor indexed="64"/>
      </patternFill>
    </fill>
    <fill>
      <patternFill patternType="solid">
        <fgColor indexed="55"/>
        <bgColor indexed="64"/>
      </patternFill>
    </fill>
    <fill>
      <patternFill patternType="solid">
        <fgColor indexed="9"/>
        <bgColor indexed="64"/>
      </patternFill>
    </fill>
    <fill>
      <patternFill patternType="solid">
        <fgColor indexed="51"/>
        <bgColor indexed="64"/>
      </patternFill>
    </fill>
    <fill>
      <patternFill patternType="solid">
        <fgColor indexed="22"/>
        <bgColor indexed="64"/>
      </patternFill>
    </fill>
  </fills>
  <borders count="33">
    <border>
      <left/>
      <right/>
      <top/>
      <bottom/>
      <diagonal/>
    </border>
    <border>
      <left style="thin">
        <color indexed="55"/>
      </left>
      <right/>
      <top/>
      <bottom style="thin">
        <color indexed="55"/>
      </bottom>
      <diagonal/>
    </border>
    <border>
      <left/>
      <right/>
      <top/>
      <bottom style="thin">
        <color indexed="64"/>
      </bottom>
      <diagonal/>
    </border>
    <border>
      <left style="thin">
        <color indexed="55"/>
      </left>
      <right/>
      <top style="thin">
        <color indexed="55"/>
      </top>
      <bottom style="thin">
        <color indexed="55"/>
      </bottom>
      <diagonal/>
    </border>
    <border>
      <left style="thin">
        <color indexed="64"/>
      </left>
      <right style="thin">
        <color indexed="64"/>
      </right>
      <top style="thin">
        <color indexed="64"/>
      </top>
      <bottom style="thin">
        <color indexed="64"/>
      </bottom>
      <diagonal/>
    </border>
    <border>
      <left style="thin">
        <color indexed="55"/>
      </left>
      <right/>
      <top style="thin">
        <color indexed="55"/>
      </top>
      <bottom/>
      <diagonal/>
    </border>
    <border>
      <left style="thin">
        <color indexed="55"/>
      </left>
      <right style="thin">
        <color indexed="55"/>
      </right>
      <top/>
      <bottom style="thin">
        <color indexed="55"/>
      </bottom>
      <diagonal/>
    </border>
    <border>
      <left style="thin">
        <color indexed="55"/>
      </left>
      <right style="thin">
        <color indexed="55"/>
      </right>
      <top style="thin">
        <color indexed="55"/>
      </top>
      <bottom style="thin">
        <color indexed="55"/>
      </bottom>
      <diagonal/>
    </border>
    <border>
      <left style="medium">
        <color indexed="55"/>
      </left>
      <right/>
      <top/>
      <bottom/>
      <diagonal/>
    </border>
    <border>
      <left style="medium">
        <color indexed="55"/>
      </left>
      <right/>
      <top style="thin">
        <color indexed="22"/>
      </top>
      <bottom style="thin">
        <color indexed="22"/>
      </bottom>
      <diagonal/>
    </border>
    <border>
      <left/>
      <right/>
      <top style="thin">
        <color indexed="22"/>
      </top>
      <bottom/>
      <diagonal/>
    </border>
    <border>
      <left style="thin">
        <color indexed="55"/>
      </left>
      <right/>
      <top style="thin">
        <color indexed="22"/>
      </top>
      <bottom style="thin">
        <color indexed="22"/>
      </bottom>
      <diagonal/>
    </border>
    <border>
      <left style="thin">
        <color indexed="8"/>
      </left>
      <right style="thin">
        <color indexed="8"/>
      </right>
      <top style="thin">
        <color indexed="8"/>
      </top>
      <bottom style="thin">
        <color indexed="8"/>
      </bottom>
      <diagonal/>
    </border>
    <border>
      <left/>
      <right/>
      <top style="thin">
        <color indexed="22"/>
      </top>
      <bottom style="thin">
        <color indexed="22"/>
      </bottom>
      <diagonal/>
    </border>
    <border>
      <left style="medium">
        <color indexed="55"/>
      </left>
      <right/>
      <top style="thin">
        <color indexed="22"/>
      </top>
      <bottom/>
      <diagonal/>
    </border>
    <border>
      <left style="thin">
        <color indexed="8"/>
      </left>
      <right/>
      <top style="thin">
        <color indexed="8"/>
      </top>
      <bottom style="thin">
        <color indexed="8"/>
      </bottom>
      <diagonal/>
    </border>
    <border>
      <left style="medium">
        <color indexed="55"/>
      </left>
      <right/>
      <top/>
      <bottom style="thin">
        <color indexed="22"/>
      </bottom>
      <diagonal/>
    </border>
    <border>
      <left style="thin">
        <color indexed="55"/>
      </left>
      <right/>
      <top style="thin">
        <color indexed="22"/>
      </top>
      <bottom/>
      <diagonal/>
    </border>
    <border>
      <left style="medium">
        <color indexed="55"/>
      </left>
      <right/>
      <top style="medium">
        <color indexed="55"/>
      </top>
      <bottom/>
      <diagonal/>
    </border>
    <border>
      <left/>
      <right/>
      <top style="medium">
        <color indexed="55"/>
      </top>
      <bottom/>
      <diagonal/>
    </border>
    <border>
      <left style="thin">
        <color indexed="55"/>
      </left>
      <right style="thin">
        <color indexed="55"/>
      </right>
      <top style="thin">
        <color indexed="55"/>
      </top>
      <bottom/>
      <diagonal/>
    </border>
    <border>
      <left/>
      <right style="thin">
        <color indexed="55"/>
      </right>
      <top style="thin">
        <color indexed="55"/>
      </top>
      <bottom style="thin">
        <color indexed="55"/>
      </bottom>
      <diagonal/>
    </border>
    <border>
      <left style="thin">
        <color indexed="55"/>
      </left>
      <right/>
      <top style="thin">
        <color indexed="55"/>
      </top>
      <bottom style="thin">
        <color indexed="22"/>
      </bottom>
      <diagonal/>
    </border>
    <border>
      <left style="thin">
        <color indexed="55"/>
      </left>
      <right style="thin">
        <color indexed="55"/>
      </right>
      <top/>
      <bottom/>
      <diagonal/>
    </border>
    <border>
      <left style="medium">
        <color indexed="55"/>
      </left>
      <right/>
      <top style="thin">
        <color indexed="55"/>
      </top>
      <bottom style="thin">
        <color indexed="55"/>
      </bottom>
      <diagonal/>
    </border>
    <border>
      <left style="medium">
        <color indexed="55"/>
      </left>
      <right/>
      <top style="thin">
        <color indexed="55"/>
      </top>
      <bottom style="medium">
        <color indexed="55"/>
      </bottom>
      <diagonal/>
    </border>
    <border>
      <left/>
      <right/>
      <top style="thin">
        <color indexed="55"/>
      </top>
      <bottom style="thin">
        <color indexed="55"/>
      </bottom>
      <diagonal/>
    </border>
    <border>
      <left/>
      <right/>
      <top style="thin">
        <color indexed="55"/>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55"/>
      </bottom>
      <diagonal/>
    </border>
    <border>
      <left style="thin">
        <color indexed="64"/>
      </left>
      <right style="thin">
        <color indexed="64"/>
      </right>
      <top style="thin">
        <color indexed="64"/>
      </top>
      <bottom style="thin">
        <color indexed="8"/>
      </bottom>
      <diagonal/>
    </border>
    <border>
      <left style="thin">
        <color indexed="64"/>
      </left>
      <right style="thin">
        <color indexed="64"/>
      </right>
      <top style="thin">
        <color indexed="8"/>
      </top>
      <bottom style="thin">
        <color indexed="8"/>
      </bottom>
      <diagonal/>
    </border>
  </borders>
  <cellStyleXfs count="1">
    <xf numFmtId="0" fontId="0" fillId="0" borderId="0"/>
  </cellStyleXfs>
  <cellXfs count="91">
    <xf numFmtId="0" fontId="0" fillId="0" borderId="0" xfId="0"/>
    <xf numFmtId="0" fontId="1" fillId="2" borderId="0" xfId="0" applyFont="1" applyFill="1" applyAlignment="1">
      <alignment vertical="center"/>
    </xf>
    <xf numFmtId="164" fontId="2" fillId="2" borderId="0" xfId="0" applyNumberFormat="1" applyFont="1" applyFill="1" applyAlignment="1">
      <alignment horizontal="right"/>
    </xf>
    <xf numFmtId="0" fontId="3" fillId="3" borderId="0" xfId="0" applyFont="1" applyFill="1"/>
    <xf numFmtId="0" fontId="3" fillId="2" borderId="0" xfId="0" applyFont="1" applyFill="1"/>
    <xf numFmtId="164" fontId="3" fillId="2" borderId="0" xfId="0" applyNumberFormat="1" applyFont="1" applyFill="1" applyAlignment="1">
      <alignment horizontal="right"/>
    </xf>
    <xf numFmtId="0" fontId="2" fillId="2" borderId="1" xfId="0" applyFont="1" applyFill="1" applyBorder="1"/>
    <xf numFmtId="0" fontId="3" fillId="2" borderId="2" xfId="0" applyFont="1" applyFill="1" applyBorder="1"/>
    <xf numFmtId="0" fontId="3" fillId="2" borderId="3" xfId="0" applyFont="1" applyFill="1" applyBorder="1"/>
    <xf numFmtId="164" fontId="3" fillId="4" borderId="4" xfId="0" applyNumberFormat="1" applyFont="1" applyFill="1" applyBorder="1" applyAlignment="1" applyProtection="1">
      <alignment horizontal="right"/>
      <protection locked="0"/>
    </xf>
    <xf numFmtId="0" fontId="3" fillId="2" borderId="5" xfId="0" applyFont="1" applyFill="1" applyBorder="1"/>
    <xf numFmtId="0" fontId="3" fillId="4" borderId="4" xfId="0" applyFont="1" applyFill="1" applyBorder="1" applyProtection="1">
      <protection locked="0"/>
    </xf>
    <xf numFmtId="0" fontId="2" fillId="2" borderId="6" xfId="0" applyFont="1" applyFill="1" applyBorder="1"/>
    <xf numFmtId="164" fontId="3" fillId="2" borderId="6" xfId="0" applyNumberFormat="1" applyFont="1" applyFill="1" applyBorder="1" applyAlignment="1">
      <alignment horizontal="right"/>
    </xf>
    <xf numFmtId="0" fontId="3" fillId="2" borderId="7" xfId="0" applyFont="1" applyFill="1" applyBorder="1"/>
    <xf numFmtId="0" fontId="2" fillId="2" borderId="7" xfId="0" applyFont="1" applyFill="1" applyBorder="1"/>
    <xf numFmtId="164" fontId="3" fillId="2" borderId="7" xfId="0" applyNumberFormat="1" applyFont="1" applyFill="1" applyBorder="1" applyAlignment="1">
      <alignment horizontal="right"/>
    </xf>
    <xf numFmtId="164" fontId="4" fillId="2" borderId="7" xfId="0" applyNumberFormat="1" applyFont="1" applyFill="1" applyBorder="1" applyAlignment="1">
      <alignment horizontal="right"/>
    </xf>
    <xf numFmtId="164" fontId="3" fillId="3" borderId="0" xfId="0" applyNumberFormat="1" applyFont="1" applyFill="1" applyAlignment="1">
      <alignment horizontal="right"/>
    </xf>
    <xf numFmtId="0" fontId="5" fillId="2" borderId="8" xfId="0" applyFont="1" applyFill="1" applyBorder="1" applyAlignment="1">
      <alignment horizontal="center"/>
    </xf>
    <xf numFmtId="165" fontId="2" fillId="5" borderId="7" xfId="0" applyNumberFormat="1" applyFont="1" applyFill="1" applyBorder="1" applyAlignment="1">
      <alignment horizontal="center"/>
    </xf>
    <xf numFmtId="0" fontId="6" fillId="2" borderId="9" xfId="0" applyFont="1" applyFill="1" applyBorder="1"/>
    <xf numFmtId="166" fontId="3" fillId="2" borderId="0" xfId="0" applyNumberFormat="1" applyFont="1" applyFill="1"/>
    <xf numFmtId="166" fontId="3" fillId="2" borderId="10" xfId="0" applyNumberFormat="1" applyFont="1" applyFill="1" applyBorder="1"/>
    <xf numFmtId="166" fontId="3" fillId="2" borderId="11" xfId="0" applyNumberFormat="1" applyFont="1" applyFill="1" applyBorder="1"/>
    <xf numFmtId="0" fontId="3" fillId="2" borderId="9" xfId="0" applyFont="1" applyFill="1" applyBorder="1"/>
    <xf numFmtId="166" fontId="3" fillId="4" borderId="12" xfId="0" applyNumberFormat="1" applyFont="1" applyFill="1" applyBorder="1" applyProtection="1">
      <protection locked="0"/>
    </xf>
    <xf numFmtId="166" fontId="4" fillId="2" borderId="13" xfId="0" applyNumberFormat="1" applyFont="1" applyFill="1" applyBorder="1"/>
    <xf numFmtId="166" fontId="3" fillId="2" borderId="6" xfId="0" applyNumberFormat="1" applyFont="1" applyFill="1" applyBorder="1"/>
    <xf numFmtId="166" fontId="4" fillId="2" borderId="7" xfId="0" applyNumberFormat="1" applyFont="1" applyFill="1" applyBorder="1"/>
    <xf numFmtId="0" fontId="2" fillId="2" borderId="9" xfId="0" applyFont="1" applyFill="1" applyBorder="1"/>
    <xf numFmtId="166" fontId="4" fillId="2" borderId="11" xfId="0" applyNumberFormat="1" applyFont="1" applyFill="1" applyBorder="1"/>
    <xf numFmtId="0" fontId="3" fillId="2" borderId="9" xfId="0" applyFont="1" applyFill="1" applyBorder="1" applyAlignment="1">
      <alignment horizontal="left"/>
    </xf>
    <xf numFmtId="166" fontId="3" fillId="2" borderId="13" xfId="0" applyNumberFormat="1" applyFont="1" applyFill="1" applyBorder="1"/>
    <xf numFmtId="0" fontId="3" fillId="2" borderId="14" xfId="0" applyFont="1" applyFill="1" applyBorder="1" applyAlignment="1">
      <alignment horizontal="left"/>
    </xf>
    <xf numFmtId="0" fontId="3" fillId="0" borderId="15" xfId="0" applyFont="1" applyBorder="1" applyAlignment="1" applyProtection="1">
      <alignment horizontal="left"/>
      <protection locked="0"/>
    </xf>
    <xf numFmtId="0" fontId="3" fillId="2" borderId="16" xfId="0" applyFont="1" applyFill="1" applyBorder="1"/>
    <xf numFmtId="166" fontId="4" fillId="2" borderId="17" xfId="0" applyNumberFormat="1" applyFont="1" applyFill="1" applyBorder="1"/>
    <xf numFmtId="0" fontId="4" fillId="2" borderId="7" xfId="0" applyFont="1" applyFill="1" applyBorder="1"/>
    <xf numFmtId="166" fontId="3" fillId="2" borderId="7" xfId="0" applyNumberFormat="1" applyFont="1" applyFill="1" applyBorder="1"/>
    <xf numFmtId="9" fontId="3" fillId="2" borderId="7" xfId="0" applyNumberFormat="1" applyFont="1" applyFill="1" applyBorder="1"/>
    <xf numFmtId="9" fontId="4" fillId="2" borderId="7" xfId="0" applyNumberFormat="1" applyFont="1" applyFill="1" applyBorder="1"/>
    <xf numFmtId="0" fontId="1" fillId="2" borderId="18" xfId="0" applyFont="1" applyFill="1" applyBorder="1" applyAlignment="1">
      <alignment vertical="center"/>
    </xf>
    <xf numFmtId="0" fontId="3" fillId="2" borderId="19" xfId="0" applyFont="1" applyFill="1" applyBorder="1"/>
    <xf numFmtId="0" fontId="3" fillId="6" borderId="0" xfId="0" applyFont="1" applyFill="1"/>
    <xf numFmtId="0" fontId="7" fillId="2" borderId="0" xfId="0" applyFont="1" applyFill="1"/>
    <xf numFmtId="0" fontId="3" fillId="2" borderId="0" xfId="0" applyFont="1" applyFill="1" applyAlignment="1">
      <alignment horizontal="center"/>
    </xf>
    <xf numFmtId="165" fontId="2" fillId="5" borderId="20" xfId="0" applyNumberFormat="1" applyFont="1" applyFill="1" applyBorder="1" applyAlignment="1">
      <alignment horizontal="center"/>
    </xf>
    <xf numFmtId="0" fontId="5" fillId="6" borderId="0" xfId="0" applyFont="1" applyFill="1" applyAlignment="1">
      <alignment horizontal="center"/>
    </xf>
    <xf numFmtId="166" fontId="3" fillId="4" borderId="4" xfId="0" applyNumberFormat="1" applyFont="1" applyFill="1" applyBorder="1" applyProtection="1">
      <protection locked="0"/>
    </xf>
    <xf numFmtId="166" fontId="3" fillId="2" borderId="21" xfId="0" applyNumberFormat="1" applyFont="1" applyFill="1" applyBorder="1"/>
    <xf numFmtId="166" fontId="3" fillId="2" borderId="22" xfId="0" applyNumberFormat="1" applyFont="1" applyFill="1" applyBorder="1"/>
    <xf numFmtId="166" fontId="3" fillId="2" borderId="20" xfId="0" applyNumberFormat="1" applyFont="1" applyFill="1" applyBorder="1"/>
    <xf numFmtId="0" fontId="3" fillId="2" borderId="9" xfId="0" applyFont="1" applyFill="1" applyBorder="1" applyAlignment="1">
      <alignment horizontal="left" indent="1"/>
    </xf>
    <xf numFmtId="166" fontId="3" fillId="2" borderId="23" xfId="0" applyNumberFormat="1" applyFont="1" applyFill="1" applyBorder="1"/>
    <xf numFmtId="166" fontId="3" fillId="2" borderId="17" xfId="0" applyNumberFormat="1" applyFont="1" applyFill="1" applyBorder="1"/>
    <xf numFmtId="0" fontId="2" fillId="2" borderId="8" xfId="0" applyFont="1" applyFill="1" applyBorder="1"/>
    <xf numFmtId="166" fontId="3" fillId="6" borderId="18" xfId="0" applyNumberFormat="1" applyFont="1" applyFill="1" applyBorder="1"/>
    <xf numFmtId="0" fontId="3" fillId="2" borderId="24" xfId="0" applyFont="1" applyFill="1" applyBorder="1"/>
    <xf numFmtId="166" fontId="3" fillId="6" borderId="0" xfId="0" applyNumberFormat="1" applyFont="1" applyFill="1"/>
    <xf numFmtId="0" fontId="4" fillId="2" borderId="25" xfId="0" applyFont="1" applyFill="1" applyBorder="1"/>
    <xf numFmtId="0" fontId="8" fillId="6" borderId="0" xfId="0" applyFont="1" applyFill="1"/>
    <xf numFmtId="0" fontId="9" fillId="6" borderId="0" xfId="0" applyFont="1" applyFill="1"/>
    <xf numFmtId="0" fontId="10" fillId="6" borderId="0" xfId="0" applyFont="1" applyFill="1"/>
    <xf numFmtId="165" fontId="8" fillId="6" borderId="0" xfId="0" applyNumberFormat="1" applyFont="1" applyFill="1"/>
    <xf numFmtId="167" fontId="8" fillId="6" borderId="0" xfId="0" applyNumberFormat="1" applyFont="1" applyFill="1"/>
    <xf numFmtId="0" fontId="3" fillId="2" borderId="0" xfId="0" applyFont="1" applyFill="1" applyAlignment="1">
      <alignment horizontal="right"/>
    </xf>
    <xf numFmtId="168" fontId="3" fillId="2" borderId="0" xfId="0" applyNumberFormat="1" applyFont="1" applyFill="1" applyAlignment="1">
      <alignment horizontal="left"/>
    </xf>
    <xf numFmtId="0" fontId="2" fillId="2" borderId="0" xfId="0" applyFont="1" applyFill="1"/>
    <xf numFmtId="0" fontId="3" fillId="2" borderId="26" xfId="0" applyFont="1" applyFill="1" applyBorder="1"/>
    <xf numFmtId="164" fontId="3" fillId="2" borderId="27" xfId="0" applyNumberFormat="1" applyFont="1" applyFill="1" applyBorder="1" applyAlignment="1">
      <alignment horizontal="right"/>
    </xf>
    <xf numFmtId="0" fontId="3" fillId="2" borderId="26" xfId="0" applyFont="1" applyFill="1" applyBorder="1" applyAlignment="1">
      <alignment horizontal="left" indent="1"/>
    </xf>
    <xf numFmtId="0" fontId="3" fillId="2" borderId="27" xfId="0" applyFont="1" applyFill="1" applyBorder="1" applyAlignment="1">
      <alignment horizontal="left" indent="1"/>
    </xf>
    <xf numFmtId="0" fontId="3" fillId="4" borderId="28" xfId="0" applyFont="1" applyFill="1" applyBorder="1" applyAlignment="1" applyProtection="1">
      <alignment horizontal="left" indent="1"/>
      <protection locked="0"/>
    </xf>
    <xf numFmtId="0" fontId="3" fillId="4" borderId="29" xfId="0" applyFont="1" applyFill="1" applyBorder="1" applyAlignment="1" applyProtection="1">
      <alignment horizontal="left" indent="1"/>
      <protection locked="0"/>
    </xf>
    <xf numFmtId="0" fontId="3" fillId="2" borderId="30" xfId="0" applyFont="1" applyFill="1" applyBorder="1"/>
    <xf numFmtId="164" fontId="3" fillId="2" borderId="21" xfId="0" applyNumberFormat="1" applyFont="1" applyFill="1" applyBorder="1" applyAlignment="1">
      <alignment horizontal="right"/>
    </xf>
    <xf numFmtId="0" fontId="4" fillId="2" borderId="26" xfId="0" applyFont="1" applyFill="1" applyBorder="1" applyAlignment="1">
      <alignment horizontal="left"/>
    </xf>
    <xf numFmtId="0" fontId="2" fillId="2" borderId="26" xfId="0" applyFont="1" applyFill="1" applyBorder="1"/>
    <xf numFmtId="0" fontId="3" fillId="2" borderId="26" xfId="0" applyFont="1" applyFill="1" applyBorder="1" applyAlignment="1">
      <alignment horizontal="left"/>
    </xf>
    <xf numFmtId="164" fontId="3" fillId="2" borderId="30" xfId="0" applyNumberFormat="1" applyFont="1" applyFill="1" applyBorder="1" applyAlignment="1">
      <alignment horizontal="right"/>
    </xf>
    <xf numFmtId="0" fontId="3" fillId="2" borderId="0" xfId="0" applyFont="1" applyFill="1" applyAlignment="1">
      <alignment horizontal="left" indent="1"/>
    </xf>
    <xf numFmtId="0" fontId="4" fillId="2" borderId="26" xfId="0" applyFont="1" applyFill="1" applyBorder="1"/>
    <xf numFmtId="164" fontId="3" fillId="2" borderId="26" xfId="0" applyNumberFormat="1" applyFont="1" applyFill="1" applyBorder="1" applyAlignment="1">
      <alignment horizontal="right"/>
    </xf>
    <xf numFmtId="164" fontId="11" fillId="2" borderId="27" xfId="0" applyNumberFormat="1" applyFont="1" applyFill="1" applyBorder="1" applyAlignment="1">
      <alignment horizontal="center" vertical="center"/>
    </xf>
    <xf numFmtId="164" fontId="3" fillId="4" borderId="12" xfId="0" applyNumberFormat="1" applyFont="1" applyFill="1" applyBorder="1" applyAlignment="1" applyProtection="1">
      <alignment horizontal="right"/>
      <protection locked="0"/>
    </xf>
    <xf numFmtId="164" fontId="3" fillId="4" borderId="31" xfId="0" applyNumberFormat="1" applyFont="1" applyFill="1" applyBorder="1" applyAlignment="1" applyProtection="1">
      <alignment horizontal="right"/>
      <protection locked="0"/>
    </xf>
    <xf numFmtId="0" fontId="3" fillId="2" borderId="20" xfId="0" applyFont="1" applyFill="1" applyBorder="1"/>
    <xf numFmtId="164" fontId="3" fillId="4" borderId="32" xfId="0" applyNumberFormat="1" applyFont="1" applyFill="1" applyBorder="1" applyAlignment="1" applyProtection="1">
      <alignment horizontal="right"/>
      <protection locked="0"/>
    </xf>
    <xf numFmtId="9" fontId="3" fillId="2" borderId="30" xfId="0" applyNumberFormat="1" applyFont="1" applyFill="1" applyBorder="1" applyAlignment="1">
      <alignment horizontal="right"/>
    </xf>
    <xf numFmtId="169" fontId="3" fillId="2" borderId="26"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SUS\Downloads\Financial%20Plan%20Model.xls" TargetMode="External"/><Relationship Id="rId1" Type="http://schemas.openxmlformats.org/officeDocument/2006/relationships/externalLinkPath" Target="Financial%20Plan%20Mod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w to use this template"/>
      <sheetName val="Set-up costs"/>
      <sheetName val="Profit and loss forecast"/>
      <sheetName val="Cash flow forecast"/>
      <sheetName val="Balance sheet forecast"/>
      <sheetName val="Break-even analysis"/>
    </sheetNames>
    <sheetDataSet>
      <sheetData sheetId="0"/>
      <sheetData sheetId="1"/>
      <sheetData sheetId="2">
        <row r="40">
          <cell r="N40">
            <v>0</v>
          </cell>
        </row>
      </sheetData>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366A7-61AA-42FD-BA16-791FCEB70AC2}">
  <dimension ref="A1:B44"/>
  <sheetViews>
    <sheetView topLeftCell="A29" workbookViewId="0">
      <selection activeCell="E15" sqref="E15"/>
    </sheetView>
  </sheetViews>
  <sheetFormatPr defaultColWidth="9.109375" defaultRowHeight="10.199999999999999" x14ac:dyDescent="0.2"/>
  <cols>
    <col min="1" max="1" width="32.88671875" style="3" customWidth="1"/>
    <col min="2" max="2" width="20.6640625" style="18" customWidth="1"/>
    <col min="3" max="256" width="9.109375" style="3"/>
    <col min="257" max="257" width="32.88671875" style="3" customWidth="1"/>
    <col min="258" max="258" width="20.6640625" style="3" customWidth="1"/>
    <col min="259" max="512" width="9.109375" style="3"/>
    <col min="513" max="513" width="32.88671875" style="3" customWidth="1"/>
    <col min="514" max="514" width="20.6640625" style="3" customWidth="1"/>
    <col min="515" max="768" width="9.109375" style="3"/>
    <col min="769" max="769" width="32.88671875" style="3" customWidth="1"/>
    <col min="770" max="770" width="20.6640625" style="3" customWidth="1"/>
    <col min="771" max="1024" width="9.109375" style="3"/>
    <col min="1025" max="1025" width="32.88671875" style="3" customWidth="1"/>
    <col min="1026" max="1026" width="20.6640625" style="3" customWidth="1"/>
    <col min="1027" max="1280" width="9.109375" style="3"/>
    <col min="1281" max="1281" width="32.88671875" style="3" customWidth="1"/>
    <col min="1282" max="1282" width="20.6640625" style="3" customWidth="1"/>
    <col min="1283" max="1536" width="9.109375" style="3"/>
    <col min="1537" max="1537" width="32.88671875" style="3" customWidth="1"/>
    <col min="1538" max="1538" width="20.6640625" style="3" customWidth="1"/>
    <col min="1539" max="1792" width="9.109375" style="3"/>
    <col min="1793" max="1793" width="32.88671875" style="3" customWidth="1"/>
    <col min="1794" max="1794" width="20.6640625" style="3" customWidth="1"/>
    <col min="1795" max="2048" width="9.109375" style="3"/>
    <col min="2049" max="2049" width="32.88671875" style="3" customWidth="1"/>
    <col min="2050" max="2050" width="20.6640625" style="3" customWidth="1"/>
    <col min="2051" max="2304" width="9.109375" style="3"/>
    <col min="2305" max="2305" width="32.88671875" style="3" customWidth="1"/>
    <col min="2306" max="2306" width="20.6640625" style="3" customWidth="1"/>
    <col min="2307" max="2560" width="9.109375" style="3"/>
    <col min="2561" max="2561" width="32.88671875" style="3" customWidth="1"/>
    <col min="2562" max="2562" width="20.6640625" style="3" customWidth="1"/>
    <col min="2563" max="2816" width="9.109375" style="3"/>
    <col min="2817" max="2817" width="32.88671875" style="3" customWidth="1"/>
    <col min="2818" max="2818" width="20.6640625" style="3" customWidth="1"/>
    <col min="2819" max="3072" width="9.109375" style="3"/>
    <col min="3073" max="3073" width="32.88671875" style="3" customWidth="1"/>
    <col min="3074" max="3074" width="20.6640625" style="3" customWidth="1"/>
    <col min="3075" max="3328" width="9.109375" style="3"/>
    <col min="3329" max="3329" width="32.88671875" style="3" customWidth="1"/>
    <col min="3330" max="3330" width="20.6640625" style="3" customWidth="1"/>
    <col min="3331" max="3584" width="9.109375" style="3"/>
    <col min="3585" max="3585" width="32.88671875" style="3" customWidth="1"/>
    <col min="3586" max="3586" width="20.6640625" style="3" customWidth="1"/>
    <col min="3587" max="3840" width="9.109375" style="3"/>
    <col min="3841" max="3841" width="32.88671875" style="3" customWidth="1"/>
    <col min="3842" max="3842" width="20.6640625" style="3" customWidth="1"/>
    <col min="3843" max="4096" width="9.109375" style="3"/>
    <col min="4097" max="4097" width="32.88671875" style="3" customWidth="1"/>
    <col min="4098" max="4098" width="20.6640625" style="3" customWidth="1"/>
    <col min="4099" max="4352" width="9.109375" style="3"/>
    <col min="4353" max="4353" width="32.88671875" style="3" customWidth="1"/>
    <col min="4354" max="4354" width="20.6640625" style="3" customWidth="1"/>
    <col min="4355" max="4608" width="9.109375" style="3"/>
    <col min="4609" max="4609" width="32.88671875" style="3" customWidth="1"/>
    <col min="4610" max="4610" width="20.6640625" style="3" customWidth="1"/>
    <col min="4611" max="4864" width="9.109375" style="3"/>
    <col min="4865" max="4865" width="32.88671875" style="3" customWidth="1"/>
    <col min="4866" max="4866" width="20.6640625" style="3" customWidth="1"/>
    <col min="4867" max="5120" width="9.109375" style="3"/>
    <col min="5121" max="5121" width="32.88671875" style="3" customWidth="1"/>
    <col min="5122" max="5122" width="20.6640625" style="3" customWidth="1"/>
    <col min="5123" max="5376" width="9.109375" style="3"/>
    <col min="5377" max="5377" width="32.88671875" style="3" customWidth="1"/>
    <col min="5378" max="5378" width="20.6640625" style="3" customWidth="1"/>
    <col min="5379" max="5632" width="9.109375" style="3"/>
    <col min="5633" max="5633" width="32.88671875" style="3" customWidth="1"/>
    <col min="5634" max="5634" width="20.6640625" style="3" customWidth="1"/>
    <col min="5635" max="5888" width="9.109375" style="3"/>
    <col min="5889" max="5889" width="32.88671875" style="3" customWidth="1"/>
    <col min="5890" max="5890" width="20.6640625" style="3" customWidth="1"/>
    <col min="5891" max="6144" width="9.109375" style="3"/>
    <col min="6145" max="6145" width="32.88671875" style="3" customWidth="1"/>
    <col min="6146" max="6146" width="20.6640625" style="3" customWidth="1"/>
    <col min="6147" max="6400" width="9.109375" style="3"/>
    <col min="6401" max="6401" width="32.88671875" style="3" customWidth="1"/>
    <col min="6402" max="6402" width="20.6640625" style="3" customWidth="1"/>
    <col min="6403" max="6656" width="9.109375" style="3"/>
    <col min="6657" max="6657" width="32.88671875" style="3" customWidth="1"/>
    <col min="6658" max="6658" width="20.6640625" style="3" customWidth="1"/>
    <col min="6659" max="6912" width="9.109375" style="3"/>
    <col min="6913" max="6913" width="32.88671875" style="3" customWidth="1"/>
    <col min="6914" max="6914" width="20.6640625" style="3" customWidth="1"/>
    <col min="6915" max="7168" width="9.109375" style="3"/>
    <col min="7169" max="7169" width="32.88671875" style="3" customWidth="1"/>
    <col min="7170" max="7170" width="20.6640625" style="3" customWidth="1"/>
    <col min="7171" max="7424" width="9.109375" style="3"/>
    <col min="7425" max="7425" width="32.88671875" style="3" customWidth="1"/>
    <col min="7426" max="7426" width="20.6640625" style="3" customWidth="1"/>
    <col min="7427" max="7680" width="9.109375" style="3"/>
    <col min="7681" max="7681" width="32.88671875" style="3" customWidth="1"/>
    <col min="7682" max="7682" width="20.6640625" style="3" customWidth="1"/>
    <col min="7683" max="7936" width="9.109375" style="3"/>
    <col min="7937" max="7937" width="32.88671875" style="3" customWidth="1"/>
    <col min="7938" max="7938" width="20.6640625" style="3" customWidth="1"/>
    <col min="7939" max="8192" width="9.109375" style="3"/>
    <col min="8193" max="8193" width="32.88671875" style="3" customWidth="1"/>
    <col min="8194" max="8194" width="20.6640625" style="3" customWidth="1"/>
    <col min="8195" max="8448" width="9.109375" style="3"/>
    <col min="8449" max="8449" width="32.88671875" style="3" customWidth="1"/>
    <col min="8450" max="8450" width="20.6640625" style="3" customWidth="1"/>
    <col min="8451" max="8704" width="9.109375" style="3"/>
    <col min="8705" max="8705" width="32.88671875" style="3" customWidth="1"/>
    <col min="8706" max="8706" width="20.6640625" style="3" customWidth="1"/>
    <col min="8707" max="8960" width="9.109375" style="3"/>
    <col min="8961" max="8961" width="32.88671875" style="3" customWidth="1"/>
    <col min="8962" max="8962" width="20.6640625" style="3" customWidth="1"/>
    <col min="8963" max="9216" width="9.109375" style="3"/>
    <col min="9217" max="9217" width="32.88671875" style="3" customWidth="1"/>
    <col min="9218" max="9218" width="20.6640625" style="3" customWidth="1"/>
    <col min="9219" max="9472" width="9.109375" style="3"/>
    <col min="9473" max="9473" width="32.88671875" style="3" customWidth="1"/>
    <col min="9474" max="9474" width="20.6640625" style="3" customWidth="1"/>
    <col min="9475" max="9728" width="9.109375" style="3"/>
    <col min="9729" max="9729" width="32.88671875" style="3" customWidth="1"/>
    <col min="9730" max="9730" width="20.6640625" style="3" customWidth="1"/>
    <col min="9731" max="9984" width="9.109375" style="3"/>
    <col min="9985" max="9985" width="32.88671875" style="3" customWidth="1"/>
    <col min="9986" max="9986" width="20.6640625" style="3" customWidth="1"/>
    <col min="9987" max="10240" width="9.109375" style="3"/>
    <col min="10241" max="10241" width="32.88671875" style="3" customWidth="1"/>
    <col min="10242" max="10242" width="20.6640625" style="3" customWidth="1"/>
    <col min="10243" max="10496" width="9.109375" style="3"/>
    <col min="10497" max="10497" width="32.88671875" style="3" customWidth="1"/>
    <col min="10498" max="10498" width="20.6640625" style="3" customWidth="1"/>
    <col min="10499" max="10752" width="9.109375" style="3"/>
    <col min="10753" max="10753" width="32.88671875" style="3" customWidth="1"/>
    <col min="10754" max="10754" width="20.6640625" style="3" customWidth="1"/>
    <col min="10755" max="11008" width="9.109375" style="3"/>
    <col min="11009" max="11009" width="32.88671875" style="3" customWidth="1"/>
    <col min="11010" max="11010" width="20.6640625" style="3" customWidth="1"/>
    <col min="11011" max="11264" width="9.109375" style="3"/>
    <col min="11265" max="11265" width="32.88671875" style="3" customWidth="1"/>
    <col min="11266" max="11266" width="20.6640625" style="3" customWidth="1"/>
    <col min="11267" max="11520" width="9.109375" style="3"/>
    <col min="11521" max="11521" width="32.88671875" style="3" customWidth="1"/>
    <col min="11522" max="11522" width="20.6640625" style="3" customWidth="1"/>
    <col min="11523" max="11776" width="9.109375" style="3"/>
    <col min="11777" max="11777" width="32.88671875" style="3" customWidth="1"/>
    <col min="11778" max="11778" width="20.6640625" style="3" customWidth="1"/>
    <col min="11779" max="12032" width="9.109375" style="3"/>
    <col min="12033" max="12033" width="32.88671875" style="3" customWidth="1"/>
    <col min="12034" max="12034" width="20.6640625" style="3" customWidth="1"/>
    <col min="12035" max="12288" width="9.109375" style="3"/>
    <col min="12289" max="12289" width="32.88671875" style="3" customWidth="1"/>
    <col min="12290" max="12290" width="20.6640625" style="3" customWidth="1"/>
    <col min="12291" max="12544" width="9.109375" style="3"/>
    <col min="12545" max="12545" width="32.88671875" style="3" customWidth="1"/>
    <col min="12546" max="12546" width="20.6640625" style="3" customWidth="1"/>
    <col min="12547" max="12800" width="9.109375" style="3"/>
    <col min="12801" max="12801" width="32.88671875" style="3" customWidth="1"/>
    <col min="12802" max="12802" width="20.6640625" style="3" customWidth="1"/>
    <col min="12803" max="13056" width="9.109375" style="3"/>
    <col min="13057" max="13057" width="32.88671875" style="3" customWidth="1"/>
    <col min="13058" max="13058" width="20.6640625" style="3" customWidth="1"/>
    <col min="13059" max="13312" width="9.109375" style="3"/>
    <col min="13313" max="13313" width="32.88671875" style="3" customWidth="1"/>
    <col min="13314" max="13314" width="20.6640625" style="3" customWidth="1"/>
    <col min="13315" max="13568" width="9.109375" style="3"/>
    <col min="13569" max="13569" width="32.88671875" style="3" customWidth="1"/>
    <col min="13570" max="13570" width="20.6640625" style="3" customWidth="1"/>
    <col min="13571" max="13824" width="9.109375" style="3"/>
    <col min="13825" max="13825" width="32.88671875" style="3" customWidth="1"/>
    <col min="13826" max="13826" width="20.6640625" style="3" customWidth="1"/>
    <col min="13827" max="14080" width="9.109375" style="3"/>
    <col min="14081" max="14081" width="32.88671875" style="3" customWidth="1"/>
    <col min="14082" max="14082" width="20.6640625" style="3" customWidth="1"/>
    <col min="14083" max="14336" width="9.109375" style="3"/>
    <col min="14337" max="14337" width="32.88671875" style="3" customWidth="1"/>
    <col min="14338" max="14338" width="20.6640625" style="3" customWidth="1"/>
    <col min="14339" max="14592" width="9.109375" style="3"/>
    <col min="14593" max="14593" width="32.88671875" style="3" customWidth="1"/>
    <col min="14594" max="14594" width="20.6640625" style="3" customWidth="1"/>
    <col min="14595" max="14848" width="9.109375" style="3"/>
    <col min="14849" max="14849" width="32.88671875" style="3" customWidth="1"/>
    <col min="14850" max="14850" width="20.6640625" style="3" customWidth="1"/>
    <col min="14851" max="15104" width="9.109375" style="3"/>
    <col min="15105" max="15105" width="32.88671875" style="3" customWidth="1"/>
    <col min="15106" max="15106" width="20.6640625" style="3" customWidth="1"/>
    <col min="15107" max="15360" width="9.109375" style="3"/>
    <col min="15361" max="15361" width="32.88671875" style="3" customWidth="1"/>
    <col min="15362" max="15362" width="20.6640625" style="3" customWidth="1"/>
    <col min="15363" max="15616" width="9.109375" style="3"/>
    <col min="15617" max="15617" width="32.88671875" style="3" customWidth="1"/>
    <col min="15618" max="15618" width="20.6640625" style="3" customWidth="1"/>
    <col min="15619" max="15872" width="9.109375" style="3"/>
    <col min="15873" max="15873" width="32.88671875" style="3" customWidth="1"/>
    <col min="15874" max="15874" width="20.6640625" style="3" customWidth="1"/>
    <col min="15875" max="16128" width="9.109375" style="3"/>
    <col min="16129" max="16129" width="32.88671875" style="3" customWidth="1"/>
    <col min="16130" max="16130" width="20.6640625" style="3" customWidth="1"/>
    <col min="16131" max="16384" width="9.109375" style="3"/>
  </cols>
  <sheetData>
    <row r="1" spans="1:2" ht="15.6" x14ac:dyDescent="0.25">
      <c r="A1" s="1" t="s">
        <v>0</v>
      </c>
      <c r="B1" s="2"/>
    </row>
    <row r="2" spans="1:2" x14ac:dyDescent="0.2">
      <c r="A2" s="4"/>
      <c r="B2" s="5"/>
    </row>
    <row r="3" spans="1:2" ht="13.2" x14ac:dyDescent="0.25">
      <c r="A3" s="6" t="s">
        <v>1</v>
      </c>
      <c r="B3" s="7"/>
    </row>
    <row r="4" spans="1:2" x14ac:dyDescent="0.2">
      <c r="A4" s="8" t="s">
        <v>2</v>
      </c>
      <c r="B4" s="9"/>
    </row>
    <row r="5" spans="1:2" x14ac:dyDescent="0.2">
      <c r="A5" s="8" t="s">
        <v>3</v>
      </c>
      <c r="B5" s="9"/>
    </row>
    <row r="6" spans="1:2" x14ac:dyDescent="0.2">
      <c r="A6" s="8" t="s">
        <v>4</v>
      </c>
      <c r="B6" s="9"/>
    </row>
    <row r="7" spans="1:2" x14ac:dyDescent="0.2">
      <c r="A7" s="8" t="s">
        <v>5</v>
      </c>
      <c r="B7" s="9"/>
    </row>
    <row r="8" spans="1:2" x14ac:dyDescent="0.2">
      <c r="A8" s="8" t="s">
        <v>6</v>
      </c>
      <c r="B8" s="9"/>
    </row>
    <row r="9" spans="1:2" x14ac:dyDescent="0.2">
      <c r="A9" s="8" t="s">
        <v>7</v>
      </c>
      <c r="B9" s="9"/>
    </row>
    <row r="10" spans="1:2" x14ac:dyDescent="0.2">
      <c r="A10" s="10" t="s">
        <v>8</v>
      </c>
      <c r="B10" s="9"/>
    </row>
    <row r="11" spans="1:2" x14ac:dyDescent="0.2">
      <c r="A11" s="11"/>
      <c r="B11" s="9"/>
    </row>
    <row r="12" spans="1:2" x14ac:dyDescent="0.2">
      <c r="A12" s="11"/>
      <c r="B12" s="9"/>
    </row>
    <row r="13" spans="1:2" x14ac:dyDescent="0.2">
      <c r="A13" s="11"/>
      <c r="B13" s="9"/>
    </row>
    <row r="14" spans="1:2" ht="13.2" x14ac:dyDescent="0.25">
      <c r="A14" s="12" t="s">
        <v>9</v>
      </c>
      <c r="B14" s="13"/>
    </row>
    <row r="15" spans="1:2" x14ac:dyDescent="0.2">
      <c r="A15" s="14" t="s">
        <v>10</v>
      </c>
      <c r="B15" s="9"/>
    </row>
    <row r="16" spans="1:2" x14ac:dyDescent="0.2">
      <c r="A16" s="14" t="s">
        <v>11</v>
      </c>
      <c r="B16" s="9"/>
    </row>
    <row r="17" spans="1:2" x14ac:dyDescent="0.2">
      <c r="A17" s="14" t="s">
        <v>12</v>
      </c>
      <c r="B17" s="9"/>
    </row>
    <row r="18" spans="1:2" x14ac:dyDescent="0.2">
      <c r="A18" s="14" t="s">
        <v>13</v>
      </c>
      <c r="B18" s="9"/>
    </row>
    <row r="19" spans="1:2" x14ac:dyDescent="0.2">
      <c r="A19" s="11"/>
      <c r="B19" s="9"/>
    </row>
    <row r="20" spans="1:2" x14ac:dyDescent="0.2">
      <c r="A20" s="11"/>
      <c r="B20" s="9"/>
    </row>
    <row r="21" spans="1:2" x14ac:dyDescent="0.2">
      <c r="A21" s="11"/>
      <c r="B21" s="9"/>
    </row>
    <row r="22" spans="1:2" ht="13.2" x14ac:dyDescent="0.25">
      <c r="A22" s="15" t="s">
        <v>14</v>
      </c>
      <c r="B22" s="16"/>
    </row>
    <row r="23" spans="1:2" x14ac:dyDescent="0.2">
      <c r="A23" s="14" t="s">
        <v>15</v>
      </c>
      <c r="B23" s="9"/>
    </row>
    <row r="24" spans="1:2" x14ac:dyDescent="0.2">
      <c r="A24" s="14" t="s">
        <v>16</v>
      </c>
      <c r="B24" s="9"/>
    </row>
    <row r="25" spans="1:2" x14ac:dyDescent="0.2">
      <c r="A25" s="14" t="s">
        <v>17</v>
      </c>
      <c r="B25" s="9"/>
    </row>
    <row r="26" spans="1:2" x14ac:dyDescent="0.2">
      <c r="A26" s="14" t="s">
        <v>18</v>
      </c>
      <c r="B26" s="9"/>
    </row>
    <row r="27" spans="1:2" x14ac:dyDescent="0.2">
      <c r="A27" s="11"/>
      <c r="B27" s="9"/>
    </row>
    <row r="28" spans="1:2" x14ac:dyDescent="0.2">
      <c r="A28" s="11"/>
      <c r="B28" s="9"/>
    </row>
    <row r="29" spans="1:2" x14ac:dyDescent="0.2">
      <c r="A29" s="11"/>
      <c r="B29" s="9"/>
    </row>
    <row r="30" spans="1:2" ht="13.2" x14ac:dyDescent="0.25">
      <c r="A30" s="15" t="s">
        <v>19</v>
      </c>
      <c r="B30" s="16"/>
    </row>
    <row r="31" spans="1:2" x14ac:dyDescent="0.2">
      <c r="A31" s="14" t="s">
        <v>20</v>
      </c>
      <c r="B31" s="9"/>
    </row>
    <row r="32" spans="1:2" x14ac:dyDescent="0.2">
      <c r="A32" s="14" t="s">
        <v>21</v>
      </c>
      <c r="B32" s="9"/>
    </row>
    <row r="33" spans="1:2" x14ac:dyDescent="0.2">
      <c r="A33" s="14" t="s">
        <v>22</v>
      </c>
      <c r="B33" s="9"/>
    </row>
    <row r="34" spans="1:2" x14ac:dyDescent="0.2">
      <c r="A34" s="11"/>
      <c r="B34" s="9"/>
    </row>
    <row r="35" spans="1:2" x14ac:dyDescent="0.2">
      <c r="A35" s="11"/>
      <c r="B35" s="9"/>
    </row>
    <row r="36" spans="1:2" x14ac:dyDescent="0.2">
      <c r="A36" s="11"/>
      <c r="B36" s="9"/>
    </row>
    <row r="37" spans="1:2" ht="13.2" x14ac:dyDescent="0.25">
      <c r="A37" s="15" t="s">
        <v>23</v>
      </c>
      <c r="B37" s="16"/>
    </row>
    <row r="38" spans="1:2" x14ac:dyDescent="0.2">
      <c r="A38" s="14" t="s">
        <v>24</v>
      </c>
      <c r="B38" s="9"/>
    </row>
    <row r="39" spans="1:2" x14ac:dyDescent="0.2">
      <c r="A39" s="14" t="s">
        <v>25</v>
      </c>
      <c r="B39" s="9"/>
    </row>
    <row r="40" spans="1:2" x14ac:dyDescent="0.2">
      <c r="A40" s="14" t="s">
        <v>26</v>
      </c>
      <c r="B40" s="17">
        <f>SUM(B38:B39)</f>
        <v>0</v>
      </c>
    </row>
    <row r="41" spans="1:2" ht="13.2" x14ac:dyDescent="0.25">
      <c r="A41" s="15" t="s">
        <v>27</v>
      </c>
      <c r="B41" s="16"/>
    </row>
    <row r="42" spans="1:2" x14ac:dyDescent="0.2">
      <c r="A42" s="14" t="s">
        <v>28</v>
      </c>
      <c r="B42" s="17">
        <f>SUM(B4:B36)</f>
        <v>0</v>
      </c>
    </row>
    <row r="43" spans="1:2" x14ac:dyDescent="0.2">
      <c r="A43" s="14" t="s">
        <v>29</v>
      </c>
      <c r="B43" s="17" t="str">
        <f>IF((B40-B42)&gt;0,B40-B42,"0")</f>
        <v>0</v>
      </c>
    </row>
    <row r="44" spans="1:2" x14ac:dyDescent="0.2">
      <c r="A44" s="14" t="s">
        <v>30</v>
      </c>
      <c r="B44" s="17" t="str">
        <f>IF((B42-B40)&gt;0,B42-B40,"0")</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D2527-4F7B-4120-8A16-5CEDAA216F88}">
  <dimension ref="A1:N40"/>
  <sheetViews>
    <sheetView topLeftCell="A19" workbookViewId="0">
      <selection activeCell="N36" sqref="N36"/>
    </sheetView>
  </sheetViews>
  <sheetFormatPr defaultRowHeight="14.4" x14ac:dyDescent="0.3"/>
  <cols>
    <col min="1" max="1" width="18.5546875" bestFit="1" customWidth="1"/>
  </cols>
  <sheetData>
    <row r="1" spans="1:14" x14ac:dyDescent="0.3">
      <c r="A1" s="19"/>
      <c r="B1" s="20">
        <f>2025</f>
        <v>2025</v>
      </c>
      <c r="C1" s="20">
        <f t="shared" ref="C1:M1" si="0">DATE(YEAR(B1),MONTH(B1)+1,DAY(B1))</f>
        <v>2056</v>
      </c>
      <c r="D1" s="20">
        <f t="shared" si="0"/>
        <v>2087</v>
      </c>
      <c r="E1" s="20">
        <f t="shared" si="0"/>
        <v>2117</v>
      </c>
      <c r="F1" s="20">
        <f t="shared" si="0"/>
        <v>2148</v>
      </c>
      <c r="G1" s="20">
        <f t="shared" si="0"/>
        <v>2178</v>
      </c>
      <c r="H1" s="20">
        <f t="shared" si="0"/>
        <v>2209</v>
      </c>
      <c r="I1" s="20">
        <f t="shared" si="0"/>
        <v>2240</v>
      </c>
      <c r="J1" s="20">
        <f t="shared" si="0"/>
        <v>2268</v>
      </c>
      <c r="K1" s="20">
        <f t="shared" si="0"/>
        <v>2299</v>
      </c>
      <c r="L1" s="20">
        <f t="shared" si="0"/>
        <v>2329</v>
      </c>
      <c r="M1" s="20">
        <f t="shared" si="0"/>
        <v>2360</v>
      </c>
      <c r="N1" s="20" t="s">
        <v>31</v>
      </c>
    </row>
    <row r="2" spans="1:14" x14ac:dyDescent="0.3">
      <c r="A2" s="21" t="s">
        <v>32</v>
      </c>
      <c r="B2" s="22"/>
      <c r="C2" s="22"/>
      <c r="D2" s="23"/>
      <c r="E2" s="23"/>
      <c r="F2" s="23"/>
      <c r="G2" s="23"/>
      <c r="H2" s="23"/>
      <c r="I2" s="23"/>
      <c r="J2" s="23"/>
      <c r="K2" s="23"/>
      <c r="L2" s="23"/>
      <c r="M2" s="23"/>
      <c r="N2" s="24"/>
    </row>
    <row r="3" spans="1:14" x14ac:dyDescent="0.3">
      <c r="A3" s="25" t="s">
        <v>33</v>
      </c>
      <c r="B3" s="26"/>
      <c r="C3" s="26"/>
      <c r="D3" s="26"/>
      <c r="E3" s="26"/>
      <c r="F3" s="26"/>
      <c r="G3" s="26"/>
      <c r="H3" s="26"/>
      <c r="I3" s="26"/>
      <c r="J3" s="26"/>
      <c r="K3" s="26"/>
      <c r="L3" s="26"/>
      <c r="M3" s="26"/>
      <c r="N3" s="27">
        <f>SUM(B3:M3)</f>
        <v>0</v>
      </c>
    </row>
    <row r="4" spans="1:14" x14ac:dyDescent="0.3">
      <c r="A4" s="25" t="s">
        <v>34</v>
      </c>
      <c r="B4" s="26"/>
      <c r="C4" s="26"/>
      <c r="D4" s="26"/>
      <c r="E4" s="26"/>
      <c r="F4" s="26"/>
      <c r="G4" s="26"/>
      <c r="H4" s="26"/>
      <c r="I4" s="26"/>
      <c r="J4" s="26"/>
      <c r="K4" s="26"/>
      <c r="L4" s="26"/>
      <c r="M4" s="26"/>
      <c r="N4" s="27">
        <f>SUM(B4:M4)</f>
        <v>0</v>
      </c>
    </row>
    <row r="5" spans="1:14" x14ac:dyDescent="0.3">
      <c r="A5" s="25" t="s">
        <v>35</v>
      </c>
      <c r="B5" s="28">
        <f>B3-B4</f>
        <v>0</v>
      </c>
      <c r="C5" s="28">
        <f t="shared" ref="C5:N5" si="1">C3-C4</f>
        <v>0</v>
      </c>
      <c r="D5" s="28">
        <f t="shared" si="1"/>
        <v>0</v>
      </c>
      <c r="E5" s="28">
        <f t="shared" si="1"/>
        <v>0</v>
      </c>
      <c r="F5" s="28">
        <f t="shared" si="1"/>
        <v>0</v>
      </c>
      <c r="G5" s="28">
        <f t="shared" si="1"/>
        <v>0</v>
      </c>
      <c r="H5" s="28">
        <f t="shared" si="1"/>
        <v>0</v>
      </c>
      <c r="I5" s="28">
        <f t="shared" si="1"/>
        <v>0</v>
      </c>
      <c r="J5" s="28">
        <f t="shared" si="1"/>
        <v>0</v>
      </c>
      <c r="K5" s="28">
        <f t="shared" si="1"/>
        <v>0</v>
      </c>
      <c r="L5" s="28">
        <f t="shared" si="1"/>
        <v>0</v>
      </c>
      <c r="M5" s="28">
        <f t="shared" si="1"/>
        <v>0</v>
      </c>
      <c r="N5" s="29">
        <f t="shared" si="1"/>
        <v>0</v>
      </c>
    </row>
    <row r="6" spans="1:14" x14ac:dyDescent="0.3">
      <c r="A6" s="30" t="s">
        <v>36</v>
      </c>
      <c r="B6" s="22"/>
      <c r="C6" s="22"/>
      <c r="D6" s="22"/>
      <c r="E6" s="22"/>
      <c r="F6" s="22"/>
      <c r="G6" s="22"/>
      <c r="H6" s="22"/>
      <c r="I6" s="22"/>
      <c r="J6" s="22"/>
      <c r="K6" s="22"/>
      <c r="L6" s="22"/>
      <c r="M6" s="22"/>
      <c r="N6" s="31"/>
    </row>
    <row r="7" spans="1:14" x14ac:dyDescent="0.3">
      <c r="A7" s="32" t="s">
        <v>37</v>
      </c>
      <c r="B7" s="26"/>
      <c r="C7" s="26"/>
      <c r="D7" s="26"/>
      <c r="E7" s="26"/>
      <c r="F7" s="26"/>
      <c r="G7" s="26"/>
      <c r="H7" s="26"/>
      <c r="I7" s="26"/>
      <c r="J7" s="26"/>
      <c r="K7" s="26"/>
      <c r="L7" s="26"/>
      <c r="M7" s="26"/>
      <c r="N7" s="33">
        <f t="shared" ref="N7:N35" si="2">SUM(B7:M7)</f>
        <v>0</v>
      </c>
    </row>
    <row r="8" spans="1:14" x14ac:dyDescent="0.3">
      <c r="A8" s="32" t="s">
        <v>38</v>
      </c>
      <c r="B8" s="26"/>
      <c r="C8" s="26"/>
      <c r="D8" s="26"/>
      <c r="E8" s="26"/>
      <c r="F8" s="26"/>
      <c r="G8" s="26"/>
      <c r="H8" s="26"/>
      <c r="I8" s="26"/>
      <c r="J8" s="26"/>
      <c r="K8" s="26"/>
      <c r="L8" s="26"/>
      <c r="M8" s="26"/>
      <c r="N8" s="33">
        <f t="shared" si="2"/>
        <v>0</v>
      </c>
    </row>
    <row r="9" spans="1:14" x14ac:dyDescent="0.3">
      <c r="A9" s="32" t="s">
        <v>39</v>
      </c>
      <c r="B9" s="26"/>
      <c r="C9" s="26"/>
      <c r="D9" s="26"/>
      <c r="E9" s="26"/>
      <c r="F9" s="26"/>
      <c r="G9" s="26"/>
      <c r="H9" s="26"/>
      <c r="I9" s="26"/>
      <c r="J9" s="26"/>
      <c r="K9" s="26"/>
      <c r="L9" s="26"/>
      <c r="M9" s="26"/>
      <c r="N9" s="33">
        <f t="shared" si="2"/>
        <v>0</v>
      </c>
    </row>
    <row r="10" spans="1:14" x14ac:dyDescent="0.3">
      <c r="A10" s="32" t="s">
        <v>40</v>
      </c>
      <c r="B10" s="26"/>
      <c r="C10" s="26"/>
      <c r="D10" s="26"/>
      <c r="E10" s="26"/>
      <c r="F10" s="26"/>
      <c r="G10" s="26"/>
      <c r="H10" s="26"/>
      <c r="I10" s="26"/>
      <c r="J10" s="26"/>
      <c r="K10" s="26"/>
      <c r="L10" s="26"/>
      <c r="M10" s="26"/>
      <c r="N10" s="33">
        <f t="shared" si="2"/>
        <v>0</v>
      </c>
    </row>
    <row r="11" spans="1:14" x14ac:dyDescent="0.3">
      <c r="A11" s="32" t="s">
        <v>41</v>
      </c>
      <c r="B11" s="26"/>
      <c r="C11" s="26"/>
      <c r="D11" s="26"/>
      <c r="E11" s="26"/>
      <c r="F11" s="26"/>
      <c r="G11" s="26"/>
      <c r="H11" s="26"/>
      <c r="I11" s="26"/>
      <c r="J11" s="26"/>
      <c r="K11" s="26"/>
      <c r="L11" s="26"/>
      <c r="M11" s="26"/>
      <c r="N11" s="33">
        <f t="shared" si="2"/>
        <v>0</v>
      </c>
    </row>
    <row r="12" spans="1:14" x14ac:dyDescent="0.3">
      <c r="A12" s="32" t="s">
        <v>42</v>
      </c>
      <c r="B12" s="26"/>
      <c r="C12" s="26"/>
      <c r="D12" s="26"/>
      <c r="E12" s="26"/>
      <c r="F12" s="26"/>
      <c r="G12" s="26"/>
      <c r="H12" s="26"/>
      <c r="I12" s="26"/>
      <c r="J12" s="26"/>
      <c r="K12" s="26"/>
      <c r="L12" s="26"/>
      <c r="M12" s="26"/>
      <c r="N12" s="33">
        <f t="shared" si="2"/>
        <v>0</v>
      </c>
    </row>
    <row r="13" spans="1:14" x14ac:dyDescent="0.3">
      <c r="A13" s="32" t="s">
        <v>43</v>
      </c>
      <c r="B13" s="26"/>
      <c r="C13" s="26"/>
      <c r="D13" s="26"/>
      <c r="E13" s="26"/>
      <c r="F13" s="26"/>
      <c r="G13" s="26"/>
      <c r="H13" s="26"/>
      <c r="I13" s="26"/>
      <c r="J13" s="26"/>
      <c r="K13" s="26"/>
      <c r="L13" s="26"/>
      <c r="M13" s="26"/>
      <c r="N13" s="33">
        <f t="shared" si="2"/>
        <v>0</v>
      </c>
    </row>
    <row r="14" spans="1:14" x14ac:dyDescent="0.3">
      <c r="A14" s="32" t="s">
        <v>44</v>
      </c>
      <c r="B14" s="26"/>
      <c r="C14" s="26"/>
      <c r="D14" s="26"/>
      <c r="E14" s="26"/>
      <c r="F14" s="26"/>
      <c r="G14" s="26"/>
      <c r="H14" s="26"/>
      <c r="I14" s="26"/>
      <c r="J14" s="26"/>
      <c r="K14" s="26"/>
      <c r="L14" s="26"/>
      <c r="M14" s="26"/>
      <c r="N14" s="33">
        <f t="shared" si="2"/>
        <v>0</v>
      </c>
    </row>
    <row r="15" spans="1:14" x14ac:dyDescent="0.3">
      <c r="A15" s="32" t="s">
        <v>45</v>
      </c>
      <c r="B15" s="26"/>
      <c r="C15" s="26"/>
      <c r="D15" s="26"/>
      <c r="E15" s="26"/>
      <c r="F15" s="26"/>
      <c r="G15" s="26"/>
      <c r="H15" s="26"/>
      <c r="I15" s="26"/>
      <c r="J15" s="26"/>
      <c r="K15" s="26"/>
      <c r="L15" s="26"/>
      <c r="M15" s="26"/>
      <c r="N15" s="33">
        <f t="shared" si="2"/>
        <v>0</v>
      </c>
    </row>
    <row r="16" spans="1:14" x14ac:dyDescent="0.3">
      <c r="A16" s="32" t="s">
        <v>46</v>
      </c>
      <c r="B16" s="26"/>
      <c r="C16" s="26"/>
      <c r="D16" s="26"/>
      <c r="E16" s="26"/>
      <c r="F16" s="26"/>
      <c r="G16" s="26"/>
      <c r="H16" s="26"/>
      <c r="I16" s="26"/>
      <c r="J16" s="26"/>
      <c r="K16" s="26"/>
      <c r="L16" s="26"/>
      <c r="M16" s="26"/>
      <c r="N16" s="33">
        <f t="shared" si="2"/>
        <v>0</v>
      </c>
    </row>
    <row r="17" spans="1:14" x14ac:dyDescent="0.3">
      <c r="A17" s="32" t="s">
        <v>47</v>
      </c>
      <c r="B17" s="26"/>
      <c r="C17" s="26"/>
      <c r="D17" s="26"/>
      <c r="E17" s="26"/>
      <c r="F17" s="26"/>
      <c r="G17" s="26"/>
      <c r="H17" s="26"/>
      <c r="I17" s="26"/>
      <c r="J17" s="26"/>
      <c r="K17" s="26"/>
      <c r="L17" s="26"/>
      <c r="M17" s="26"/>
      <c r="N17" s="33">
        <f t="shared" si="2"/>
        <v>0</v>
      </c>
    </row>
    <row r="18" spans="1:14" x14ac:dyDescent="0.3">
      <c r="A18" s="32" t="s">
        <v>48</v>
      </c>
      <c r="B18" s="26"/>
      <c r="C18" s="26"/>
      <c r="D18" s="26"/>
      <c r="E18" s="26"/>
      <c r="F18" s="26"/>
      <c r="G18" s="26"/>
      <c r="H18" s="26"/>
      <c r="I18" s="26"/>
      <c r="J18" s="26"/>
      <c r="K18" s="26"/>
      <c r="L18" s="26"/>
      <c r="M18" s="26"/>
      <c r="N18" s="33">
        <f t="shared" si="2"/>
        <v>0</v>
      </c>
    </row>
    <row r="19" spans="1:14" x14ac:dyDescent="0.3">
      <c r="A19" s="32" t="s">
        <v>49</v>
      </c>
      <c r="B19" s="26"/>
      <c r="C19" s="26"/>
      <c r="D19" s="26"/>
      <c r="E19" s="26"/>
      <c r="F19" s="26"/>
      <c r="G19" s="26"/>
      <c r="H19" s="26"/>
      <c r="I19" s="26"/>
      <c r="J19" s="26"/>
      <c r="K19" s="26"/>
      <c r="L19" s="26"/>
      <c r="M19" s="26"/>
      <c r="N19" s="33">
        <f t="shared" si="2"/>
        <v>0</v>
      </c>
    </row>
    <row r="20" spans="1:14" x14ac:dyDescent="0.3">
      <c r="A20" s="32" t="s">
        <v>50</v>
      </c>
      <c r="B20" s="26"/>
      <c r="C20" s="26"/>
      <c r="D20" s="26"/>
      <c r="E20" s="26"/>
      <c r="F20" s="26"/>
      <c r="G20" s="26"/>
      <c r="H20" s="26"/>
      <c r="I20" s="26"/>
      <c r="J20" s="26"/>
      <c r="K20" s="26"/>
      <c r="L20" s="26"/>
      <c r="M20" s="26"/>
      <c r="N20" s="33">
        <f t="shared" si="2"/>
        <v>0</v>
      </c>
    </row>
    <row r="21" spans="1:14" x14ac:dyDescent="0.3">
      <c r="A21" s="32" t="s">
        <v>51</v>
      </c>
      <c r="B21" s="26"/>
      <c r="C21" s="26"/>
      <c r="D21" s="26"/>
      <c r="E21" s="26"/>
      <c r="F21" s="26"/>
      <c r="G21" s="26"/>
      <c r="H21" s="26"/>
      <c r="I21" s="26"/>
      <c r="J21" s="26"/>
      <c r="K21" s="26"/>
      <c r="L21" s="26"/>
      <c r="M21" s="26"/>
      <c r="N21" s="33">
        <f t="shared" si="2"/>
        <v>0</v>
      </c>
    </row>
    <row r="22" spans="1:14" x14ac:dyDescent="0.3">
      <c r="A22" s="32" t="s">
        <v>52</v>
      </c>
      <c r="B22" s="26"/>
      <c r="C22" s="26"/>
      <c r="D22" s="26"/>
      <c r="E22" s="26"/>
      <c r="F22" s="26"/>
      <c r="G22" s="26"/>
      <c r="H22" s="26"/>
      <c r="I22" s="26"/>
      <c r="J22" s="26"/>
      <c r="K22" s="26"/>
      <c r="L22" s="26"/>
      <c r="M22" s="26"/>
      <c r="N22" s="33">
        <f t="shared" si="2"/>
        <v>0</v>
      </c>
    </row>
    <row r="23" spans="1:14" x14ac:dyDescent="0.3">
      <c r="A23" s="32" t="s">
        <v>53</v>
      </c>
      <c r="B23" s="26"/>
      <c r="C23" s="26"/>
      <c r="D23" s="26"/>
      <c r="E23" s="26"/>
      <c r="F23" s="26"/>
      <c r="G23" s="26"/>
      <c r="H23" s="26"/>
      <c r="I23" s="26"/>
      <c r="J23" s="26"/>
      <c r="K23" s="26"/>
      <c r="L23" s="26"/>
      <c r="M23" s="26"/>
      <c r="N23" s="33">
        <f t="shared" si="2"/>
        <v>0</v>
      </c>
    </row>
    <row r="24" spans="1:14" x14ac:dyDescent="0.3">
      <c r="A24" s="32" t="s">
        <v>54</v>
      </c>
      <c r="B24" s="26"/>
      <c r="C24" s="26"/>
      <c r="D24" s="26"/>
      <c r="E24" s="26"/>
      <c r="F24" s="26"/>
      <c r="G24" s="26"/>
      <c r="H24" s="26"/>
      <c r="I24" s="26"/>
      <c r="J24" s="26"/>
      <c r="K24" s="26"/>
      <c r="L24" s="26"/>
      <c r="M24" s="26"/>
      <c r="N24" s="33">
        <f t="shared" si="2"/>
        <v>0</v>
      </c>
    </row>
    <row r="25" spans="1:14" x14ac:dyDescent="0.3">
      <c r="A25" s="32" t="s">
        <v>55</v>
      </c>
      <c r="B25" s="26"/>
      <c r="C25" s="26"/>
      <c r="D25" s="26"/>
      <c r="E25" s="26"/>
      <c r="F25" s="26"/>
      <c r="G25" s="26"/>
      <c r="H25" s="26"/>
      <c r="I25" s="26"/>
      <c r="J25" s="26"/>
      <c r="K25" s="26"/>
      <c r="L25" s="26"/>
      <c r="M25" s="26"/>
      <c r="N25" s="33">
        <f t="shared" si="2"/>
        <v>0</v>
      </c>
    </row>
    <row r="26" spans="1:14" x14ac:dyDescent="0.3">
      <c r="A26" s="34" t="s">
        <v>8</v>
      </c>
      <c r="B26" s="26"/>
      <c r="C26" s="26"/>
      <c r="D26" s="26"/>
      <c r="E26" s="26"/>
      <c r="F26" s="26"/>
      <c r="G26" s="26"/>
      <c r="H26" s="26"/>
      <c r="I26" s="26"/>
      <c r="J26" s="26"/>
      <c r="K26" s="26"/>
      <c r="L26" s="26"/>
      <c r="M26" s="26"/>
      <c r="N26" s="33">
        <f t="shared" si="2"/>
        <v>0</v>
      </c>
    </row>
    <row r="27" spans="1:14" x14ac:dyDescent="0.3">
      <c r="A27" s="35"/>
      <c r="B27" s="26"/>
      <c r="C27" s="26"/>
      <c r="D27" s="26"/>
      <c r="E27" s="26"/>
      <c r="F27" s="26"/>
      <c r="G27" s="26"/>
      <c r="H27" s="26"/>
      <c r="I27" s="26"/>
      <c r="J27" s="26"/>
      <c r="K27" s="26"/>
      <c r="L27" s="26"/>
      <c r="M27" s="26"/>
      <c r="N27" s="33">
        <f t="shared" si="2"/>
        <v>0</v>
      </c>
    </row>
    <row r="28" spans="1:14" x14ac:dyDescent="0.3">
      <c r="A28" s="35"/>
      <c r="B28" s="26"/>
      <c r="C28" s="26"/>
      <c r="D28" s="26"/>
      <c r="E28" s="26"/>
      <c r="F28" s="26"/>
      <c r="G28" s="26"/>
      <c r="H28" s="26"/>
      <c r="I28" s="26"/>
      <c r="J28" s="26"/>
      <c r="K28" s="26"/>
      <c r="L28" s="26"/>
      <c r="M28" s="26"/>
      <c r="N28" s="33">
        <f t="shared" si="2"/>
        <v>0</v>
      </c>
    </row>
    <row r="29" spans="1:14" x14ac:dyDescent="0.3">
      <c r="A29" s="35"/>
      <c r="B29" s="26"/>
      <c r="C29" s="26"/>
      <c r="D29" s="26"/>
      <c r="E29" s="26"/>
      <c r="F29" s="26"/>
      <c r="G29" s="26"/>
      <c r="H29" s="26"/>
      <c r="I29" s="26"/>
      <c r="J29" s="26"/>
      <c r="K29" s="26"/>
      <c r="L29" s="26"/>
      <c r="M29" s="26"/>
      <c r="N29" s="33">
        <f t="shared" si="2"/>
        <v>0</v>
      </c>
    </row>
    <row r="30" spans="1:14" x14ac:dyDescent="0.3">
      <c r="A30" s="35"/>
      <c r="B30" s="26"/>
      <c r="C30" s="26"/>
      <c r="D30" s="26"/>
      <c r="E30" s="26"/>
      <c r="F30" s="26"/>
      <c r="G30" s="26"/>
      <c r="H30" s="26"/>
      <c r="I30" s="26"/>
      <c r="J30" s="26"/>
      <c r="K30" s="26"/>
      <c r="L30" s="26"/>
      <c r="M30" s="26"/>
      <c r="N30" s="33">
        <f t="shared" si="2"/>
        <v>0</v>
      </c>
    </row>
    <row r="31" spans="1:14" x14ac:dyDescent="0.3">
      <c r="A31" s="35"/>
      <c r="B31" s="26"/>
      <c r="C31" s="26"/>
      <c r="D31" s="26"/>
      <c r="E31" s="26"/>
      <c r="F31" s="26"/>
      <c r="G31" s="26"/>
      <c r="H31" s="26"/>
      <c r="I31" s="26"/>
      <c r="J31" s="26"/>
      <c r="K31" s="26"/>
      <c r="L31" s="26"/>
      <c r="M31" s="26"/>
      <c r="N31" s="33">
        <f t="shared" si="2"/>
        <v>0</v>
      </c>
    </row>
    <row r="32" spans="1:14" x14ac:dyDescent="0.3">
      <c r="A32" s="35"/>
      <c r="B32" s="26"/>
      <c r="C32" s="26"/>
      <c r="D32" s="26"/>
      <c r="E32" s="26"/>
      <c r="F32" s="26"/>
      <c r="G32" s="26"/>
      <c r="H32" s="26"/>
      <c r="I32" s="26"/>
      <c r="J32" s="26"/>
      <c r="K32" s="26"/>
      <c r="L32" s="26"/>
      <c r="M32" s="26"/>
      <c r="N32" s="33">
        <f t="shared" si="2"/>
        <v>0</v>
      </c>
    </row>
    <row r="33" spans="1:14" x14ac:dyDescent="0.3">
      <c r="A33" s="35"/>
      <c r="B33" s="26"/>
      <c r="C33" s="26"/>
      <c r="D33" s="26"/>
      <c r="E33" s="26"/>
      <c r="F33" s="26"/>
      <c r="G33" s="26"/>
      <c r="H33" s="26"/>
      <c r="I33" s="26"/>
      <c r="J33" s="26"/>
      <c r="K33" s="26"/>
      <c r="L33" s="26"/>
      <c r="M33" s="26"/>
      <c r="N33" s="33">
        <f t="shared" si="2"/>
        <v>0</v>
      </c>
    </row>
    <row r="34" spans="1:14" x14ac:dyDescent="0.3">
      <c r="A34" s="35"/>
      <c r="B34" s="26"/>
      <c r="C34" s="26"/>
      <c r="D34" s="26"/>
      <c r="E34" s="26"/>
      <c r="F34" s="26"/>
      <c r="G34" s="26"/>
      <c r="H34" s="26"/>
      <c r="I34" s="26"/>
      <c r="J34" s="26"/>
      <c r="K34" s="26"/>
      <c r="L34" s="26"/>
      <c r="M34" s="26"/>
      <c r="N34" s="33">
        <f t="shared" si="2"/>
        <v>0</v>
      </c>
    </row>
    <row r="35" spans="1:14" x14ac:dyDescent="0.3">
      <c r="A35" s="35"/>
      <c r="B35" s="26"/>
      <c r="C35" s="26"/>
      <c r="D35" s="26"/>
      <c r="E35" s="26"/>
      <c r="F35" s="26"/>
      <c r="G35" s="26"/>
      <c r="H35" s="26"/>
      <c r="I35" s="26"/>
      <c r="J35" s="26"/>
      <c r="K35" s="26"/>
      <c r="L35" s="26"/>
      <c r="M35" s="26"/>
      <c r="N35" s="33">
        <f t="shared" si="2"/>
        <v>0</v>
      </c>
    </row>
    <row r="36" spans="1:14" x14ac:dyDescent="0.3">
      <c r="A36" s="36" t="s">
        <v>26</v>
      </c>
      <c r="B36" s="28">
        <f>SUM(B7:B35)</f>
        <v>0</v>
      </c>
      <c r="C36" s="28">
        <f t="shared" ref="C36:M36" si="3">SUM(C7:C35)</f>
        <v>0</v>
      </c>
      <c r="D36" s="28">
        <f t="shared" si="3"/>
        <v>0</v>
      </c>
      <c r="E36" s="28">
        <f t="shared" si="3"/>
        <v>0</v>
      </c>
      <c r="F36" s="28">
        <f t="shared" si="3"/>
        <v>0</v>
      </c>
      <c r="G36" s="28">
        <f t="shared" si="3"/>
        <v>0</v>
      </c>
      <c r="H36" s="28">
        <f t="shared" si="3"/>
        <v>0</v>
      </c>
      <c r="I36" s="28">
        <f t="shared" si="3"/>
        <v>0</v>
      </c>
      <c r="J36" s="28">
        <f t="shared" si="3"/>
        <v>0</v>
      </c>
      <c r="K36" s="28">
        <f t="shared" si="3"/>
        <v>0</v>
      </c>
      <c r="L36" s="28">
        <f t="shared" si="3"/>
        <v>0</v>
      </c>
      <c r="M36" s="28">
        <f t="shared" si="3"/>
        <v>0</v>
      </c>
      <c r="N36" s="37">
        <f>SUM(B36:M36)</f>
        <v>0</v>
      </c>
    </row>
    <row r="37" spans="1:14" x14ac:dyDescent="0.3">
      <c r="A37" s="30" t="s">
        <v>56</v>
      </c>
      <c r="B37" s="22"/>
      <c r="C37" s="22"/>
      <c r="D37" s="22"/>
      <c r="E37" s="22"/>
      <c r="F37" s="22"/>
      <c r="G37" s="22"/>
      <c r="H37" s="22"/>
      <c r="I37" s="22"/>
      <c r="J37" s="22"/>
      <c r="K37" s="22"/>
      <c r="L37" s="22"/>
      <c r="M37" s="22"/>
      <c r="N37" s="31"/>
    </row>
    <row r="38" spans="1:14" x14ac:dyDescent="0.3">
      <c r="A38" s="38" t="s">
        <v>57</v>
      </c>
      <c r="B38" s="39">
        <f>B5-B36</f>
        <v>0</v>
      </c>
      <c r="C38" s="39">
        <f t="shared" ref="C38:N38" si="4">C5-C36</f>
        <v>0</v>
      </c>
      <c r="D38" s="39">
        <f t="shared" si="4"/>
        <v>0</v>
      </c>
      <c r="E38" s="39">
        <f t="shared" si="4"/>
        <v>0</v>
      </c>
      <c r="F38" s="39">
        <f t="shared" si="4"/>
        <v>0</v>
      </c>
      <c r="G38" s="39">
        <f t="shared" si="4"/>
        <v>0</v>
      </c>
      <c r="H38" s="39">
        <f t="shared" si="4"/>
        <v>0</v>
      </c>
      <c r="I38" s="39">
        <f t="shared" si="4"/>
        <v>0</v>
      </c>
      <c r="J38" s="39">
        <f t="shared" si="4"/>
        <v>0</v>
      </c>
      <c r="K38" s="39">
        <f t="shared" si="4"/>
        <v>0</v>
      </c>
      <c r="L38" s="39">
        <f t="shared" si="4"/>
        <v>0</v>
      </c>
      <c r="M38" s="39">
        <f t="shared" si="4"/>
        <v>0</v>
      </c>
      <c r="N38" s="29">
        <f t="shared" si="4"/>
        <v>0</v>
      </c>
    </row>
    <row r="39" spans="1:14" x14ac:dyDescent="0.3">
      <c r="A39" s="38" t="s">
        <v>58</v>
      </c>
      <c r="B39" s="40" t="str">
        <f>IF(ISERROR(B5/B3)," ",B5/B3)</f>
        <v xml:space="preserve"> </v>
      </c>
      <c r="C39" s="40" t="str">
        <f t="shared" ref="C39:N39" si="5">IF(ISERROR(C5/C3)," ",C5/C3)</f>
        <v xml:space="preserve"> </v>
      </c>
      <c r="D39" s="40" t="str">
        <f t="shared" si="5"/>
        <v xml:space="preserve"> </v>
      </c>
      <c r="E39" s="40" t="str">
        <f t="shared" si="5"/>
        <v xml:space="preserve"> </v>
      </c>
      <c r="F39" s="40" t="str">
        <f t="shared" si="5"/>
        <v xml:space="preserve"> </v>
      </c>
      <c r="G39" s="40" t="str">
        <f t="shared" si="5"/>
        <v xml:space="preserve"> </v>
      </c>
      <c r="H39" s="40" t="str">
        <f t="shared" si="5"/>
        <v xml:space="preserve"> </v>
      </c>
      <c r="I39" s="40" t="str">
        <f t="shared" si="5"/>
        <v xml:space="preserve"> </v>
      </c>
      <c r="J39" s="40" t="str">
        <f t="shared" si="5"/>
        <v xml:space="preserve"> </v>
      </c>
      <c r="K39" s="40" t="str">
        <f t="shared" si="5"/>
        <v xml:space="preserve"> </v>
      </c>
      <c r="L39" s="40" t="str">
        <f t="shared" si="5"/>
        <v xml:space="preserve"> </v>
      </c>
      <c r="M39" s="40" t="str">
        <f t="shared" si="5"/>
        <v xml:space="preserve"> </v>
      </c>
      <c r="N39" s="41" t="str">
        <f t="shared" si="5"/>
        <v xml:space="preserve"> </v>
      </c>
    </row>
    <row r="40" spans="1:14" x14ac:dyDescent="0.3">
      <c r="A40" s="38" t="s">
        <v>59</v>
      </c>
      <c r="B40" s="40" t="str">
        <f>IF(ISERROR(B38/B3)," ",B38/B3)</f>
        <v xml:space="preserve"> </v>
      </c>
      <c r="C40" s="40" t="str">
        <f t="shared" ref="C40:N40" si="6">IF(ISERROR(C38/C3)," ",C38/C3)</f>
        <v xml:space="preserve"> </v>
      </c>
      <c r="D40" s="40" t="str">
        <f t="shared" si="6"/>
        <v xml:space="preserve"> </v>
      </c>
      <c r="E40" s="40" t="str">
        <f t="shared" si="6"/>
        <v xml:space="preserve"> </v>
      </c>
      <c r="F40" s="40" t="str">
        <f t="shared" si="6"/>
        <v xml:space="preserve"> </v>
      </c>
      <c r="G40" s="40" t="str">
        <f t="shared" si="6"/>
        <v xml:space="preserve"> </v>
      </c>
      <c r="H40" s="40" t="str">
        <f t="shared" si="6"/>
        <v xml:space="preserve"> </v>
      </c>
      <c r="I40" s="40" t="str">
        <f t="shared" si="6"/>
        <v xml:space="preserve"> </v>
      </c>
      <c r="J40" s="40" t="str">
        <f t="shared" si="6"/>
        <v xml:space="preserve"> </v>
      </c>
      <c r="K40" s="40" t="str">
        <f t="shared" si="6"/>
        <v xml:space="preserve"> </v>
      </c>
      <c r="L40" s="40" t="str">
        <f t="shared" si="6"/>
        <v xml:space="preserve"> </v>
      </c>
      <c r="M40" s="40" t="str">
        <f t="shared" si="6"/>
        <v xml:space="preserve"> </v>
      </c>
      <c r="N40" s="41" t="str">
        <f t="shared" si="6"/>
        <v xml:space="preserve"> </v>
      </c>
    </row>
  </sheetData>
  <dataValidations count="1">
    <dataValidation allowBlank="1" showInputMessage="1" showErrorMessage="1" sqref="B2:B37 C9:J10 C2:C5 C11:M12 C13:J16 C6:E6 C20:J23 C17:M19 C24:M25 C26:J29 C7:M8 C32:J35 C30:M31 C37:E37 C36:M36 N5 D3:M5 B38:N40" xr:uid="{AAF36027-4EC7-4CEE-ABD8-053D64183237}"/>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A9E64-70F4-427E-BEAD-91693BEC77B7}">
  <dimension ref="A1:N27"/>
  <sheetViews>
    <sheetView workbookViewId="0">
      <selection activeCell="L3" sqref="L3"/>
    </sheetView>
  </sheetViews>
  <sheetFormatPr defaultColWidth="9.109375" defaultRowHeight="10.199999999999999" x14ac:dyDescent="0.2"/>
  <cols>
    <col min="1" max="1" width="27.88671875" style="44" customWidth="1"/>
    <col min="2" max="14" width="12.6640625" style="44" customWidth="1"/>
    <col min="15" max="256" width="9.109375" style="44"/>
    <col min="257" max="257" width="27.88671875" style="44" customWidth="1"/>
    <col min="258" max="270" width="12.6640625" style="44" customWidth="1"/>
    <col min="271" max="512" width="9.109375" style="44"/>
    <col min="513" max="513" width="27.88671875" style="44" customWidth="1"/>
    <col min="514" max="526" width="12.6640625" style="44" customWidth="1"/>
    <col min="527" max="768" width="9.109375" style="44"/>
    <col min="769" max="769" width="27.88671875" style="44" customWidth="1"/>
    <col min="770" max="782" width="12.6640625" style="44" customWidth="1"/>
    <col min="783" max="1024" width="9.109375" style="44"/>
    <col min="1025" max="1025" width="27.88671875" style="44" customWidth="1"/>
    <col min="1026" max="1038" width="12.6640625" style="44" customWidth="1"/>
    <col min="1039" max="1280" width="9.109375" style="44"/>
    <col min="1281" max="1281" width="27.88671875" style="44" customWidth="1"/>
    <col min="1282" max="1294" width="12.6640625" style="44" customWidth="1"/>
    <col min="1295" max="1536" width="9.109375" style="44"/>
    <col min="1537" max="1537" width="27.88671875" style="44" customWidth="1"/>
    <col min="1538" max="1550" width="12.6640625" style="44" customWidth="1"/>
    <col min="1551" max="1792" width="9.109375" style="44"/>
    <col min="1793" max="1793" width="27.88671875" style="44" customWidth="1"/>
    <col min="1794" max="1806" width="12.6640625" style="44" customWidth="1"/>
    <col min="1807" max="2048" width="9.109375" style="44"/>
    <col min="2049" max="2049" width="27.88671875" style="44" customWidth="1"/>
    <col min="2050" max="2062" width="12.6640625" style="44" customWidth="1"/>
    <col min="2063" max="2304" width="9.109375" style="44"/>
    <col min="2305" max="2305" width="27.88671875" style="44" customWidth="1"/>
    <col min="2306" max="2318" width="12.6640625" style="44" customWidth="1"/>
    <col min="2319" max="2560" width="9.109375" style="44"/>
    <col min="2561" max="2561" width="27.88671875" style="44" customWidth="1"/>
    <col min="2562" max="2574" width="12.6640625" style="44" customWidth="1"/>
    <col min="2575" max="2816" width="9.109375" style="44"/>
    <col min="2817" max="2817" width="27.88671875" style="44" customWidth="1"/>
    <col min="2818" max="2830" width="12.6640625" style="44" customWidth="1"/>
    <col min="2831" max="3072" width="9.109375" style="44"/>
    <col min="3073" max="3073" width="27.88671875" style="44" customWidth="1"/>
    <col min="3074" max="3086" width="12.6640625" style="44" customWidth="1"/>
    <col min="3087" max="3328" width="9.109375" style="44"/>
    <col min="3329" max="3329" width="27.88671875" style="44" customWidth="1"/>
    <col min="3330" max="3342" width="12.6640625" style="44" customWidth="1"/>
    <col min="3343" max="3584" width="9.109375" style="44"/>
    <col min="3585" max="3585" width="27.88671875" style="44" customWidth="1"/>
    <col min="3586" max="3598" width="12.6640625" style="44" customWidth="1"/>
    <col min="3599" max="3840" width="9.109375" style="44"/>
    <col min="3841" max="3841" width="27.88671875" style="44" customWidth="1"/>
    <col min="3842" max="3854" width="12.6640625" style="44" customWidth="1"/>
    <col min="3855" max="4096" width="9.109375" style="44"/>
    <col min="4097" max="4097" width="27.88671875" style="44" customWidth="1"/>
    <col min="4098" max="4110" width="12.6640625" style="44" customWidth="1"/>
    <col min="4111" max="4352" width="9.109375" style="44"/>
    <col min="4353" max="4353" width="27.88671875" style="44" customWidth="1"/>
    <col min="4354" max="4366" width="12.6640625" style="44" customWidth="1"/>
    <col min="4367" max="4608" width="9.109375" style="44"/>
    <col min="4609" max="4609" width="27.88671875" style="44" customWidth="1"/>
    <col min="4610" max="4622" width="12.6640625" style="44" customWidth="1"/>
    <col min="4623" max="4864" width="9.109375" style="44"/>
    <col min="4865" max="4865" width="27.88671875" style="44" customWidth="1"/>
    <col min="4866" max="4878" width="12.6640625" style="44" customWidth="1"/>
    <col min="4879" max="5120" width="9.109375" style="44"/>
    <col min="5121" max="5121" width="27.88671875" style="44" customWidth="1"/>
    <col min="5122" max="5134" width="12.6640625" style="44" customWidth="1"/>
    <col min="5135" max="5376" width="9.109375" style="44"/>
    <col min="5377" max="5377" width="27.88671875" style="44" customWidth="1"/>
    <col min="5378" max="5390" width="12.6640625" style="44" customWidth="1"/>
    <col min="5391" max="5632" width="9.109375" style="44"/>
    <col min="5633" max="5633" width="27.88671875" style="44" customWidth="1"/>
    <col min="5634" max="5646" width="12.6640625" style="44" customWidth="1"/>
    <col min="5647" max="5888" width="9.109375" style="44"/>
    <col min="5889" max="5889" width="27.88671875" style="44" customWidth="1"/>
    <col min="5890" max="5902" width="12.6640625" style="44" customWidth="1"/>
    <col min="5903" max="6144" width="9.109375" style="44"/>
    <col min="6145" max="6145" width="27.88671875" style="44" customWidth="1"/>
    <col min="6146" max="6158" width="12.6640625" style="44" customWidth="1"/>
    <col min="6159" max="6400" width="9.109375" style="44"/>
    <col min="6401" max="6401" width="27.88671875" style="44" customWidth="1"/>
    <col min="6402" max="6414" width="12.6640625" style="44" customWidth="1"/>
    <col min="6415" max="6656" width="9.109375" style="44"/>
    <col min="6657" max="6657" width="27.88671875" style="44" customWidth="1"/>
    <col min="6658" max="6670" width="12.6640625" style="44" customWidth="1"/>
    <col min="6671" max="6912" width="9.109375" style="44"/>
    <col min="6913" max="6913" width="27.88671875" style="44" customWidth="1"/>
    <col min="6914" max="6926" width="12.6640625" style="44" customWidth="1"/>
    <col min="6927" max="7168" width="9.109375" style="44"/>
    <col min="7169" max="7169" width="27.88671875" style="44" customWidth="1"/>
    <col min="7170" max="7182" width="12.6640625" style="44" customWidth="1"/>
    <col min="7183" max="7424" width="9.109375" style="44"/>
    <col min="7425" max="7425" width="27.88671875" style="44" customWidth="1"/>
    <col min="7426" max="7438" width="12.6640625" style="44" customWidth="1"/>
    <col min="7439" max="7680" width="9.109375" style="44"/>
    <col min="7681" max="7681" width="27.88671875" style="44" customWidth="1"/>
    <col min="7682" max="7694" width="12.6640625" style="44" customWidth="1"/>
    <col min="7695" max="7936" width="9.109375" style="44"/>
    <col min="7937" max="7937" width="27.88671875" style="44" customWidth="1"/>
    <col min="7938" max="7950" width="12.6640625" style="44" customWidth="1"/>
    <col min="7951" max="8192" width="9.109375" style="44"/>
    <col min="8193" max="8193" width="27.88671875" style="44" customWidth="1"/>
    <col min="8194" max="8206" width="12.6640625" style="44" customWidth="1"/>
    <col min="8207" max="8448" width="9.109375" style="44"/>
    <col min="8449" max="8449" width="27.88671875" style="44" customWidth="1"/>
    <col min="8450" max="8462" width="12.6640625" style="44" customWidth="1"/>
    <col min="8463" max="8704" width="9.109375" style="44"/>
    <col min="8705" max="8705" width="27.88671875" style="44" customWidth="1"/>
    <col min="8706" max="8718" width="12.6640625" style="44" customWidth="1"/>
    <col min="8719" max="8960" width="9.109375" style="44"/>
    <col min="8961" max="8961" width="27.88671875" style="44" customWidth="1"/>
    <col min="8962" max="8974" width="12.6640625" style="44" customWidth="1"/>
    <col min="8975" max="9216" width="9.109375" style="44"/>
    <col min="9217" max="9217" width="27.88671875" style="44" customWidth="1"/>
    <col min="9218" max="9230" width="12.6640625" style="44" customWidth="1"/>
    <col min="9231" max="9472" width="9.109375" style="44"/>
    <col min="9473" max="9473" width="27.88671875" style="44" customWidth="1"/>
    <col min="9474" max="9486" width="12.6640625" style="44" customWidth="1"/>
    <col min="9487" max="9728" width="9.109375" style="44"/>
    <col min="9729" max="9729" width="27.88671875" style="44" customWidth="1"/>
    <col min="9730" max="9742" width="12.6640625" style="44" customWidth="1"/>
    <col min="9743" max="9984" width="9.109375" style="44"/>
    <col min="9985" max="9985" width="27.88671875" style="44" customWidth="1"/>
    <col min="9986" max="9998" width="12.6640625" style="44" customWidth="1"/>
    <col min="9999" max="10240" width="9.109375" style="44"/>
    <col min="10241" max="10241" width="27.88671875" style="44" customWidth="1"/>
    <col min="10242" max="10254" width="12.6640625" style="44" customWidth="1"/>
    <col min="10255" max="10496" width="9.109375" style="44"/>
    <col min="10497" max="10497" width="27.88671875" style="44" customWidth="1"/>
    <col min="10498" max="10510" width="12.6640625" style="44" customWidth="1"/>
    <col min="10511" max="10752" width="9.109375" style="44"/>
    <col min="10753" max="10753" width="27.88671875" style="44" customWidth="1"/>
    <col min="10754" max="10766" width="12.6640625" style="44" customWidth="1"/>
    <col min="10767" max="11008" width="9.109375" style="44"/>
    <col min="11009" max="11009" width="27.88671875" style="44" customWidth="1"/>
    <col min="11010" max="11022" width="12.6640625" style="44" customWidth="1"/>
    <col min="11023" max="11264" width="9.109375" style="44"/>
    <col min="11265" max="11265" width="27.88671875" style="44" customWidth="1"/>
    <col min="11266" max="11278" width="12.6640625" style="44" customWidth="1"/>
    <col min="11279" max="11520" width="9.109375" style="44"/>
    <col min="11521" max="11521" width="27.88671875" style="44" customWidth="1"/>
    <col min="11522" max="11534" width="12.6640625" style="44" customWidth="1"/>
    <col min="11535" max="11776" width="9.109375" style="44"/>
    <col min="11777" max="11777" width="27.88671875" style="44" customWidth="1"/>
    <col min="11778" max="11790" width="12.6640625" style="44" customWidth="1"/>
    <col min="11791" max="12032" width="9.109375" style="44"/>
    <col min="12033" max="12033" width="27.88671875" style="44" customWidth="1"/>
    <col min="12034" max="12046" width="12.6640625" style="44" customWidth="1"/>
    <col min="12047" max="12288" width="9.109375" style="44"/>
    <col min="12289" max="12289" width="27.88671875" style="44" customWidth="1"/>
    <col min="12290" max="12302" width="12.6640625" style="44" customWidth="1"/>
    <col min="12303" max="12544" width="9.109375" style="44"/>
    <col min="12545" max="12545" width="27.88671875" style="44" customWidth="1"/>
    <col min="12546" max="12558" width="12.6640625" style="44" customWidth="1"/>
    <col min="12559" max="12800" width="9.109375" style="44"/>
    <col min="12801" max="12801" width="27.88671875" style="44" customWidth="1"/>
    <col min="12802" max="12814" width="12.6640625" style="44" customWidth="1"/>
    <col min="12815" max="13056" width="9.109375" style="44"/>
    <col min="13057" max="13057" width="27.88671875" style="44" customWidth="1"/>
    <col min="13058" max="13070" width="12.6640625" style="44" customWidth="1"/>
    <col min="13071" max="13312" width="9.109375" style="44"/>
    <col min="13313" max="13313" width="27.88671875" style="44" customWidth="1"/>
    <col min="13314" max="13326" width="12.6640625" style="44" customWidth="1"/>
    <col min="13327" max="13568" width="9.109375" style="44"/>
    <col min="13569" max="13569" width="27.88671875" style="44" customWidth="1"/>
    <col min="13570" max="13582" width="12.6640625" style="44" customWidth="1"/>
    <col min="13583" max="13824" width="9.109375" style="44"/>
    <col min="13825" max="13825" width="27.88671875" style="44" customWidth="1"/>
    <col min="13826" max="13838" width="12.6640625" style="44" customWidth="1"/>
    <col min="13839" max="14080" width="9.109375" style="44"/>
    <col min="14081" max="14081" width="27.88671875" style="44" customWidth="1"/>
    <col min="14082" max="14094" width="12.6640625" style="44" customWidth="1"/>
    <col min="14095" max="14336" width="9.109375" style="44"/>
    <col min="14337" max="14337" width="27.88671875" style="44" customWidth="1"/>
    <col min="14338" max="14350" width="12.6640625" style="44" customWidth="1"/>
    <col min="14351" max="14592" width="9.109375" style="44"/>
    <col min="14593" max="14593" width="27.88671875" style="44" customWidth="1"/>
    <col min="14594" max="14606" width="12.6640625" style="44" customWidth="1"/>
    <col min="14607" max="14848" width="9.109375" style="44"/>
    <col min="14849" max="14849" width="27.88671875" style="44" customWidth="1"/>
    <col min="14850" max="14862" width="12.6640625" style="44" customWidth="1"/>
    <col min="14863" max="15104" width="9.109375" style="44"/>
    <col min="15105" max="15105" width="27.88671875" style="44" customWidth="1"/>
    <col min="15106" max="15118" width="12.6640625" style="44" customWidth="1"/>
    <col min="15119" max="15360" width="9.109375" style="44"/>
    <col min="15361" max="15361" width="27.88671875" style="44" customWidth="1"/>
    <col min="15362" max="15374" width="12.6640625" style="44" customWidth="1"/>
    <col min="15375" max="15616" width="9.109375" style="44"/>
    <col min="15617" max="15617" width="27.88671875" style="44" customWidth="1"/>
    <col min="15618" max="15630" width="12.6640625" style="44" customWidth="1"/>
    <col min="15631" max="15872" width="9.109375" style="44"/>
    <col min="15873" max="15873" width="27.88671875" style="44" customWidth="1"/>
    <col min="15874" max="15886" width="12.6640625" style="44" customWidth="1"/>
    <col min="15887" max="16128" width="9.109375" style="44"/>
    <col min="16129" max="16129" width="27.88671875" style="44" customWidth="1"/>
    <col min="16130" max="16142" width="12.6640625" style="44" customWidth="1"/>
    <col min="16143" max="16384" width="9.109375" style="44"/>
  </cols>
  <sheetData>
    <row r="1" spans="1:14" ht="15.6" x14ac:dyDescent="0.2">
      <c r="A1" s="42" t="s">
        <v>60</v>
      </c>
      <c r="B1" s="4"/>
      <c r="C1" s="4"/>
      <c r="D1" s="4"/>
      <c r="E1" s="4"/>
      <c r="F1" s="4"/>
      <c r="G1" s="4"/>
      <c r="H1" s="43"/>
      <c r="I1" s="43"/>
      <c r="J1" s="43"/>
      <c r="K1" s="43"/>
      <c r="L1" s="43"/>
      <c r="M1" s="43"/>
      <c r="N1" s="43"/>
    </row>
    <row r="2" spans="1:14" ht="11.4" x14ac:dyDescent="0.2">
      <c r="A2" s="4"/>
      <c r="B2" s="4"/>
      <c r="C2" s="4"/>
      <c r="D2" s="45"/>
      <c r="E2" s="46"/>
      <c r="F2" s="4"/>
      <c r="G2" s="4"/>
      <c r="H2" s="4"/>
      <c r="I2" s="4"/>
      <c r="J2" s="4"/>
      <c r="K2" s="4"/>
      <c r="L2" s="4"/>
      <c r="M2" s="4"/>
      <c r="N2" s="4"/>
    </row>
    <row r="3" spans="1:14" s="48" customFormat="1" ht="13.2" x14ac:dyDescent="0.25">
      <c r="A3" s="19"/>
      <c r="B3" s="47">
        <v>2025</v>
      </c>
      <c r="C3" s="20">
        <f t="shared" ref="C3:M3" si="0">DATE(YEAR(B3),MONTH(B3)+1,DAY(B3))</f>
        <v>2056</v>
      </c>
      <c r="D3" s="20">
        <f t="shared" si="0"/>
        <v>2087</v>
      </c>
      <c r="E3" s="20">
        <f t="shared" si="0"/>
        <v>2117</v>
      </c>
      <c r="F3" s="20">
        <f t="shared" si="0"/>
        <v>2148</v>
      </c>
      <c r="G3" s="20">
        <f t="shared" si="0"/>
        <v>2178</v>
      </c>
      <c r="H3" s="20">
        <f t="shared" si="0"/>
        <v>2209</v>
      </c>
      <c r="I3" s="20">
        <f t="shared" si="0"/>
        <v>2240</v>
      </c>
      <c r="J3" s="20">
        <f t="shared" si="0"/>
        <v>2268</v>
      </c>
      <c r="K3" s="20">
        <f t="shared" si="0"/>
        <v>2299</v>
      </c>
      <c r="L3" s="20">
        <f t="shared" si="0"/>
        <v>2329</v>
      </c>
      <c r="M3" s="20">
        <f t="shared" si="0"/>
        <v>2360</v>
      </c>
      <c r="N3" s="20" t="s">
        <v>31</v>
      </c>
    </row>
    <row r="4" spans="1:14" x14ac:dyDescent="0.2">
      <c r="A4" s="25" t="s">
        <v>61</v>
      </c>
      <c r="B4" s="49"/>
      <c r="C4" s="50" t="str">
        <f t="shared" ref="C4:M4" si="1">B22</f>
        <v/>
      </c>
      <c r="D4" s="39" t="str">
        <f t="shared" si="1"/>
        <v/>
      </c>
      <c r="E4" s="39" t="str">
        <f t="shared" si="1"/>
        <v/>
      </c>
      <c r="F4" s="39" t="str">
        <f t="shared" si="1"/>
        <v/>
      </c>
      <c r="G4" s="39" t="str">
        <f t="shared" si="1"/>
        <v/>
      </c>
      <c r="H4" s="39" t="str">
        <f t="shared" si="1"/>
        <v/>
      </c>
      <c r="I4" s="39" t="str">
        <f t="shared" si="1"/>
        <v/>
      </c>
      <c r="J4" s="39" t="str">
        <f t="shared" si="1"/>
        <v/>
      </c>
      <c r="K4" s="39" t="str">
        <f t="shared" si="1"/>
        <v/>
      </c>
      <c r="L4" s="39" t="str">
        <f t="shared" si="1"/>
        <v/>
      </c>
      <c r="M4" s="39" t="str">
        <f t="shared" si="1"/>
        <v/>
      </c>
      <c r="N4" s="51"/>
    </row>
    <row r="5" spans="1:14" ht="13.2" x14ac:dyDescent="0.25">
      <c r="A5" s="21" t="s">
        <v>62</v>
      </c>
      <c r="B5" s="22"/>
      <c r="C5" s="22"/>
      <c r="D5" s="23"/>
      <c r="E5" s="23"/>
      <c r="F5" s="23"/>
      <c r="G5" s="23"/>
      <c r="H5" s="23"/>
      <c r="I5" s="23"/>
      <c r="J5" s="23"/>
      <c r="K5" s="23"/>
      <c r="L5" s="23"/>
      <c r="M5" s="23"/>
      <c r="N5" s="24"/>
    </row>
    <row r="6" spans="1:14" x14ac:dyDescent="0.2">
      <c r="A6" s="25" t="s">
        <v>63</v>
      </c>
      <c r="B6" s="26"/>
      <c r="C6" s="26"/>
      <c r="D6" s="26"/>
      <c r="E6" s="26"/>
      <c r="F6" s="26"/>
      <c r="G6" s="26"/>
      <c r="H6" s="26"/>
      <c r="I6" s="26"/>
      <c r="J6" s="26"/>
      <c r="K6" s="26"/>
      <c r="L6" s="26"/>
      <c r="M6" s="26"/>
      <c r="N6" s="33">
        <f>B6+C6+D6+E6+F6+G6+H6+I6+J6+K6+L6+M6</f>
        <v>0</v>
      </c>
    </row>
    <row r="7" spans="1:14" x14ac:dyDescent="0.2">
      <c r="A7" s="25" t="s">
        <v>64</v>
      </c>
      <c r="B7" s="26"/>
      <c r="C7" s="26"/>
      <c r="D7" s="26"/>
      <c r="E7" s="26"/>
      <c r="F7" s="26"/>
      <c r="G7" s="26"/>
      <c r="H7" s="26"/>
      <c r="I7" s="26"/>
      <c r="J7" s="26"/>
      <c r="K7" s="26"/>
      <c r="L7" s="26"/>
      <c r="M7" s="26"/>
      <c r="N7" s="33">
        <f>B7+C7+D7+E7+F7+G7+H7+I7+J7+K7+L7+M7</f>
        <v>0</v>
      </c>
    </row>
    <row r="8" spans="1:14" x14ac:dyDescent="0.2">
      <c r="A8" s="25" t="s">
        <v>65</v>
      </c>
      <c r="B8" s="26"/>
      <c r="C8" s="26"/>
      <c r="D8" s="26"/>
      <c r="E8" s="26"/>
      <c r="F8" s="26"/>
      <c r="G8" s="26"/>
      <c r="H8" s="26"/>
      <c r="I8" s="26"/>
      <c r="J8" s="26"/>
      <c r="K8" s="26"/>
      <c r="L8" s="26"/>
      <c r="M8" s="26"/>
      <c r="N8" s="33">
        <f>B8+C8+D8+E8+F8+G8+H8+I8+J8+K8+L8+M8</f>
        <v>0</v>
      </c>
    </row>
    <row r="9" spans="1:14" x14ac:dyDescent="0.2">
      <c r="A9" s="25" t="s">
        <v>26</v>
      </c>
      <c r="B9" s="28" t="str">
        <f t="shared" ref="B9:M9" si="2">IF(AND(ISBLANK(B6),ISBLANK(B7),ISBLANK(B8)),"",SUM(B6:B8))</f>
        <v/>
      </c>
      <c r="C9" s="28" t="str">
        <f t="shared" si="2"/>
        <v/>
      </c>
      <c r="D9" s="28" t="str">
        <f t="shared" si="2"/>
        <v/>
      </c>
      <c r="E9" s="28" t="str">
        <f t="shared" si="2"/>
        <v/>
      </c>
      <c r="F9" s="28" t="str">
        <f t="shared" si="2"/>
        <v/>
      </c>
      <c r="G9" s="28" t="str">
        <f t="shared" si="2"/>
        <v/>
      </c>
      <c r="H9" s="28" t="str">
        <f t="shared" si="2"/>
        <v/>
      </c>
      <c r="I9" s="28" t="str">
        <f t="shared" si="2"/>
        <v/>
      </c>
      <c r="J9" s="28" t="str">
        <f t="shared" si="2"/>
        <v/>
      </c>
      <c r="K9" s="28" t="str">
        <f t="shared" si="2"/>
        <v/>
      </c>
      <c r="L9" s="28" t="str">
        <f t="shared" si="2"/>
        <v/>
      </c>
      <c r="M9" s="28" t="str">
        <f t="shared" si="2"/>
        <v/>
      </c>
      <c r="N9" s="24">
        <f>SUM(N6:N8)</f>
        <v>0</v>
      </c>
    </row>
    <row r="10" spans="1:14" ht="13.2" x14ac:dyDescent="0.25">
      <c r="A10" s="30" t="s">
        <v>66</v>
      </c>
      <c r="B10" s="22"/>
      <c r="C10" s="22"/>
      <c r="D10" s="22"/>
      <c r="E10" s="22"/>
      <c r="F10" s="22"/>
      <c r="G10" s="22"/>
      <c r="H10" s="22"/>
      <c r="I10" s="22"/>
      <c r="J10" s="22"/>
      <c r="K10" s="22"/>
      <c r="L10" s="22"/>
      <c r="M10" s="22"/>
      <c r="N10" s="24"/>
    </row>
    <row r="11" spans="1:14" x14ac:dyDescent="0.2">
      <c r="A11" s="25" t="s">
        <v>67</v>
      </c>
      <c r="B11" s="52">
        <f>SUM(B12:B14)</f>
        <v>0</v>
      </c>
      <c r="C11" s="52">
        <f t="shared" ref="C11:M11" si="3">SUM(C12:C14)</f>
        <v>0</v>
      </c>
      <c r="D11" s="52">
        <f t="shared" si="3"/>
        <v>0</v>
      </c>
      <c r="E11" s="52">
        <f t="shared" si="3"/>
        <v>0</v>
      </c>
      <c r="F11" s="52">
        <f t="shared" si="3"/>
        <v>0</v>
      </c>
      <c r="G11" s="52">
        <f t="shared" si="3"/>
        <v>0</v>
      </c>
      <c r="H11" s="52">
        <f t="shared" si="3"/>
        <v>0</v>
      </c>
      <c r="I11" s="52">
        <f t="shared" si="3"/>
        <v>0</v>
      </c>
      <c r="J11" s="52">
        <f t="shared" si="3"/>
        <v>0</v>
      </c>
      <c r="K11" s="52">
        <f t="shared" si="3"/>
        <v>0</v>
      </c>
      <c r="L11" s="52">
        <f t="shared" si="3"/>
        <v>0</v>
      </c>
      <c r="M11" s="52">
        <f t="shared" si="3"/>
        <v>0</v>
      </c>
      <c r="N11" s="24">
        <f>B11+C11+D11+E11+F11+G11+H11+I11+J11+K11+L11+M11</f>
        <v>0</v>
      </c>
    </row>
    <row r="12" spans="1:14" x14ac:dyDescent="0.2">
      <c r="A12" s="53" t="s">
        <v>68</v>
      </c>
      <c r="B12" s="26"/>
      <c r="C12" s="26"/>
      <c r="D12" s="26"/>
      <c r="E12" s="26"/>
      <c r="F12" s="26"/>
      <c r="G12" s="26"/>
      <c r="H12" s="26"/>
      <c r="I12" s="26"/>
      <c r="J12" s="26"/>
      <c r="K12" s="26"/>
      <c r="L12" s="26"/>
      <c r="M12" s="26"/>
      <c r="N12" s="33"/>
    </row>
    <row r="13" spans="1:14" x14ac:dyDescent="0.2">
      <c r="A13" s="53" t="s">
        <v>69</v>
      </c>
      <c r="B13" s="26"/>
      <c r="C13" s="26"/>
      <c r="D13" s="26"/>
      <c r="E13" s="26"/>
      <c r="F13" s="26"/>
      <c r="G13" s="26"/>
      <c r="H13" s="26"/>
      <c r="I13" s="26"/>
      <c r="J13" s="26"/>
      <c r="K13" s="26"/>
      <c r="L13" s="26"/>
      <c r="M13" s="26"/>
      <c r="N13" s="33"/>
    </row>
    <row r="14" spans="1:14" x14ac:dyDescent="0.2">
      <c r="A14" s="53" t="s">
        <v>70</v>
      </c>
      <c r="B14" s="26"/>
      <c r="C14" s="26"/>
      <c r="D14" s="26"/>
      <c r="E14" s="26"/>
      <c r="F14" s="26"/>
      <c r="G14" s="26"/>
      <c r="H14" s="26"/>
      <c r="I14" s="26"/>
      <c r="J14" s="26"/>
      <c r="K14" s="26"/>
      <c r="L14" s="26"/>
      <c r="M14" s="26"/>
      <c r="N14" s="33"/>
    </row>
    <row r="15" spans="1:14" x14ac:dyDescent="0.2">
      <c r="A15" s="25" t="s">
        <v>71</v>
      </c>
      <c r="B15" s="54">
        <f t="shared" ref="B15:M15" si="4">SUM(B16:B18)</f>
        <v>0</v>
      </c>
      <c r="C15" s="54">
        <f t="shared" si="4"/>
        <v>0</v>
      </c>
      <c r="D15" s="54">
        <f t="shared" si="4"/>
        <v>0</v>
      </c>
      <c r="E15" s="54">
        <f t="shared" si="4"/>
        <v>0</v>
      </c>
      <c r="F15" s="54">
        <f t="shared" si="4"/>
        <v>0</v>
      </c>
      <c r="G15" s="54">
        <f t="shared" si="4"/>
        <v>0</v>
      </c>
      <c r="H15" s="54">
        <f t="shared" si="4"/>
        <v>0</v>
      </c>
      <c r="I15" s="54">
        <f t="shared" si="4"/>
        <v>0</v>
      </c>
      <c r="J15" s="54">
        <f t="shared" si="4"/>
        <v>0</v>
      </c>
      <c r="K15" s="54">
        <f t="shared" si="4"/>
        <v>0</v>
      </c>
      <c r="L15" s="54">
        <f t="shared" si="4"/>
        <v>0</v>
      </c>
      <c r="M15" s="54">
        <f t="shared" si="4"/>
        <v>0</v>
      </c>
      <c r="N15" s="24">
        <f>B15+C15+D15+E15+F15+G15+H15+I15+J15+K15+L15+M15</f>
        <v>0</v>
      </c>
    </row>
    <row r="16" spans="1:14" x14ac:dyDescent="0.2">
      <c r="A16" s="53" t="s">
        <v>68</v>
      </c>
      <c r="B16" s="26"/>
      <c r="C16" s="26"/>
      <c r="D16" s="26"/>
      <c r="E16" s="26"/>
      <c r="F16" s="26"/>
      <c r="G16" s="26"/>
      <c r="H16" s="26"/>
      <c r="I16" s="26"/>
      <c r="J16" s="26"/>
      <c r="K16" s="26"/>
      <c r="L16" s="26"/>
      <c r="M16" s="26"/>
      <c r="N16" s="33"/>
    </row>
    <row r="17" spans="1:14" x14ac:dyDescent="0.2">
      <c r="A17" s="53" t="s">
        <v>69</v>
      </c>
      <c r="B17" s="26"/>
      <c r="C17" s="26"/>
      <c r="D17" s="26"/>
      <c r="E17" s="26"/>
      <c r="F17" s="26"/>
      <c r="G17" s="26"/>
      <c r="H17" s="26"/>
      <c r="I17" s="26"/>
      <c r="J17" s="26"/>
      <c r="K17" s="26"/>
      <c r="L17" s="26"/>
      <c r="M17" s="26"/>
      <c r="N17" s="33"/>
    </row>
    <row r="18" spans="1:14" x14ac:dyDescent="0.2">
      <c r="A18" s="53" t="s">
        <v>70</v>
      </c>
      <c r="B18" s="26"/>
      <c r="C18" s="26"/>
      <c r="D18" s="26"/>
      <c r="E18" s="26"/>
      <c r="F18" s="26"/>
      <c r="G18" s="26"/>
      <c r="H18" s="26"/>
      <c r="I18" s="26"/>
      <c r="J18" s="26"/>
      <c r="K18" s="26"/>
      <c r="L18" s="26"/>
      <c r="M18" s="26"/>
      <c r="N18" s="33"/>
    </row>
    <row r="19" spans="1:14" ht="10.8" thickBot="1" x14ac:dyDescent="0.25">
      <c r="A19" s="25" t="s">
        <v>26</v>
      </c>
      <c r="B19" s="28">
        <f>IF(AND(ISBLANK(B11),ISBLANK(B15)),"",SUM(B11+B15))</f>
        <v>0</v>
      </c>
      <c r="C19" s="28">
        <f t="shared" ref="C19:M19" si="5">IF(AND(ISBLANK(C11),ISBLANK(C15)),"",SUM(C11+C15))</f>
        <v>0</v>
      </c>
      <c r="D19" s="28">
        <f t="shared" si="5"/>
        <v>0</v>
      </c>
      <c r="E19" s="28">
        <f t="shared" si="5"/>
        <v>0</v>
      </c>
      <c r="F19" s="28">
        <f t="shared" si="5"/>
        <v>0</v>
      </c>
      <c r="G19" s="28">
        <f t="shared" si="5"/>
        <v>0</v>
      </c>
      <c r="H19" s="28">
        <f t="shared" si="5"/>
        <v>0</v>
      </c>
      <c r="I19" s="28">
        <f t="shared" si="5"/>
        <v>0</v>
      </c>
      <c r="J19" s="28">
        <f t="shared" si="5"/>
        <v>0</v>
      </c>
      <c r="K19" s="28">
        <f t="shared" si="5"/>
        <v>0</v>
      </c>
      <c r="L19" s="28">
        <f t="shared" si="5"/>
        <v>0</v>
      </c>
      <c r="M19" s="28">
        <f t="shared" si="5"/>
        <v>0</v>
      </c>
      <c r="N19" s="55">
        <f>SUM(N11:N15)</f>
        <v>0</v>
      </c>
    </row>
    <row r="20" spans="1:14" ht="13.2" x14ac:dyDescent="0.25">
      <c r="A20" s="56" t="s">
        <v>56</v>
      </c>
      <c r="B20" s="22"/>
      <c r="C20" s="22"/>
      <c r="D20" s="22"/>
      <c r="E20" s="22"/>
      <c r="F20" s="22"/>
      <c r="G20" s="22"/>
      <c r="H20" s="22"/>
      <c r="I20" s="22"/>
      <c r="J20" s="22"/>
      <c r="K20" s="22"/>
      <c r="L20" s="22"/>
      <c r="M20" s="22"/>
      <c r="N20" s="57"/>
    </row>
    <row r="21" spans="1:14" x14ac:dyDescent="0.2">
      <c r="A21" s="58" t="s">
        <v>72</v>
      </c>
      <c r="B21" s="39" t="str">
        <f t="shared" ref="B21:M21" si="6">IF(ISERR(B9-B19),"",(B9-B19))</f>
        <v/>
      </c>
      <c r="C21" s="39" t="str">
        <f t="shared" si="6"/>
        <v/>
      </c>
      <c r="D21" s="39" t="str">
        <f t="shared" si="6"/>
        <v/>
      </c>
      <c r="E21" s="39" t="str">
        <f t="shared" si="6"/>
        <v/>
      </c>
      <c r="F21" s="39" t="str">
        <f t="shared" si="6"/>
        <v/>
      </c>
      <c r="G21" s="39" t="str">
        <f t="shared" si="6"/>
        <v/>
      </c>
      <c r="H21" s="39" t="str">
        <f t="shared" si="6"/>
        <v/>
      </c>
      <c r="I21" s="39" t="str">
        <f t="shared" si="6"/>
        <v/>
      </c>
      <c r="J21" s="39" t="str">
        <f t="shared" si="6"/>
        <v/>
      </c>
      <c r="K21" s="39" t="str">
        <f t="shared" si="6"/>
        <v/>
      </c>
      <c r="L21" s="39" t="str">
        <f t="shared" si="6"/>
        <v/>
      </c>
      <c r="M21" s="39" t="str">
        <f t="shared" si="6"/>
        <v/>
      </c>
      <c r="N21" s="59"/>
    </row>
    <row r="22" spans="1:14" ht="10.8" thickBot="1" x14ac:dyDescent="0.25">
      <c r="A22" s="60" t="s">
        <v>73</v>
      </c>
      <c r="B22" s="29" t="str">
        <f t="shared" ref="B22:M22" si="7">IF(ISERR(B4+B21),"",B4+B21)</f>
        <v/>
      </c>
      <c r="C22" s="29" t="str">
        <f t="shared" si="7"/>
        <v/>
      </c>
      <c r="D22" s="29" t="str">
        <f t="shared" si="7"/>
        <v/>
      </c>
      <c r="E22" s="29" t="str">
        <f t="shared" si="7"/>
        <v/>
      </c>
      <c r="F22" s="29" t="str">
        <f t="shared" si="7"/>
        <v/>
      </c>
      <c r="G22" s="29" t="str">
        <f t="shared" si="7"/>
        <v/>
      </c>
      <c r="H22" s="29" t="str">
        <f t="shared" si="7"/>
        <v/>
      </c>
      <c r="I22" s="29" t="str">
        <f t="shared" si="7"/>
        <v/>
      </c>
      <c r="J22" s="29" t="str">
        <f t="shared" si="7"/>
        <v/>
      </c>
      <c r="K22" s="29" t="str">
        <f t="shared" si="7"/>
        <v/>
      </c>
      <c r="L22" s="29" t="str">
        <f t="shared" si="7"/>
        <v/>
      </c>
      <c r="M22" s="29" t="str">
        <f t="shared" si="7"/>
        <v/>
      </c>
      <c r="N22" s="59"/>
    </row>
    <row r="23" spans="1:14" x14ac:dyDescent="0.2">
      <c r="A23" s="61"/>
      <c r="B23" s="61"/>
      <c r="C23" s="61"/>
      <c r="D23" s="61"/>
      <c r="E23" s="61"/>
      <c r="F23" s="61"/>
      <c r="G23" s="61"/>
    </row>
    <row r="24" spans="1:14" s="63" customFormat="1" x14ac:dyDescent="0.2">
      <c r="A24" s="62"/>
      <c r="B24" s="61"/>
      <c r="C24" s="61"/>
      <c r="D24" s="61"/>
      <c r="E24" s="61"/>
      <c r="F24" s="61"/>
      <c r="G24" s="61"/>
    </row>
    <row r="25" spans="1:14" s="63" customFormat="1" x14ac:dyDescent="0.2">
      <c r="A25" s="62"/>
      <c r="B25" s="61"/>
      <c r="C25" s="61"/>
      <c r="D25" s="61"/>
      <c r="E25" s="61"/>
      <c r="F25" s="61"/>
      <c r="G25" s="61"/>
    </row>
    <row r="26" spans="1:14" s="61" customFormat="1" x14ac:dyDescent="0.2">
      <c r="B26" s="64"/>
      <c r="C26" s="64"/>
      <c r="D26" s="64"/>
      <c r="E26" s="64"/>
      <c r="F26" s="64"/>
      <c r="G26" s="64"/>
    </row>
    <row r="27" spans="1:14" s="61" customFormat="1" x14ac:dyDescent="0.2">
      <c r="B27" s="65"/>
      <c r="C27" s="65"/>
      <c r="D27" s="65"/>
      <c r="E27" s="65"/>
      <c r="F27" s="65"/>
      <c r="G27" s="65"/>
    </row>
  </sheetData>
  <pageMargins left="0.7" right="0.7" top="0.75" bottom="0.75" header="0.3" footer="0.3"/>
  <extLst>
    <ext xmlns:x14="http://schemas.microsoft.com/office/spreadsheetml/2009/9/main" uri="{CCE6A557-97BC-4b89-ADB6-D9C93CAAB3DF}">
      <x14:dataValidations xmlns:xm="http://schemas.microsoft.com/office/excel/2006/main" count="1">
        <x14:dataValidation allowBlank="1" showInputMessage="1" showErrorMessage="1" xr:uid="{7647182C-E503-4B71-A77A-E9F78815C6E7}">
          <xm:sqref>E7 JA7 SW7 ACS7 AMO7 AWK7 BGG7 BQC7 BZY7 CJU7 CTQ7 DDM7 DNI7 DXE7 EHA7 EQW7 FAS7 FKO7 FUK7 GEG7 GOC7 GXY7 HHU7 HRQ7 IBM7 ILI7 IVE7 JFA7 JOW7 JYS7 KIO7 KSK7 LCG7 LMC7 LVY7 MFU7 MPQ7 MZM7 NJI7 NTE7 ODA7 OMW7 OWS7 PGO7 PQK7 QAG7 QKC7 QTY7 RDU7 RNQ7 RXM7 SHI7 SRE7 TBA7 TKW7 TUS7 UEO7 UOK7 UYG7 VIC7 VRY7 WBU7 WLQ7 WVM7 E65543 JA65543 SW65543 ACS65543 AMO65543 AWK65543 BGG65543 BQC65543 BZY65543 CJU65543 CTQ65543 DDM65543 DNI65543 DXE65543 EHA65543 EQW65543 FAS65543 FKO65543 FUK65543 GEG65543 GOC65543 GXY65543 HHU65543 HRQ65543 IBM65543 ILI65543 IVE65543 JFA65543 JOW65543 JYS65543 KIO65543 KSK65543 LCG65543 LMC65543 LVY65543 MFU65543 MPQ65543 MZM65543 NJI65543 NTE65543 ODA65543 OMW65543 OWS65543 PGO65543 PQK65543 QAG65543 QKC65543 QTY65543 RDU65543 RNQ65543 RXM65543 SHI65543 SRE65543 TBA65543 TKW65543 TUS65543 UEO65543 UOK65543 UYG65543 VIC65543 VRY65543 WBU65543 WLQ65543 WVM65543 E131079 JA131079 SW131079 ACS131079 AMO131079 AWK131079 BGG131079 BQC131079 BZY131079 CJU131079 CTQ131079 DDM131079 DNI131079 DXE131079 EHA131079 EQW131079 FAS131079 FKO131079 FUK131079 GEG131079 GOC131079 GXY131079 HHU131079 HRQ131079 IBM131079 ILI131079 IVE131079 JFA131079 JOW131079 JYS131079 KIO131079 KSK131079 LCG131079 LMC131079 LVY131079 MFU131079 MPQ131079 MZM131079 NJI131079 NTE131079 ODA131079 OMW131079 OWS131079 PGO131079 PQK131079 QAG131079 QKC131079 QTY131079 RDU131079 RNQ131079 RXM131079 SHI131079 SRE131079 TBA131079 TKW131079 TUS131079 UEO131079 UOK131079 UYG131079 VIC131079 VRY131079 WBU131079 WLQ131079 WVM131079 E196615 JA196615 SW196615 ACS196615 AMO196615 AWK196615 BGG196615 BQC196615 BZY196615 CJU196615 CTQ196615 DDM196615 DNI196615 DXE196615 EHA196615 EQW196615 FAS196615 FKO196615 FUK196615 GEG196615 GOC196615 GXY196615 HHU196615 HRQ196615 IBM196615 ILI196615 IVE196615 JFA196615 JOW196615 JYS196615 KIO196615 KSK196615 LCG196615 LMC196615 LVY196615 MFU196615 MPQ196615 MZM196615 NJI196615 NTE196615 ODA196615 OMW196615 OWS196615 PGO196615 PQK196615 QAG196615 QKC196615 QTY196615 RDU196615 RNQ196615 RXM196615 SHI196615 SRE196615 TBA196615 TKW196615 TUS196615 UEO196615 UOK196615 UYG196615 VIC196615 VRY196615 WBU196615 WLQ196615 WVM196615 E262151 JA262151 SW262151 ACS262151 AMO262151 AWK262151 BGG262151 BQC262151 BZY262151 CJU262151 CTQ262151 DDM262151 DNI262151 DXE262151 EHA262151 EQW262151 FAS262151 FKO262151 FUK262151 GEG262151 GOC262151 GXY262151 HHU262151 HRQ262151 IBM262151 ILI262151 IVE262151 JFA262151 JOW262151 JYS262151 KIO262151 KSK262151 LCG262151 LMC262151 LVY262151 MFU262151 MPQ262151 MZM262151 NJI262151 NTE262151 ODA262151 OMW262151 OWS262151 PGO262151 PQK262151 QAG262151 QKC262151 QTY262151 RDU262151 RNQ262151 RXM262151 SHI262151 SRE262151 TBA262151 TKW262151 TUS262151 UEO262151 UOK262151 UYG262151 VIC262151 VRY262151 WBU262151 WLQ262151 WVM262151 E327687 JA327687 SW327687 ACS327687 AMO327687 AWK327687 BGG327687 BQC327687 BZY327687 CJU327687 CTQ327687 DDM327687 DNI327687 DXE327687 EHA327687 EQW327687 FAS327687 FKO327687 FUK327687 GEG327687 GOC327687 GXY327687 HHU327687 HRQ327687 IBM327687 ILI327687 IVE327687 JFA327687 JOW327687 JYS327687 KIO327687 KSK327687 LCG327687 LMC327687 LVY327687 MFU327687 MPQ327687 MZM327687 NJI327687 NTE327687 ODA327687 OMW327687 OWS327687 PGO327687 PQK327687 QAG327687 QKC327687 QTY327687 RDU327687 RNQ327687 RXM327687 SHI327687 SRE327687 TBA327687 TKW327687 TUS327687 UEO327687 UOK327687 UYG327687 VIC327687 VRY327687 WBU327687 WLQ327687 WVM327687 E393223 JA393223 SW393223 ACS393223 AMO393223 AWK393223 BGG393223 BQC393223 BZY393223 CJU393223 CTQ393223 DDM393223 DNI393223 DXE393223 EHA393223 EQW393223 FAS393223 FKO393223 FUK393223 GEG393223 GOC393223 GXY393223 HHU393223 HRQ393223 IBM393223 ILI393223 IVE393223 JFA393223 JOW393223 JYS393223 KIO393223 KSK393223 LCG393223 LMC393223 LVY393223 MFU393223 MPQ393223 MZM393223 NJI393223 NTE393223 ODA393223 OMW393223 OWS393223 PGO393223 PQK393223 QAG393223 QKC393223 QTY393223 RDU393223 RNQ393223 RXM393223 SHI393223 SRE393223 TBA393223 TKW393223 TUS393223 UEO393223 UOK393223 UYG393223 VIC393223 VRY393223 WBU393223 WLQ393223 WVM393223 E458759 JA458759 SW458759 ACS458759 AMO458759 AWK458759 BGG458759 BQC458759 BZY458759 CJU458759 CTQ458759 DDM458759 DNI458759 DXE458759 EHA458759 EQW458759 FAS458759 FKO458759 FUK458759 GEG458759 GOC458759 GXY458759 HHU458759 HRQ458759 IBM458759 ILI458759 IVE458759 JFA458759 JOW458759 JYS458759 KIO458759 KSK458759 LCG458759 LMC458759 LVY458759 MFU458759 MPQ458759 MZM458759 NJI458759 NTE458759 ODA458759 OMW458759 OWS458759 PGO458759 PQK458759 QAG458759 QKC458759 QTY458759 RDU458759 RNQ458759 RXM458759 SHI458759 SRE458759 TBA458759 TKW458759 TUS458759 UEO458759 UOK458759 UYG458759 VIC458759 VRY458759 WBU458759 WLQ458759 WVM458759 E524295 JA524295 SW524295 ACS524295 AMO524295 AWK524295 BGG524295 BQC524295 BZY524295 CJU524295 CTQ524295 DDM524295 DNI524295 DXE524295 EHA524295 EQW524295 FAS524295 FKO524295 FUK524295 GEG524295 GOC524295 GXY524295 HHU524295 HRQ524295 IBM524295 ILI524295 IVE524295 JFA524295 JOW524295 JYS524295 KIO524295 KSK524295 LCG524295 LMC524295 LVY524295 MFU524295 MPQ524295 MZM524295 NJI524295 NTE524295 ODA524295 OMW524295 OWS524295 PGO524295 PQK524295 QAG524295 QKC524295 QTY524295 RDU524295 RNQ524295 RXM524295 SHI524295 SRE524295 TBA524295 TKW524295 TUS524295 UEO524295 UOK524295 UYG524295 VIC524295 VRY524295 WBU524295 WLQ524295 WVM524295 E589831 JA589831 SW589831 ACS589831 AMO589831 AWK589831 BGG589831 BQC589831 BZY589831 CJU589831 CTQ589831 DDM589831 DNI589831 DXE589831 EHA589831 EQW589831 FAS589831 FKO589831 FUK589831 GEG589831 GOC589831 GXY589831 HHU589831 HRQ589831 IBM589831 ILI589831 IVE589831 JFA589831 JOW589831 JYS589831 KIO589831 KSK589831 LCG589831 LMC589831 LVY589831 MFU589831 MPQ589831 MZM589831 NJI589831 NTE589831 ODA589831 OMW589831 OWS589831 PGO589831 PQK589831 QAG589831 QKC589831 QTY589831 RDU589831 RNQ589831 RXM589831 SHI589831 SRE589831 TBA589831 TKW589831 TUS589831 UEO589831 UOK589831 UYG589831 VIC589831 VRY589831 WBU589831 WLQ589831 WVM589831 E655367 JA655367 SW655367 ACS655367 AMO655367 AWK655367 BGG655367 BQC655367 BZY655367 CJU655367 CTQ655367 DDM655367 DNI655367 DXE655367 EHA655367 EQW655367 FAS655367 FKO655367 FUK655367 GEG655367 GOC655367 GXY655367 HHU655367 HRQ655367 IBM655367 ILI655367 IVE655367 JFA655367 JOW655367 JYS655367 KIO655367 KSK655367 LCG655367 LMC655367 LVY655367 MFU655367 MPQ655367 MZM655367 NJI655367 NTE655367 ODA655367 OMW655367 OWS655367 PGO655367 PQK655367 QAG655367 QKC655367 QTY655367 RDU655367 RNQ655367 RXM655367 SHI655367 SRE655367 TBA655367 TKW655367 TUS655367 UEO655367 UOK655367 UYG655367 VIC655367 VRY655367 WBU655367 WLQ655367 WVM655367 E720903 JA720903 SW720903 ACS720903 AMO720903 AWK720903 BGG720903 BQC720903 BZY720903 CJU720903 CTQ720903 DDM720903 DNI720903 DXE720903 EHA720903 EQW720903 FAS720903 FKO720903 FUK720903 GEG720903 GOC720903 GXY720903 HHU720903 HRQ720903 IBM720903 ILI720903 IVE720903 JFA720903 JOW720903 JYS720903 KIO720903 KSK720903 LCG720903 LMC720903 LVY720903 MFU720903 MPQ720903 MZM720903 NJI720903 NTE720903 ODA720903 OMW720903 OWS720903 PGO720903 PQK720903 QAG720903 QKC720903 QTY720903 RDU720903 RNQ720903 RXM720903 SHI720903 SRE720903 TBA720903 TKW720903 TUS720903 UEO720903 UOK720903 UYG720903 VIC720903 VRY720903 WBU720903 WLQ720903 WVM720903 E786439 JA786439 SW786439 ACS786439 AMO786439 AWK786439 BGG786439 BQC786439 BZY786439 CJU786439 CTQ786439 DDM786439 DNI786439 DXE786439 EHA786439 EQW786439 FAS786439 FKO786439 FUK786439 GEG786439 GOC786439 GXY786439 HHU786439 HRQ786439 IBM786439 ILI786439 IVE786439 JFA786439 JOW786439 JYS786439 KIO786439 KSK786439 LCG786439 LMC786439 LVY786439 MFU786439 MPQ786439 MZM786439 NJI786439 NTE786439 ODA786439 OMW786439 OWS786439 PGO786439 PQK786439 QAG786439 QKC786439 QTY786439 RDU786439 RNQ786439 RXM786439 SHI786439 SRE786439 TBA786439 TKW786439 TUS786439 UEO786439 UOK786439 UYG786439 VIC786439 VRY786439 WBU786439 WLQ786439 WVM786439 E851975 JA851975 SW851975 ACS851975 AMO851975 AWK851975 BGG851975 BQC851975 BZY851975 CJU851975 CTQ851975 DDM851975 DNI851975 DXE851975 EHA851975 EQW851975 FAS851975 FKO851975 FUK851975 GEG851975 GOC851975 GXY851975 HHU851975 HRQ851975 IBM851975 ILI851975 IVE851975 JFA851975 JOW851975 JYS851975 KIO851975 KSK851975 LCG851975 LMC851975 LVY851975 MFU851975 MPQ851975 MZM851975 NJI851975 NTE851975 ODA851975 OMW851975 OWS851975 PGO851975 PQK851975 QAG851975 QKC851975 QTY851975 RDU851975 RNQ851975 RXM851975 SHI851975 SRE851975 TBA851975 TKW851975 TUS851975 UEO851975 UOK851975 UYG851975 VIC851975 VRY851975 WBU851975 WLQ851975 WVM851975 E917511 JA917511 SW917511 ACS917511 AMO917511 AWK917511 BGG917511 BQC917511 BZY917511 CJU917511 CTQ917511 DDM917511 DNI917511 DXE917511 EHA917511 EQW917511 FAS917511 FKO917511 FUK917511 GEG917511 GOC917511 GXY917511 HHU917511 HRQ917511 IBM917511 ILI917511 IVE917511 JFA917511 JOW917511 JYS917511 KIO917511 KSK917511 LCG917511 LMC917511 LVY917511 MFU917511 MPQ917511 MZM917511 NJI917511 NTE917511 ODA917511 OMW917511 OWS917511 PGO917511 PQK917511 QAG917511 QKC917511 QTY917511 RDU917511 RNQ917511 RXM917511 SHI917511 SRE917511 TBA917511 TKW917511 TUS917511 UEO917511 UOK917511 UYG917511 VIC917511 VRY917511 WBU917511 WLQ917511 WVM917511 E983047 JA983047 SW983047 ACS983047 AMO983047 AWK983047 BGG983047 BQC983047 BZY983047 CJU983047 CTQ983047 DDM983047 DNI983047 DXE983047 EHA983047 EQW983047 FAS983047 FKO983047 FUK983047 GEG983047 GOC983047 GXY983047 HHU983047 HRQ983047 IBM983047 ILI983047 IVE983047 JFA983047 JOW983047 JYS983047 KIO983047 KSK983047 LCG983047 LMC983047 LVY983047 MFU983047 MPQ983047 MZM983047 NJI983047 NTE983047 ODA983047 OMW983047 OWS983047 PGO983047 PQK983047 QAG983047 QKC983047 QTY983047 RDU983047 RNQ983047 RXM983047 SHI983047 SRE983047 TBA983047 TKW983047 TUS983047 UEO983047 UOK983047 UYG983047 VIC983047 VRY983047 WBU983047 WLQ983047 WVM983047 F21:M22 JB21:JI22 SX21:TE22 ACT21:ADA22 AMP21:AMW22 AWL21:AWS22 BGH21:BGO22 BQD21:BQK22 BZZ21:CAG22 CJV21:CKC22 CTR21:CTY22 DDN21:DDU22 DNJ21:DNQ22 DXF21:DXM22 EHB21:EHI22 EQX21:ERE22 FAT21:FBA22 FKP21:FKW22 FUL21:FUS22 GEH21:GEO22 GOD21:GOK22 GXZ21:GYG22 HHV21:HIC22 HRR21:HRY22 IBN21:IBU22 ILJ21:ILQ22 IVF21:IVM22 JFB21:JFI22 JOX21:JPE22 JYT21:JZA22 KIP21:KIW22 KSL21:KSS22 LCH21:LCO22 LMD21:LMK22 LVZ21:LWG22 MFV21:MGC22 MPR21:MPY22 MZN21:MZU22 NJJ21:NJQ22 NTF21:NTM22 ODB21:ODI22 OMX21:ONE22 OWT21:OXA22 PGP21:PGW22 PQL21:PQS22 QAH21:QAO22 QKD21:QKK22 QTZ21:QUG22 RDV21:REC22 RNR21:RNY22 RXN21:RXU22 SHJ21:SHQ22 SRF21:SRM22 TBB21:TBI22 TKX21:TLE22 TUT21:TVA22 UEP21:UEW22 UOL21:UOS22 UYH21:UYO22 VID21:VIK22 VRZ21:VSG22 WBV21:WCC22 WLR21:WLY22 WVN21:WVU22 F65557:M65558 JB65557:JI65558 SX65557:TE65558 ACT65557:ADA65558 AMP65557:AMW65558 AWL65557:AWS65558 BGH65557:BGO65558 BQD65557:BQK65558 BZZ65557:CAG65558 CJV65557:CKC65558 CTR65557:CTY65558 DDN65557:DDU65558 DNJ65557:DNQ65558 DXF65557:DXM65558 EHB65557:EHI65558 EQX65557:ERE65558 FAT65557:FBA65558 FKP65557:FKW65558 FUL65557:FUS65558 GEH65557:GEO65558 GOD65557:GOK65558 GXZ65557:GYG65558 HHV65557:HIC65558 HRR65557:HRY65558 IBN65557:IBU65558 ILJ65557:ILQ65558 IVF65557:IVM65558 JFB65557:JFI65558 JOX65557:JPE65558 JYT65557:JZA65558 KIP65557:KIW65558 KSL65557:KSS65558 LCH65557:LCO65558 LMD65557:LMK65558 LVZ65557:LWG65558 MFV65557:MGC65558 MPR65557:MPY65558 MZN65557:MZU65558 NJJ65557:NJQ65558 NTF65557:NTM65558 ODB65557:ODI65558 OMX65557:ONE65558 OWT65557:OXA65558 PGP65557:PGW65558 PQL65557:PQS65558 QAH65557:QAO65558 QKD65557:QKK65558 QTZ65557:QUG65558 RDV65557:REC65558 RNR65557:RNY65558 RXN65557:RXU65558 SHJ65557:SHQ65558 SRF65557:SRM65558 TBB65557:TBI65558 TKX65557:TLE65558 TUT65557:TVA65558 UEP65557:UEW65558 UOL65557:UOS65558 UYH65557:UYO65558 VID65557:VIK65558 VRZ65557:VSG65558 WBV65557:WCC65558 WLR65557:WLY65558 WVN65557:WVU65558 F131093:M131094 JB131093:JI131094 SX131093:TE131094 ACT131093:ADA131094 AMP131093:AMW131094 AWL131093:AWS131094 BGH131093:BGO131094 BQD131093:BQK131094 BZZ131093:CAG131094 CJV131093:CKC131094 CTR131093:CTY131094 DDN131093:DDU131094 DNJ131093:DNQ131094 DXF131093:DXM131094 EHB131093:EHI131094 EQX131093:ERE131094 FAT131093:FBA131094 FKP131093:FKW131094 FUL131093:FUS131094 GEH131093:GEO131094 GOD131093:GOK131094 GXZ131093:GYG131094 HHV131093:HIC131094 HRR131093:HRY131094 IBN131093:IBU131094 ILJ131093:ILQ131094 IVF131093:IVM131094 JFB131093:JFI131094 JOX131093:JPE131094 JYT131093:JZA131094 KIP131093:KIW131094 KSL131093:KSS131094 LCH131093:LCO131094 LMD131093:LMK131094 LVZ131093:LWG131094 MFV131093:MGC131094 MPR131093:MPY131094 MZN131093:MZU131094 NJJ131093:NJQ131094 NTF131093:NTM131094 ODB131093:ODI131094 OMX131093:ONE131094 OWT131093:OXA131094 PGP131093:PGW131094 PQL131093:PQS131094 QAH131093:QAO131094 QKD131093:QKK131094 QTZ131093:QUG131094 RDV131093:REC131094 RNR131093:RNY131094 RXN131093:RXU131094 SHJ131093:SHQ131094 SRF131093:SRM131094 TBB131093:TBI131094 TKX131093:TLE131094 TUT131093:TVA131094 UEP131093:UEW131094 UOL131093:UOS131094 UYH131093:UYO131094 VID131093:VIK131094 VRZ131093:VSG131094 WBV131093:WCC131094 WLR131093:WLY131094 WVN131093:WVU131094 F196629:M196630 JB196629:JI196630 SX196629:TE196630 ACT196629:ADA196630 AMP196629:AMW196630 AWL196629:AWS196630 BGH196629:BGO196630 BQD196629:BQK196630 BZZ196629:CAG196630 CJV196629:CKC196630 CTR196629:CTY196630 DDN196629:DDU196630 DNJ196629:DNQ196630 DXF196629:DXM196630 EHB196629:EHI196630 EQX196629:ERE196630 FAT196629:FBA196630 FKP196629:FKW196630 FUL196629:FUS196630 GEH196629:GEO196630 GOD196629:GOK196630 GXZ196629:GYG196630 HHV196629:HIC196630 HRR196629:HRY196630 IBN196629:IBU196630 ILJ196629:ILQ196630 IVF196629:IVM196630 JFB196629:JFI196630 JOX196629:JPE196630 JYT196629:JZA196630 KIP196629:KIW196630 KSL196629:KSS196630 LCH196629:LCO196630 LMD196629:LMK196630 LVZ196629:LWG196630 MFV196629:MGC196630 MPR196629:MPY196630 MZN196629:MZU196630 NJJ196629:NJQ196630 NTF196629:NTM196630 ODB196629:ODI196630 OMX196629:ONE196630 OWT196629:OXA196630 PGP196629:PGW196630 PQL196629:PQS196630 QAH196629:QAO196630 QKD196629:QKK196630 QTZ196629:QUG196630 RDV196629:REC196630 RNR196629:RNY196630 RXN196629:RXU196630 SHJ196629:SHQ196630 SRF196629:SRM196630 TBB196629:TBI196630 TKX196629:TLE196630 TUT196629:TVA196630 UEP196629:UEW196630 UOL196629:UOS196630 UYH196629:UYO196630 VID196629:VIK196630 VRZ196629:VSG196630 WBV196629:WCC196630 WLR196629:WLY196630 WVN196629:WVU196630 F262165:M262166 JB262165:JI262166 SX262165:TE262166 ACT262165:ADA262166 AMP262165:AMW262166 AWL262165:AWS262166 BGH262165:BGO262166 BQD262165:BQK262166 BZZ262165:CAG262166 CJV262165:CKC262166 CTR262165:CTY262166 DDN262165:DDU262166 DNJ262165:DNQ262166 DXF262165:DXM262166 EHB262165:EHI262166 EQX262165:ERE262166 FAT262165:FBA262166 FKP262165:FKW262166 FUL262165:FUS262166 GEH262165:GEO262166 GOD262165:GOK262166 GXZ262165:GYG262166 HHV262165:HIC262166 HRR262165:HRY262166 IBN262165:IBU262166 ILJ262165:ILQ262166 IVF262165:IVM262166 JFB262165:JFI262166 JOX262165:JPE262166 JYT262165:JZA262166 KIP262165:KIW262166 KSL262165:KSS262166 LCH262165:LCO262166 LMD262165:LMK262166 LVZ262165:LWG262166 MFV262165:MGC262166 MPR262165:MPY262166 MZN262165:MZU262166 NJJ262165:NJQ262166 NTF262165:NTM262166 ODB262165:ODI262166 OMX262165:ONE262166 OWT262165:OXA262166 PGP262165:PGW262166 PQL262165:PQS262166 QAH262165:QAO262166 QKD262165:QKK262166 QTZ262165:QUG262166 RDV262165:REC262166 RNR262165:RNY262166 RXN262165:RXU262166 SHJ262165:SHQ262166 SRF262165:SRM262166 TBB262165:TBI262166 TKX262165:TLE262166 TUT262165:TVA262166 UEP262165:UEW262166 UOL262165:UOS262166 UYH262165:UYO262166 VID262165:VIK262166 VRZ262165:VSG262166 WBV262165:WCC262166 WLR262165:WLY262166 WVN262165:WVU262166 F327701:M327702 JB327701:JI327702 SX327701:TE327702 ACT327701:ADA327702 AMP327701:AMW327702 AWL327701:AWS327702 BGH327701:BGO327702 BQD327701:BQK327702 BZZ327701:CAG327702 CJV327701:CKC327702 CTR327701:CTY327702 DDN327701:DDU327702 DNJ327701:DNQ327702 DXF327701:DXM327702 EHB327701:EHI327702 EQX327701:ERE327702 FAT327701:FBA327702 FKP327701:FKW327702 FUL327701:FUS327702 GEH327701:GEO327702 GOD327701:GOK327702 GXZ327701:GYG327702 HHV327701:HIC327702 HRR327701:HRY327702 IBN327701:IBU327702 ILJ327701:ILQ327702 IVF327701:IVM327702 JFB327701:JFI327702 JOX327701:JPE327702 JYT327701:JZA327702 KIP327701:KIW327702 KSL327701:KSS327702 LCH327701:LCO327702 LMD327701:LMK327702 LVZ327701:LWG327702 MFV327701:MGC327702 MPR327701:MPY327702 MZN327701:MZU327702 NJJ327701:NJQ327702 NTF327701:NTM327702 ODB327701:ODI327702 OMX327701:ONE327702 OWT327701:OXA327702 PGP327701:PGW327702 PQL327701:PQS327702 QAH327701:QAO327702 QKD327701:QKK327702 QTZ327701:QUG327702 RDV327701:REC327702 RNR327701:RNY327702 RXN327701:RXU327702 SHJ327701:SHQ327702 SRF327701:SRM327702 TBB327701:TBI327702 TKX327701:TLE327702 TUT327701:TVA327702 UEP327701:UEW327702 UOL327701:UOS327702 UYH327701:UYO327702 VID327701:VIK327702 VRZ327701:VSG327702 WBV327701:WCC327702 WLR327701:WLY327702 WVN327701:WVU327702 F393237:M393238 JB393237:JI393238 SX393237:TE393238 ACT393237:ADA393238 AMP393237:AMW393238 AWL393237:AWS393238 BGH393237:BGO393238 BQD393237:BQK393238 BZZ393237:CAG393238 CJV393237:CKC393238 CTR393237:CTY393238 DDN393237:DDU393238 DNJ393237:DNQ393238 DXF393237:DXM393238 EHB393237:EHI393238 EQX393237:ERE393238 FAT393237:FBA393238 FKP393237:FKW393238 FUL393237:FUS393238 GEH393237:GEO393238 GOD393237:GOK393238 GXZ393237:GYG393238 HHV393237:HIC393238 HRR393237:HRY393238 IBN393237:IBU393238 ILJ393237:ILQ393238 IVF393237:IVM393238 JFB393237:JFI393238 JOX393237:JPE393238 JYT393237:JZA393238 KIP393237:KIW393238 KSL393237:KSS393238 LCH393237:LCO393238 LMD393237:LMK393238 LVZ393237:LWG393238 MFV393237:MGC393238 MPR393237:MPY393238 MZN393237:MZU393238 NJJ393237:NJQ393238 NTF393237:NTM393238 ODB393237:ODI393238 OMX393237:ONE393238 OWT393237:OXA393238 PGP393237:PGW393238 PQL393237:PQS393238 QAH393237:QAO393238 QKD393237:QKK393238 QTZ393237:QUG393238 RDV393237:REC393238 RNR393237:RNY393238 RXN393237:RXU393238 SHJ393237:SHQ393238 SRF393237:SRM393238 TBB393237:TBI393238 TKX393237:TLE393238 TUT393237:TVA393238 UEP393237:UEW393238 UOL393237:UOS393238 UYH393237:UYO393238 VID393237:VIK393238 VRZ393237:VSG393238 WBV393237:WCC393238 WLR393237:WLY393238 WVN393237:WVU393238 F458773:M458774 JB458773:JI458774 SX458773:TE458774 ACT458773:ADA458774 AMP458773:AMW458774 AWL458773:AWS458774 BGH458773:BGO458774 BQD458773:BQK458774 BZZ458773:CAG458774 CJV458773:CKC458774 CTR458773:CTY458774 DDN458773:DDU458774 DNJ458773:DNQ458774 DXF458773:DXM458774 EHB458773:EHI458774 EQX458773:ERE458774 FAT458773:FBA458774 FKP458773:FKW458774 FUL458773:FUS458774 GEH458773:GEO458774 GOD458773:GOK458774 GXZ458773:GYG458774 HHV458773:HIC458774 HRR458773:HRY458774 IBN458773:IBU458774 ILJ458773:ILQ458774 IVF458773:IVM458774 JFB458773:JFI458774 JOX458773:JPE458774 JYT458773:JZA458774 KIP458773:KIW458774 KSL458773:KSS458774 LCH458773:LCO458774 LMD458773:LMK458774 LVZ458773:LWG458774 MFV458773:MGC458774 MPR458773:MPY458774 MZN458773:MZU458774 NJJ458773:NJQ458774 NTF458773:NTM458774 ODB458773:ODI458774 OMX458773:ONE458774 OWT458773:OXA458774 PGP458773:PGW458774 PQL458773:PQS458774 QAH458773:QAO458774 QKD458773:QKK458774 QTZ458773:QUG458774 RDV458773:REC458774 RNR458773:RNY458774 RXN458773:RXU458774 SHJ458773:SHQ458774 SRF458773:SRM458774 TBB458773:TBI458774 TKX458773:TLE458774 TUT458773:TVA458774 UEP458773:UEW458774 UOL458773:UOS458774 UYH458773:UYO458774 VID458773:VIK458774 VRZ458773:VSG458774 WBV458773:WCC458774 WLR458773:WLY458774 WVN458773:WVU458774 F524309:M524310 JB524309:JI524310 SX524309:TE524310 ACT524309:ADA524310 AMP524309:AMW524310 AWL524309:AWS524310 BGH524309:BGO524310 BQD524309:BQK524310 BZZ524309:CAG524310 CJV524309:CKC524310 CTR524309:CTY524310 DDN524309:DDU524310 DNJ524309:DNQ524310 DXF524309:DXM524310 EHB524309:EHI524310 EQX524309:ERE524310 FAT524309:FBA524310 FKP524309:FKW524310 FUL524309:FUS524310 GEH524309:GEO524310 GOD524309:GOK524310 GXZ524309:GYG524310 HHV524309:HIC524310 HRR524309:HRY524310 IBN524309:IBU524310 ILJ524309:ILQ524310 IVF524309:IVM524310 JFB524309:JFI524310 JOX524309:JPE524310 JYT524309:JZA524310 KIP524309:KIW524310 KSL524309:KSS524310 LCH524309:LCO524310 LMD524309:LMK524310 LVZ524309:LWG524310 MFV524309:MGC524310 MPR524309:MPY524310 MZN524309:MZU524310 NJJ524309:NJQ524310 NTF524309:NTM524310 ODB524309:ODI524310 OMX524309:ONE524310 OWT524309:OXA524310 PGP524309:PGW524310 PQL524309:PQS524310 QAH524309:QAO524310 QKD524309:QKK524310 QTZ524309:QUG524310 RDV524309:REC524310 RNR524309:RNY524310 RXN524309:RXU524310 SHJ524309:SHQ524310 SRF524309:SRM524310 TBB524309:TBI524310 TKX524309:TLE524310 TUT524309:TVA524310 UEP524309:UEW524310 UOL524309:UOS524310 UYH524309:UYO524310 VID524309:VIK524310 VRZ524309:VSG524310 WBV524309:WCC524310 WLR524309:WLY524310 WVN524309:WVU524310 F589845:M589846 JB589845:JI589846 SX589845:TE589846 ACT589845:ADA589846 AMP589845:AMW589846 AWL589845:AWS589846 BGH589845:BGO589846 BQD589845:BQK589846 BZZ589845:CAG589846 CJV589845:CKC589846 CTR589845:CTY589846 DDN589845:DDU589846 DNJ589845:DNQ589846 DXF589845:DXM589846 EHB589845:EHI589846 EQX589845:ERE589846 FAT589845:FBA589846 FKP589845:FKW589846 FUL589845:FUS589846 GEH589845:GEO589846 GOD589845:GOK589846 GXZ589845:GYG589846 HHV589845:HIC589846 HRR589845:HRY589846 IBN589845:IBU589846 ILJ589845:ILQ589846 IVF589845:IVM589846 JFB589845:JFI589846 JOX589845:JPE589846 JYT589845:JZA589846 KIP589845:KIW589846 KSL589845:KSS589846 LCH589845:LCO589846 LMD589845:LMK589846 LVZ589845:LWG589846 MFV589845:MGC589846 MPR589845:MPY589846 MZN589845:MZU589846 NJJ589845:NJQ589846 NTF589845:NTM589846 ODB589845:ODI589846 OMX589845:ONE589846 OWT589845:OXA589846 PGP589845:PGW589846 PQL589845:PQS589846 QAH589845:QAO589846 QKD589845:QKK589846 QTZ589845:QUG589846 RDV589845:REC589846 RNR589845:RNY589846 RXN589845:RXU589846 SHJ589845:SHQ589846 SRF589845:SRM589846 TBB589845:TBI589846 TKX589845:TLE589846 TUT589845:TVA589846 UEP589845:UEW589846 UOL589845:UOS589846 UYH589845:UYO589846 VID589845:VIK589846 VRZ589845:VSG589846 WBV589845:WCC589846 WLR589845:WLY589846 WVN589845:WVU589846 F655381:M655382 JB655381:JI655382 SX655381:TE655382 ACT655381:ADA655382 AMP655381:AMW655382 AWL655381:AWS655382 BGH655381:BGO655382 BQD655381:BQK655382 BZZ655381:CAG655382 CJV655381:CKC655382 CTR655381:CTY655382 DDN655381:DDU655382 DNJ655381:DNQ655382 DXF655381:DXM655382 EHB655381:EHI655382 EQX655381:ERE655382 FAT655381:FBA655382 FKP655381:FKW655382 FUL655381:FUS655382 GEH655381:GEO655382 GOD655381:GOK655382 GXZ655381:GYG655382 HHV655381:HIC655382 HRR655381:HRY655382 IBN655381:IBU655382 ILJ655381:ILQ655382 IVF655381:IVM655382 JFB655381:JFI655382 JOX655381:JPE655382 JYT655381:JZA655382 KIP655381:KIW655382 KSL655381:KSS655382 LCH655381:LCO655382 LMD655381:LMK655382 LVZ655381:LWG655382 MFV655381:MGC655382 MPR655381:MPY655382 MZN655381:MZU655382 NJJ655381:NJQ655382 NTF655381:NTM655382 ODB655381:ODI655382 OMX655381:ONE655382 OWT655381:OXA655382 PGP655381:PGW655382 PQL655381:PQS655382 QAH655381:QAO655382 QKD655381:QKK655382 QTZ655381:QUG655382 RDV655381:REC655382 RNR655381:RNY655382 RXN655381:RXU655382 SHJ655381:SHQ655382 SRF655381:SRM655382 TBB655381:TBI655382 TKX655381:TLE655382 TUT655381:TVA655382 UEP655381:UEW655382 UOL655381:UOS655382 UYH655381:UYO655382 VID655381:VIK655382 VRZ655381:VSG655382 WBV655381:WCC655382 WLR655381:WLY655382 WVN655381:WVU655382 F720917:M720918 JB720917:JI720918 SX720917:TE720918 ACT720917:ADA720918 AMP720917:AMW720918 AWL720917:AWS720918 BGH720917:BGO720918 BQD720917:BQK720918 BZZ720917:CAG720918 CJV720917:CKC720918 CTR720917:CTY720918 DDN720917:DDU720918 DNJ720917:DNQ720918 DXF720917:DXM720918 EHB720917:EHI720918 EQX720917:ERE720918 FAT720917:FBA720918 FKP720917:FKW720918 FUL720917:FUS720918 GEH720917:GEO720918 GOD720917:GOK720918 GXZ720917:GYG720918 HHV720917:HIC720918 HRR720917:HRY720918 IBN720917:IBU720918 ILJ720917:ILQ720918 IVF720917:IVM720918 JFB720917:JFI720918 JOX720917:JPE720918 JYT720917:JZA720918 KIP720917:KIW720918 KSL720917:KSS720918 LCH720917:LCO720918 LMD720917:LMK720918 LVZ720917:LWG720918 MFV720917:MGC720918 MPR720917:MPY720918 MZN720917:MZU720918 NJJ720917:NJQ720918 NTF720917:NTM720918 ODB720917:ODI720918 OMX720917:ONE720918 OWT720917:OXA720918 PGP720917:PGW720918 PQL720917:PQS720918 QAH720917:QAO720918 QKD720917:QKK720918 QTZ720917:QUG720918 RDV720917:REC720918 RNR720917:RNY720918 RXN720917:RXU720918 SHJ720917:SHQ720918 SRF720917:SRM720918 TBB720917:TBI720918 TKX720917:TLE720918 TUT720917:TVA720918 UEP720917:UEW720918 UOL720917:UOS720918 UYH720917:UYO720918 VID720917:VIK720918 VRZ720917:VSG720918 WBV720917:WCC720918 WLR720917:WLY720918 WVN720917:WVU720918 F786453:M786454 JB786453:JI786454 SX786453:TE786454 ACT786453:ADA786454 AMP786453:AMW786454 AWL786453:AWS786454 BGH786453:BGO786454 BQD786453:BQK786454 BZZ786453:CAG786454 CJV786453:CKC786454 CTR786453:CTY786454 DDN786453:DDU786454 DNJ786453:DNQ786454 DXF786453:DXM786454 EHB786453:EHI786454 EQX786453:ERE786454 FAT786453:FBA786454 FKP786453:FKW786454 FUL786453:FUS786454 GEH786453:GEO786454 GOD786453:GOK786454 GXZ786453:GYG786454 HHV786453:HIC786454 HRR786453:HRY786454 IBN786453:IBU786454 ILJ786453:ILQ786454 IVF786453:IVM786454 JFB786453:JFI786454 JOX786453:JPE786454 JYT786453:JZA786454 KIP786453:KIW786454 KSL786453:KSS786454 LCH786453:LCO786454 LMD786453:LMK786454 LVZ786453:LWG786454 MFV786453:MGC786454 MPR786453:MPY786454 MZN786453:MZU786454 NJJ786453:NJQ786454 NTF786453:NTM786454 ODB786453:ODI786454 OMX786453:ONE786454 OWT786453:OXA786454 PGP786453:PGW786454 PQL786453:PQS786454 QAH786453:QAO786454 QKD786453:QKK786454 QTZ786453:QUG786454 RDV786453:REC786454 RNR786453:RNY786454 RXN786453:RXU786454 SHJ786453:SHQ786454 SRF786453:SRM786454 TBB786453:TBI786454 TKX786453:TLE786454 TUT786453:TVA786454 UEP786453:UEW786454 UOL786453:UOS786454 UYH786453:UYO786454 VID786453:VIK786454 VRZ786453:VSG786454 WBV786453:WCC786454 WLR786453:WLY786454 WVN786453:WVU786454 F851989:M851990 JB851989:JI851990 SX851989:TE851990 ACT851989:ADA851990 AMP851989:AMW851990 AWL851989:AWS851990 BGH851989:BGO851990 BQD851989:BQK851990 BZZ851989:CAG851990 CJV851989:CKC851990 CTR851989:CTY851990 DDN851989:DDU851990 DNJ851989:DNQ851990 DXF851989:DXM851990 EHB851989:EHI851990 EQX851989:ERE851990 FAT851989:FBA851990 FKP851989:FKW851990 FUL851989:FUS851990 GEH851989:GEO851990 GOD851989:GOK851990 GXZ851989:GYG851990 HHV851989:HIC851990 HRR851989:HRY851990 IBN851989:IBU851990 ILJ851989:ILQ851990 IVF851989:IVM851990 JFB851989:JFI851990 JOX851989:JPE851990 JYT851989:JZA851990 KIP851989:KIW851990 KSL851989:KSS851990 LCH851989:LCO851990 LMD851989:LMK851990 LVZ851989:LWG851990 MFV851989:MGC851990 MPR851989:MPY851990 MZN851989:MZU851990 NJJ851989:NJQ851990 NTF851989:NTM851990 ODB851989:ODI851990 OMX851989:ONE851990 OWT851989:OXA851990 PGP851989:PGW851990 PQL851989:PQS851990 QAH851989:QAO851990 QKD851989:QKK851990 QTZ851989:QUG851990 RDV851989:REC851990 RNR851989:RNY851990 RXN851989:RXU851990 SHJ851989:SHQ851990 SRF851989:SRM851990 TBB851989:TBI851990 TKX851989:TLE851990 TUT851989:TVA851990 UEP851989:UEW851990 UOL851989:UOS851990 UYH851989:UYO851990 VID851989:VIK851990 VRZ851989:VSG851990 WBV851989:WCC851990 WLR851989:WLY851990 WVN851989:WVU851990 F917525:M917526 JB917525:JI917526 SX917525:TE917526 ACT917525:ADA917526 AMP917525:AMW917526 AWL917525:AWS917526 BGH917525:BGO917526 BQD917525:BQK917526 BZZ917525:CAG917526 CJV917525:CKC917526 CTR917525:CTY917526 DDN917525:DDU917526 DNJ917525:DNQ917526 DXF917525:DXM917526 EHB917525:EHI917526 EQX917525:ERE917526 FAT917525:FBA917526 FKP917525:FKW917526 FUL917525:FUS917526 GEH917525:GEO917526 GOD917525:GOK917526 GXZ917525:GYG917526 HHV917525:HIC917526 HRR917525:HRY917526 IBN917525:IBU917526 ILJ917525:ILQ917526 IVF917525:IVM917526 JFB917525:JFI917526 JOX917525:JPE917526 JYT917525:JZA917526 KIP917525:KIW917526 KSL917525:KSS917526 LCH917525:LCO917526 LMD917525:LMK917526 LVZ917525:LWG917526 MFV917525:MGC917526 MPR917525:MPY917526 MZN917525:MZU917526 NJJ917525:NJQ917526 NTF917525:NTM917526 ODB917525:ODI917526 OMX917525:ONE917526 OWT917525:OXA917526 PGP917525:PGW917526 PQL917525:PQS917526 QAH917525:QAO917526 QKD917525:QKK917526 QTZ917525:QUG917526 RDV917525:REC917526 RNR917525:RNY917526 RXN917525:RXU917526 SHJ917525:SHQ917526 SRF917525:SRM917526 TBB917525:TBI917526 TKX917525:TLE917526 TUT917525:TVA917526 UEP917525:UEW917526 UOL917525:UOS917526 UYH917525:UYO917526 VID917525:VIK917526 VRZ917525:VSG917526 WBV917525:WCC917526 WLR917525:WLY917526 WVN917525:WVU917526 F983061:M983062 JB983061:JI983062 SX983061:TE983062 ACT983061:ADA983062 AMP983061:AMW983062 AWL983061:AWS983062 BGH983061:BGO983062 BQD983061:BQK983062 BZZ983061:CAG983062 CJV983061:CKC983062 CTR983061:CTY983062 DDN983061:DDU983062 DNJ983061:DNQ983062 DXF983061:DXM983062 EHB983061:EHI983062 EQX983061:ERE983062 FAT983061:FBA983062 FKP983061:FKW983062 FUL983061:FUS983062 GEH983061:GEO983062 GOD983061:GOK983062 GXZ983061:GYG983062 HHV983061:HIC983062 HRR983061:HRY983062 IBN983061:IBU983062 ILJ983061:ILQ983062 IVF983061:IVM983062 JFB983061:JFI983062 JOX983061:JPE983062 JYT983061:JZA983062 KIP983061:KIW983062 KSL983061:KSS983062 LCH983061:LCO983062 LMD983061:LMK983062 LVZ983061:LWG983062 MFV983061:MGC983062 MPR983061:MPY983062 MZN983061:MZU983062 NJJ983061:NJQ983062 NTF983061:NTM983062 ODB983061:ODI983062 OMX983061:ONE983062 OWT983061:OXA983062 PGP983061:PGW983062 PQL983061:PQS983062 QAH983061:QAO983062 QKD983061:QKK983062 QTZ983061:QUG983062 RDV983061:REC983062 RNR983061:RNY983062 RXN983061:RXU983062 SHJ983061:SHQ983062 SRF983061:SRM983062 TBB983061:TBI983062 TKX983061:TLE983062 TUT983061:TVA983062 UEP983061:UEW983062 UOL983061:UOS983062 UYH983061:UYO983062 VID983061:VIK983062 VRZ983061:VSG983062 WBV983061:WCC983062 WLR983061:WLY983062 WVN983061:WVU983062 C4:C7 IY4:IY7 SU4:SU7 ACQ4:ACQ7 AMM4:AMM7 AWI4:AWI7 BGE4:BGE7 BQA4:BQA7 BZW4:BZW7 CJS4:CJS7 CTO4:CTO7 DDK4:DDK7 DNG4:DNG7 DXC4:DXC7 EGY4:EGY7 EQU4:EQU7 FAQ4:FAQ7 FKM4:FKM7 FUI4:FUI7 GEE4:GEE7 GOA4:GOA7 GXW4:GXW7 HHS4:HHS7 HRO4:HRO7 IBK4:IBK7 ILG4:ILG7 IVC4:IVC7 JEY4:JEY7 JOU4:JOU7 JYQ4:JYQ7 KIM4:KIM7 KSI4:KSI7 LCE4:LCE7 LMA4:LMA7 LVW4:LVW7 MFS4:MFS7 MPO4:MPO7 MZK4:MZK7 NJG4:NJG7 NTC4:NTC7 OCY4:OCY7 OMU4:OMU7 OWQ4:OWQ7 PGM4:PGM7 PQI4:PQI7 QAE4:QAE7 QKA4:QKA7 QTW4:QTW7 RDS4:RDS7 RNO4:RNO7 RXK4:RXK7 SHG4:SHG7 SRC4:SRC7 TAY4:TAY7 TKU4:TKU7 TUQ4:TUQ7 UEM4:UEM7 UOI4:UOI7 UYE4:UYE7 VIA4:VIA7 VRW4:VRW7 WBS4:WBS7 WLO4:WLO7 WVK4:WVK7 C65540:C65543 IY65540:IY65543 SU65540:SU65543 ACQ65540:ACQ65543 AMM65540:AMM65543 AWI65540:AWI65543 BGE65540:BGE65543 BQA65540:BQA65543 BZW65540:BZW65543 CJS65540:CJS65543 CTO65540:CTO65543 DDK65540:DDK65543 DNG65540:DNG65543 DXC65540:DXC65543 EGY65540:EGY65543 EQU65540:EQU65543 FAQ65540:FAQ65543 FKM65540:FKM65543 FUI65540:FUI65543 GEE65540:GEE65543 GOA65540:GOA65543 GXW65540:GXW65543 HHS65540:HHS65543 HRO65540:HRO65543 IBK65540:IBK65543 ILG65540:ILG65543 IVC65540:IVC65543 JEY65540:JEY65543 JOU65540:JOU65543 JYQ65540:JYQ65543 KIM65540:KIM65543 KSI65540:KSI65543 LCE65540:LCE65543 LMA65540:LMA65543 LVW65540:LVW65543 MFS65540:MFS65543 MPO65540:MPO65543 MZK65540:MZK65543 NJG65540:NJG65543 NTC65540:NTC65543 OCY65540:OCY65543 OMU65540:OMU65543 OWQ65540:OWQ65543 PGM65540:PGM65543 PQI65540:PQI65543 QAE65540:QAE65543 QKA65540:QKA65543 QTW65540:QTW65543 RDS65540:RDS65543 RNO65540:RNO65543 RXK65540:RXK65543 SHG65540:SHG65543 SRC65540:SRC65543 TAY65540:TAY65543 TKU65540:TKU65543 TUQ65540:TUQ65543 UEM65540:UEM65543 UOI65540:UOI65543 UYE65540:UYE65543 VIA65540:VIA65543 VRW65540:VRW65543 WBS65540:WBS65543 WLO65540:WLO65543 WVK65540:WVK65543 C131076:C131079 IY131076:IY131079 SU131076:SU131079 ACQ131076:ACQ131079 AMM131076:AMM131079 AWI131076:AWI131079 BGE131076:BGE131079 BQA131076:BQA131079 BZW131076:BZW131079 CJS131076:CJS131079 CTO131076:CTO131079 DDK131076:DDK131079 DNG131076:DNG131079 DXC131076:DXC131079 EGY131076:EGY131079 EQU131076:EQU131079 FAQ131076:FAQ131079 FKM131076:FKM131079 FUI131076:FUI131079 GEE131076:GEE131079 GOA131076:GOA131079 GXW131076:GXW131079 HHS131076:HHS131079 HRO131076:HRO131079 IBK131076:IBK131079 ILG131076:ILG131079 IVC131076:IVC131079 JEY131076:JEY131079 JOU131076:JOU131079 JYQ131076:JYQ131079 KIM131076:KIM131079 KSI131076:KSI131079 LCE131076:LCE131079 LMA131076:LMA131079 LVW131076:LVW131079 MFS131076:MFS131079 MPO131076:MPO131079 MZK131076:MZK131079 NJG131076:NJG131079 NTC131076:NTC131079 OCY131076:OCY131079 OMU131076:OMU131079 OWQ131076:OWQ131079 PGM131076:PGM131079 PQI131076:PQI131079 QAE131076:QAE131079 QKA131076:QKA131079 QTW131076:QTW131079 RDS131076:RDS131079 RNO131076:RNO131079 RXK131076:RXK131079 SHG131076:SHG131079 SRC131076:SRC131079 TAY131076:TAY131079 TKU131076:TKU131079 TUQ131076:TUQ131079 UEM131076:UEM131079 UOI131076:UOI131079 UYE131076:UYE131079 VIA131076:VIA131079 VRW131076:VRW131079 WBS131076:WBS131079 WLO131076:WLO131079 WVK131076:WVK131079 C196612:C196615 IY196612:IY196615 SU196612:SU196615 ACQ196612:ACQ196615 AMM196612:AMM196615 AWI196612:AWI196615 BGE196612:BGE196615 BQA196612:BQA196615 BZW196612:BZW196615 CJS196612:CJS196615 CTO196612:CTO196615 DDK196612:DDK196615 DNG196612:DNG196615 DXC196612:DXC196615 EGY196612:EGY196615 EQU196612:EQU196615 FAQ196612:FAQ196615 FKM196612:FKM196615 FUI196612:FUI196615 GEE196612:GEE196615 GOA196612:GOA196615 GXW196612:GXW196615 HHS196612:HHS196615 HRO196612:HRO196615 IBK196612:IBK196615 ILG196612:ILG196615 IVC196612:IVC196615 JEY196612:JEY196615 JOU196612:JOU196615 JYQ196612:JYQ196615 KIM196612:KIM196615 KSI196612:KSI196615 LCE196612:LCE196615 LMA196612:LMA196615 LVW196612:LVW196615 MFS196612:MFS196615 MPO196612:MPO196615 MZK196612:MZK196615 NJG196612:NJG196615 NTC196612:NTC196615 OCY196612:OCY196615 OMU196612:OMU196615 OWQ196612:OWQ196615 PGM196612:PGM196615 PQI196612:PQI196615 QAE196612:QAE196615 QKA196612:QKA196615 QTW196612:QTW196615 RDS196612:RDS196615 RNO196612:RNO196615 RXK196612:RXK196615 SHG196612:SHG196615 SRC196612:SRC196615 TAY196612:TAY196615 TKU196612:TKU196615 TUQ196612:TUQ196615 UEM196612:UEM196615 UOI196612:UOI196615 UYE196612:UYE196615 VIA196612:VIA196615 VRW196612:VRW196615 WBS196612:WBS196615 WLO196612:WLO196615 WVK196612:WVK196615 C262148:C262151 IY262148:IY262151 SU262148:SU262151 ACQ262148:ACQ262151 AMM262148:AMM262151 AWI262148:AWI262151 BGE262148:BGE262151 BQA262148:BQA262151 BZW262148:BZW262151 CJS262148:CJS262151 CTO262148:CTO262151 DDK262148:DDK262151 DNG262148:DNG262151 DXC262148:DXC262151 EGY262148:EGY262151 EQU262148:EQU262151 FAQ262148:FAQ262151 FKM262148:FKM262151 FUI262148:FUI262151 GEE262148:GEE262151 GOA262148:GOA262151 GXW262148:GXW262151 HHS262148:HHS262151 HRO262148:HRO262151 IBK262148:IBK262151 ILG262148:ILG262151 IVC262148:IVC262151 JEY262148:JEY262151 JOU262148:JOU262151 JYQ262148:JYQ262151 KIM262148:KIM262151 KSI262148:KSI262151 LCE262148:LCE262151 LMA262148:LMA262151 LVW262148:LVW262151 MFS262148:MFS262151 MPO262148:MPO262151 MZK262148:MZK262151 NJG262148:NJG262151 NTC262148:NTC262151 OCY262148:OCY262151 OMU262148:OMU262151 OWQ262148:OWQ262151 PGM262148:PGM262151 PQI262148:PQI262151 QAE262148:QAE262151 QKA262148:QKA262151 QTW262148:QTW262151 RDS262148:RDS262151 RNO262148:RNO262151 RXK262148:RXK262151 SHG262148:SHG262151 SRC262148:SRC262151 TAY262148:TAY262151 TKU262148:TKU262151 TUQ262148:TUQ262151 UEM262148:UEM262151 UOI262148:UOI262151 UYE262148:UYE262151 VIA262148:VIA262151 VRW262148:VRW262151 WBS262148:WBS262151 WLO262148:WLO262151 WVK262148:WVK262151 C327684:C327687 IY327684:IY327687 SU327684:SU327687 ACQ327684:ACQ327687 AMM327684:AMM327687 AWI327684:AWI327687 BGE327684:BGE327687 BQA327684:BQA327687 BZW327684:BZW327687 CJS327684:CJS327687 CTO327684:CTO327687 DDK327684:DDK327687 DNG327684:DNG327687 DXC327684:DXC327687 EGY327684:EGY327687 EQU327684:EQU327687 FAQ327684:FAQ327687 FKM327684:FKM327687 FUI327684:FUI327687 GEE327684:GEE327687 GOA327684:GOA327687 GXW327684:GXW327687 HHS327684:HHS327687 HRO327684:HRO327687 IBK327684:IBK327687 ILG327684:ILG327687 IVC327684:IVC327687 JEY327684:JEY327687 JOU327684:JOU327687 JYQ327684:JYQ327687 KIM327684:KIM327687 KSI327684:KSI327687 LCE327684:LCE327687 LMA327684:LMA327687 LVW327684:LVW327687 MFS327684:MFS327687 MPO327684:MPO327687 MZK327684:MZK327687 NJG327684:NJG327687 NTC327684:NTC327687 OCY327684:OCY327687 OMU327684:OMU327687 OWQ327684:OWQ327687 PGM327684:PGM327687 PQI327684:PQI327687 QAE327684:QAE327687 QKA327684:QKA327687 QTW327684:QTW327687 RDS327684:RDS327687 RNO327684:RNO327687 RXK327684:RXK327687 SHG327684:SHG327687 SRC327684:SRC327687 TAY327684:TAY327687 TKU327684:TKU327687 TUQ327684:TUQ327687 UEM327684:UEM327687 UOI327684:UOI327687 UYE327684:UYE327687 VIA327684:VIA327687 VRW327684:VRW327687 WBS327684:WBS327687 WLO327684:WLO327687 WVK327684:WVK327687 C393220:C393223 IY393220:IY393223 SU393220:SU393223 ACQ393220:ACQ393223 AMM393220:AMM393223 AWI393220:AWI393223 BGE393220:BGE393223 BQA393220:BQA393223 BZW393220:BZW393223 CJS393220:CJS393223 CTO393220:CTO393223 DDK393220:DDK393223 DNG393220:DNG393223 DXC393220:DXC393223 EGY393220:EGY393223 EQU393220:EQU393223 FAQ393220:FAQ393223 FKM393220:FKM393223 FUI393220:FUI393223 GEE393220:GEE393223 GOA393220:GOA393223 GXW393220:GXW393223 HHS393220:HHS393223 HRO393220:HRO393223 IBK393220:IBK393223 ILG393220:ILG393223 IVC393220:IVC393223 JEY393220:JEY393223 JOU393220:JOU393223 JYQ393220:JYQ393223 KIM393220:KIM393223 KSI393220:KSI393223 LCE393220:LCE393223 LMA393220:LMA393223 LVW393220:LVW393223 MFS393220:MFS393223 MPO393220:MPO393223 MZK393220:MZK393223 NJG393220:NJG393223 NTC393220:NTC393223 OCY393220:OCY393223 OMU393220:OMU393223 OWQ393220:OWQ393223 PGM393220:PGM393223 PQI393220:PQI393223 QAE393220:QAE393223 QKA393220:QKA393223 QTW393220:QTW393223 RDS393220:RDS393223 RNO393220:RNO393223 RXK393220:RXK393223 SHG393220:SHG393223 SRC393220:SRC393223 TAY393220:TAY393223 TKU393220:TKU393223 TUQ393220:TUQ393223 UEM393220:UEM393223 UOI393220:UOI393223 UYE393220:UYE393223 VIA393220:VIA393223 VRW393220:VRW393223 WBS393220:WBS393223 WLO393220:WLO393223 WVK393220:WVK393223 C458756:C458759 IY458756:IY458759 SU458756:SU458759 ACQ458756:ACQ458759 AMM458756:AMM458759 AWI458756:AWI458759 BGE458756:BGE458759 BQA458756:BQA458759 BZW458756:BZW458759 CJS458756:CJS458759 CTO458756:CTO458759 DDK458756:DDK458759 DNG458756:DNG458759 DXC458756:DXC458759 EGY458756:EGY458759 EQU458756:EQU458759 FAQ458756:FAQ458759 FKM458756:FKM458759 FUI458756:FUI458759 GEE458756:GEE458759 GOA458756:GOA458759 GXW458756:GXW458759 HHS458756:HHS458759 HRO458756:HRO458759 IBK458756:IBK458759 ILG458756:ILG458759 IVC458756:IVC458759 JEY458756:JEY458759 JOU458756:JOU458759 JYQ458756:JYQ458759 KIM458756:KIM458759 KSI458756:KSI458759 LCE458756:LCE458759 LMA458756:LMA458759 LVW458756:LVW458759 MFS458756:MFS458759 MPO458756:MPO458759 MZK458756:MZK458759 NJG458756:NJG458759 NTC458756:NTC458759 OCY458756:OCY458759 OMU458756:OMU458759 OWQ458756:OWQ458759 PGM458756:PGM458759 PQI458756:PQI458759 QAE458756:QAE458759 QKA458756:QKA458759 QTW458756:QTW458759 RDS458756:RDS458759 RNO458756:RNO458759 RXK458756:RXK458759 SHG458756:SHG458759 SRC458756:SRC458759 TAY458756:TAY458759 TKU458756:TKU458759 TUQ458756:TUQ458759 UEM458756:UEM458759 UOI458756:UOI458759 UYE458756:UYE458759 VIA458756:VIA458759 VRW458756:VRW458759 WBS458756:WBS458759 WLO458756:WLO458759 WVK458756:WVK458759 C524292:C524295 IY524292:IY524295 SU524292:SU524295 ACQ524292:ACQ524295 AMM524292:AMM524295 AWI524292:AWI524295 BGE524292:BGE524295 BQA524292:BQA524295 BZW524292:BZW524295 CJS524292:CJS524295 CTO524292:CTO524295 DDK524292:DDK524295 DNG524292:DNG524295 DXC524292:DXC524295 EGY524292:EGY524295 EQU524292:EQU524295 FAQ524292:FAQ524295 FKM524292:FKM524295 FUI524292:FUI524295 GEE524292:GEE524295 GOA524292:GOA524295 GXW524292:GXW524295 HHS524292:HHS524295 HRO524292:HRO524295 IBK524292:IBK524295 ILG524292:ILG524295 IVC524292:IVC524295 JEY524292:JEY524295 JOU524292:JOU524295 JYQ524292:JYQ524295 KIM524292:KIM524295 KSI524292:KSI524295 LCE524292:LCE524295 LMA524292:LMA524295 LVW524292:LVW524295 MFS524292:MFS524295 MPO524292:MPO524295 MZK524292:MZK524295 NJG524292:NJG524295 NTC524292:NTC524295 OCY524292:OCY524295 OMU524292:OMU524295 OWQ524292:OWQ524295 PGM524292:PGM524295 PQI524292:PQI524295 QAE524292:QAE524295 QKA524292:QKA524295 QTW524292:QTW524295 RDS524292:RDS524295 RNO524292:RNO524295 RXK524292:RXK524295 SHG524292:SHG524295 SRC524292:SRC524295 TAY524292:TAY524295 TKU524292:TKU524295 TUQ524292:TUQ524295 UEM524292:UEM524295 UOI524292:UOI524295 UYE524292:UYE524295 VIA524292:VIA524295 VRW524292:VRW524295 WBS524292:WBS524295 WLO524292:WLO524295 WVK524292:WVK524295 C589828:C589831 IY589828:IY589831 SU589828:SU589831 ACQ589828:ACQ589831 AMM589828:AMM589831 AWI589828:AWI589831 BGE589828:BGE589831 BQA589828:BQA589831 BZW589828:BZW589831 CJS589828:CJS589831 CTO589828:CTO589831 DDK589828:DDK589831 DNG589828:DNG589831 DXC589828:DXC589831 EGY589828:EGY589831 EQU589828:EQU589831 FAQ589828:FAQ589831 FKM589828:FKM589831 FUI589828:FUI589831 GEE589828:GEE589831 GOA589828:GOA589831 GXW589828:GXW589831 HHS589828:HHS589831 HRO589828:HRO589831 IBK589828:IBK589831 ILG589828:ILG589831 IVC589828:IVC589831 JEY589828:JEY589831 JOU589828:JOU589831 JYQ589828:JYQ589831 KIM589828:KIM589831 KSI589828:KSI589831 LCE589828:LCE589831 LMA589828:LMA589831 LVW589828:LVW589831 MFS589828:MFS589831 MPO589828:MPO589831 MZK589828:MZK589831 NJG589828:NJG589831 NTC589828:NTC589831 OCY589828:OCY589831 OMU589828:OMU589831 OWQ589828:OWQ589831 PGM589828:PGM589831 PQI589828:PQI589831 QAE589828:QAE589831 QKA589828:QKA589831 QTW589828:QTW589831 RDS589828:RDS589831 RNO589828:RNO589831 RXK589828:RXK589831 SHG589828:SHG589831 SRC589828:SRC589831 TAY589828:TAY589831 TKU589828:TKU589831 TUQ589828:TUQ589831 UEM589828:UEM589831 UOI589828:UOI589831 UYE589828:UYE589831 VIA589828:VIA589831 VRW589828:VRW589831 WBS589828:WBS589831 WLO589828:WLO589831 WVK589828:WVK589831 C655364:C655367 IY655364:IY655367 SU655364:SU655367 ACQ655364:ACQ655367 AMM655364:AMM655367 AWI655364:AWI655367 BGE655364:BGE655367 BQA655364:BQA655367 BZW655364:BZW655367 CJS655364:CJS655367 CTO655364:CTO655367 DDK655364:DDK655367 DNG655364:DNG655367 DXC655364:DXC655367 EGY655364:EGY655367 EQU655364:EQU655367 FAQ655364:FAQ655367 FKM655364:FKM655367 FUI655364:FUI655367 GEE655364:GEE655367 GOA655364:GOA655367 GXW655364:GXW655367 HHS655364:HHS655367 HRO655364:HRO655367 IBK655364:IBK655367 ILG655364:ILG655367 IVC655364:IVC655367 JEY655364:JEY655367 JOU655364:JOU655367 JYQ655364:JYQ655367 KIM655364:KIM655367 KSI655364:KSI655367 LCE655364:LCE655367 LMA655364:LMA655367 LVW655364:LVW655367 MFS655364:MFS655367 MPO655364:MPO655367 MZK655364:MZK655367 NJG655364:NJG655367 NTC655364:NTC655367 OCY655364:OCY655367 OMU655364:OMU655367 OWQ655364:OWQ655367 PGM655364:PGM655367 PQI655364:PQI655367 QAE655364:QAE655367 QKA655364:QKA655367 QTW655364:QTW655367 RDS655364:RDS655367 RNO655364:RNO655367 RXK655364:RXK655367 SHG655364:SHG655367 SRC655364:SRC655367 TAY655364:TAY655367 TKU655364:TKU655367 TUQ655364:TUQ655367 UEM655364:UEM655367 UOI655364:UOI655367 UYE655364:UYE655367 VIA655364:VIA655367 VRW655364:VRW655367 WBS655364:WBS655367 WLO655364:WLO655367 WVK655364:WVK655367 C720900:C720903 IY720900:IY720903 SU720900:SU720903 ACQ720900:ACQ720903 AMM720900:AMM720903 AWI720900:AWI720903 BGE720900:BGE720903 BQA720900:BQA720903 BZW720900:BZW720903 CJS720900:CJS720903 CTO720900:CTO720903 DDK720900:DDK720903 DNG720900:DNG720903 DXC720900:DXC720903 EGY720900:EGY720903 EQU720900:EQU720903 FAQ720900:FAQ720903 FKM720900:FKM720903 FUI720900:FUI720903 GEE720900:GEE720903 GOA720900:GOA720903 GXW720900:GXW720903 HHS720900:HHS720903 HRO720900:HRO720903 IBK720900:IBK720903 ILG720900:ILG720903 IVC720900:IVC720903 JEY720900:JEY720903 JOU720900:JOU720903 JYQ720900:JYQ720903 KIM720900:KIM720903 KSI720900:KSI720903 LCE720900:LCE720903 LMA720900:LMA720903 LVW720900:LVW720903 MFS720900:MFS720903 MPO720900:MPO720903 MZK720900:MZK720903 NJG720900:NJG720903 NTC720900:NTC720903 OCY720900:OCY720903 OMU720900:OMU720903 OWQ720900:OWQ720903 PGM720900:PGM720903 PQI720900:PQI720903 QAE720900:QAE720903 QKA720900:QKA720903 QTW720900:QTW720903 RDS720900:RDS720903 RNO720900:RNO720903 RXK720900:RXK720903 SHG720900:SHG720903 SRC720900:SRC720903 TAY720900:TAY720903 TKU720900:TKU720903 TUQ720900:TUQ720903 UEM720900:UEM720903 UOI720900:UOI720903 UYE720900:UYE720903 VIA720900:VIA720903 VRW720900:VRW720903 WBS720900:WBS720903 WLO720900:WLO720903 WVK720900:WVK720903 C786436:C786439 IY786436:IY786439 SU786436:SU786439 ACQ786436:ACQ786439 AMM786436:AMM786439 AWI786436:AWI786439 BGE786436:BGE786439 BQA786436:BQA786439 BZW786436:BZW786439 CJS786436:CJS786439 CTO786436:CTO786439 DDK786436:DDK786439 DNG786436:DNG786439 DXC786436:DXC786439 EGY786436:EGY786439 EQU786436:EQU786439 FAQ786436:FAQ786439 FKM786436:FKM786439 FUI786436:FUI786439 GEE786436:GEE786439 GOA786436:GOA786439 GXW786436:GXW786439 HHS786436:HHS786439 HRO786436:HRO786439 IBK786436:IBK786439 ILG786436:ILG786439 IVC786436:IVC786439 JEY786436:JEY786439 JOU786436:JOU786439 JYQ786436:JYQ786439 KIM786436:KIM786439 KSI786436:KSI786439 LCE786436:LCE786439 LMA786436:LMA786439 LVW786436:LVW786439 MFS786436:MFS786439 MPO786436:MPO786439 MZK786436:MZK786439 NJG786436:NJG786439 NTC786436:NTC786439 OCY786436:OCY786439 OMU786436:OMU786439 OWQ786436:OWQ786439 PGM786436:PGM786439 PQI786436:PQI786439 QAE786436:QAE786439 QKA786436:QKA786439 QTW786436:QTW786439 RDS786436:RDS786439 RNO786436:RNO786439 RXK786436:RXK786439 SHG786436:SHG786439 SRC786436:SRC786439 TAY786436:TAY786439 TKU786436:TKU786439 TUQ786436:TUQ786439 UEM786436:UEM786439 UOI786436:UOI786439 UYE786436:UYE786439 VIA786436:VIA786439 VRW786436:VRW786439 WBS786436:WBS786439 WLO786436:WLO786439 WVK786436:WVK786439 C851972:C851975 IY851972:IY851975 SU851972:SU851975 ACQ851972:ACQ851975 AMM851972:AMM851975 AWI851972:AWI851975 BGE851972:BGE851975 BQA851972:BQA851975 BZW851972:BZW851975 CJS851972:CJS851975 CTO851972:CTO851975 DDK851972:DDK851975 DNG851972:DNG851975 DXC851972:DXC851975 EGY851972:EGY851975 EQU851972:EQU851975 FAQ851972:FAQ851975 FKM851972:FKM851975 FUI851972:FUI851975 GEE851972:GEE851975 GOA851972:GOA851975 GXW851972:GXW851975 HHS851972:HHS851975 HRO851972:HRO851975 IBK851972:IBK851975 ILG851972:ILG851975 IVC851972:IVC851975 JEY851972:JEY851975 JOU851972:JOU851975 JYQ851972:JYQ851975 KIM851972:KIM851975 KSI851972:KSI851975 LCE851972:LCE851975 LMA851972:LMA851975 LVW851972:LVW851975 MFS851972:MFS851975 MPO851972:MPO851975 MZK851972:MZK851975 NJG851972:NJG851975 NTC851972:NTC851975 OCY851972:OCY851975 OMU851972:OMU851975 OWQ851972:OWQ851975 PGM851972:PGM851975 PQI851972:PQI851975 QAE851972:QAE851975 QKA851972:QKA851975 QTW851972:QTW851975 RDS851972:RDS851975 RNO851972:RNO851975 RXK851972:RXK851975 SHG851972:SHG851975 SRC851972:SRC851975 TAY851972:TAY851975 TKU851972:TKU851975 TUQ851972:TUQ851975 UEM851972:UEM851975 UOI851972:UOI851975 UYE851972:UYE851975 VIA851972:VIA851975 VRW851972:VRW851975 WBS851972:WBS851975 WLO851972:WLO851975 WVK851972:WVK851975 C917508:C917511 IY917508:IY917511 SU917508:SU917511 ACQ917508:ACQ917511 AMM917508:AMM917511 AWI917508:AWI917511 BGE917508:BGE917511 BQA917508:BQA917511 BZW917508:BZW917511 CJS917508:CJS917511 CTO917508:CTO917511 DDK917508:DDK917511 DNG917508:DNG917511 DXC917508:DXC917511 EGY917508:EGY917511 EQU917508:EQU917511 FAQ917508:FAQ917511 FKM917508:FKM917511 FUI917508:FUI917511 GEE917508:GEE917511 GOA917508:GOA917511 GXW917508:GXW917511 HHS917508:HHS917511 HRO917508:HRO917511 IBK917508:IBK917511 ILG917508:ILG917511 IVC917508:IVC917511 JEY917508:JEY917511 JOU917508:JOU917511 JYQ917508:JYQ917511 KIM917508:KIM917511 KSI917508:KSI917511 LCE917508:LCE917511 LMA917508:LMA917511 LVW917508:LVW917511 MFS917508:MFS917511 MPO917508:MPO917511 MZK917508:MZK917511 NJG917508:NJG917511 NTC917508:NTC917511 OCY917508:OCY917511 OMU917508:OMU917511 OWQ917508:OWQ917511 PGM917508:PGM917511 PQI917508:PQI917511 QAE917508:QAE917511 QKA917508:QKA917511 QTW917508:QTW917511 RDS917508:RDS917511 RNO917508:RNO917511 RXK917508:RXK917511 SHG917508:SHG917511 SRC917508:SRC917511 TAY917508:TAY917511 TKU917508:TKU917511 TUQ917508:TUQ917511 UEM917508:UEM917511 UOI917508:UOI917511 UYE917508:UYE917511 VIA917508:VIA917511 VRW917508:VRW917511 WBS917508:WBS917511 WLO917508:WLO917511 WVK917508:WVK917511 C983044:C983047 IY983044:IY983047 SU983044:SU983047 ACQ983044:ACQ983047 AMM983044:AMM983047 AWI983044:AWI983047 BGE983044:BGE983047 BQA983044:BQA983047 BZW983044:BZW983047 CJS983044:CJS983047 CTO983044:CTO983047 DDK983044:DDK983047 DNG983044:DNG983047 DXC983044:DXC983047 EGY983044:EGY983047 EQU983044:EQU983047 FAQ983044:FAQ983047 FKM983044:FKM983047 FUI983044:FUI983047 GEE983044:GEE983047 GOA983044:GOA983047 GXW983044:GXW983047 HHS983044:HHS983047 HRO983044:HRO983047 IBK983044:IBK983047 ILG983044:ILG983047 IVC983044:IVC983047 JEY983044:JEY983047 JOU983044:JOU983047 JYQ983044:JYQ983047 KIM983044:KIM983047 KSI983044:KSI983047 LCE983044:LCE983047 LMA983044:LMA983047 LVW983044:LVW983047 MFS983044:MFS983047 MPO983044:MPO983047 MZK983044:MZK983047 NJG983044:NJG983047 NTC983044:NTC983047 OCY983044:OCY983047 OMU983044:OMU983047 OWQ983044:OWQ983047 PGM983044:PGM983047 PQI983044:PQI983047 QAE983044:QAE983047 QKA983044:QKA983047 QTW983044:QTW983047 RDS983044:RDS983047 RNO983044:RNO983047 RXK983044:RXK983047 SHG983044:SHG983047 SRC983044:SRC983047 TAY983044:TAY983047 TKU983044:TKU983047 TUQ983044:TUQ983047 UEM983044:UEM983047 UOI983044:UOI983047 UYE983044:UYE983047 VIA983044:VIA983047 VRW983044:VRW983047 WBS983044:WBS983047 WLO983044:WLO983047 WVK983044:WVK983047 B15:M15 IX15:JI15 ST15:TE15 ACP15:ADA15 AML15:AMW15 AWH15:AWS15 BGD15:BGO15 BPZ15:BQK15 BZV15:CAG15 CJR15:CKC15 CTN15:CTY15 DDJ15:DDU15 DNF15:DNQ15 DXB15:DXM15 EGX15:EHI15 EQT15:ERE15 FAP15:FBA15 FKL15:FKW15 FUH15:FUS15 GED15:GEO15 GNZ15:GOK15 GXV15:GYG15 HHR15:HIC15 HRN15:HRY15 IBJ15:IBU15 ILF15:ILQ15 IVB15:IVM15 JEX15:JFI15 JOT15:JPE15 JYP15:JZA15 KIL15:KIW15 KSH15:KSS15 LCD15:LCO15 LLZ15:LMK15 LVV15:LWG15 MFR15:MGC15 MPN15:MPY15 MZJ15:MZU15 NJF15:NJQ15 NTB15:NTM15 OCX15:ODI15 OMT15:ONE15 OWP15:OXA15 PGL15:PGW15 PQH15:PQS15 QAD15:QAO15 QJZ15:QKK15 QTV15:QUG15 RDR15:REC15 RNN15:RNY15 RXJ15:RXU15 SHF15:SHQ15 SRB15:SRM15 TAX15:TBI15 TKT15:TLE15 TUP15:TVA15 UEL15:UEW15 UOH15:UOS15 UYD15:UYO15 VHZ15:VIK15 VRV15:VSG15 WBR15:WCC15 WLN15:WLY15 WVJ15:WVU15 B65551:M65551 IX65551:JI65551 ST65551:TE65551 ACP65551:ADA65551 AML65551:AMW65551 AWH65551:AWS65551 BGD65551:BGO65551 BPZ65551:BQK65551 BZV65551:CAG65551 CJR65551:CKC65551 CTN65551:CTY65551 DDJ65551:DDU65551 DNF65551:DNQ65551 DXB65551:DXM65551 EGX65551:EHI65551 EQT65551:ERE65551 FAP65551:FBA65551 FKL65551:FKW65551 FUH65551:FUS65551 GED65551:GEO65551 GNZ65551:GOK65551 GXV65551:GYG65551 HHR65551:HIC65551 HRN65551:HRY65551 IBJ65551:IBU65551 ILF65551:ILQ65551 IVB65551:IVM65551 JEX65551:JFI65551 JOT65551:JPE65551 JYP65551:JZA65551 KIL65551:KIW65551 KSH65551:KSS65551 LCD65551:LCO65551 LLZ65551:LMK65551 LVV65551:LWG65551 MFR65551:MGC65551 MPN65551:MPY65551 MZJ65551:MZU65551 NJF65551:NJQ65551 NTB65551:NTM65551 OCX65551:ODI65551 OMT65551:ONE65551 OWP65551:OXA65551 PGL65551:PGW65551 PQH65551:PQS65551 QAD65551:QAO65551 QJZ65551:QKK65551 QTV65551:QUG65551 RDR65551:REC65551 RNN65551:RNY65551 RXJ65551:RXU65551 SHF65551:SHQ65551 SRB65551:SRM65551 TAX65551:TBI65551 TKT65551:TLE65551 TUP65551:TVA65551 UEL65551:UEW65551 UOH65551:UOS65551 UYD65551:UYO65551 VHZ65551:VIK65551 VRV65551:VSG65551 WBR65551:WCC65551 WLN65551:WLY65551 WVJ65551:WVU65551 B131087:M131087 IX131087:JI131087 ST131087:TE131087 ACP131087:ADA131087 AML131087:AMW131087 AWH131087:AWS131087 BGD131087:BGO131087 BPZ131087:BQK131087 BZV131087:CAG131087 CJR131087:CKC131087 CTN131087:CTY131087 DDJ131087:DDU131087 DNF131087:DNQ131087 DXB131087:DXM131087 EGX131087:EHI131087 EQT131087:ERE131087 FAP131087:FBA131087 FKL131087:FKW131087 FUH131087:FUS131087 GED131087:GEO131087 GNZ131087:GOK131087 GXV131087:GYG131087 HHR131087:HIC131087 HRN131087:HRY131087 IBJ131087:IBU131087 ILF131087:ILQ131087 IVB131087:IVM131087 JEX131087:JFI131087 JOT131087:JPE131087 JYP131087:JZA131087 KIL131087:KIW131087 KSH131087:KSS131087 LCD131087:LCO131087 LLZ131087:LMK131087 LVV131087:LWG131087 MFR131087:MGC131087 MPN131087:MPY131087 MZJ131087:MZU131087 NJF131087:NJQ131087 NTB131087:NTM131087 OCX131087:ODI131087 OMT131087:ONE131087 OWP131087:OXA131087 PGL131087:PGW131087 PQH131087:PQS131087 QAD131087:QAO131087 QJZ131087:QKK131087 QTV131087:QUG131087 RDR131087:REC131087 RNN131087:RNY131087 RXJ131087:RXU131087 SHF131087:SHQ131087 SRB131087:SRM131087 TAX131087:TBI131087 TKT131087:TLE131087 TUP131087:TVA131087 UEL131087:UEW131087 UOH131087:UOS131087 UYD131087:UYO131087 VHZ131087:VIK131087 VRV131087:VSG131087 WBR131087:WCC131087 WLN131087:WLY131087 WVJ131087:WVU131087 B196623:M196623 IX196623:JI196623 ST196623:TE196623 ACP196623:ADA196623 AML196623:AMW196623 AWH196623:AWS196623 BGD196623:BGO196623 BPZ196623:BQK196623 BZV196623:CAG196623 CJR196623:CKC196623 CTN196623:CTY196623 DDJ196623:DDU196623 DNF196623:DNQ196623 DXB196623:DXM196623 EGX196623:EHI196623 EQT196623:ERE196623 FAP196623:FBA196623 FKL196623:FKW196623 FUH196623:FUS196623 GED196623:GEO196623 GNZ196623:GOK196623 GXV196623:GYG196623 HHR196623:HIC196623 HRN196623:HRY196623 IBJ196623:IBU196623 ILF196623:ILQ196623 IVB196623:IVM196623 JEX196623:JFI196623 JOT196623:JPE196623 JYP196623:JZA196623 KIL196623:KIW196623 KSH196623:KSS196623 LCD196623:LCO196623 LLZ196623:LMK196623 LVV196623:LWG196623 MFR196623:MGC196623 MPN196623:MPY196623 MZJ196623:MZU196623 NJF196623:NJQ196623 NTB196623:NTM196623 OCX196623:ODI196623 OMT196623:ONE196623 OWP196623:OXA196623 PGL196623:PGW196623 PQH196623:PQS196623 QAD196623:QAO196623 QJZ196623:QKK196623 QTV196623:QUG196623 RDR196623:REC196623 RNN196623:RNY196623 RXJ196623:RXU196623 SHF196623:SHQ196623 SRB196623:SRM196623 TAX196623:TBI196623 TKT196623:TLE196623 TUP196623:TVA196623 UEL196623:UEW196623 UOH196623:UOS196623 UYD196623:UYO196623 VHZ196623:VIK196623 VRV196623:VSG196623 WBR196623:WCC196623 WLN196623:WLY196623 WVJ196623:WVU196623 B262159:M262159 IX262159:JI262159 ST262159:TE262159 ACP262159:ADA262159 AML262159:AMW262159 AWH262159:AWS262159 BGD262159:BGO262159 BPZ262159:BQK262159 BZV262159:CAG262159 CJR262159:CKC262159 CTN262159:CTY262159 DDJ262159:DDU262159 DNF262159:DNQ262159 DXB262159:DXM262159 EGX262159:EHI262159 EQT262159:ERE262159 FAP262159:FBA262159 FKL262159:FKW262159 FUH262159:FUS262159 GED262159:GEO262159 GNZ262159:GOK262159 GXV262159:GYG262159 HHR262159:HIC262159 HRN262159:HRY262159 IBJ262159:IBU262159 ILF262159:ILQ262159 IVB262159:IVM262159 JEX262159:JFI262159 JOT262159:JPE262159 JYP262159:JZA262159 KIL262159:KIW262159 KSH262159:KSS262159 LCD262159:LCO262159 LLZ262159:LMK262159 LVV262159:LWG262159 MFR262159:MGC262159 MPN262159:MPY262159 MZJ262159:MZU262159 NJF262159:NJQ262159 NTB262159:NTM262159 OCX262159:ODI262159 OMT262159:ONE262159 OWP262159:OXA262159 PGL262159:PGW262159 PQH262159:PQS262159 QAD262159:QAO262159 QJZ262159:QKK262159 QTV262159:QUG262159 RDR262159:REC262159 RNN262159:RNY262159 RXJ262159:RXU262159 SHF262159:SHQ262159 SRB262159:SRM262159 TAX262159:TBI262159 TKT262159:TLE262159 TUP262159:TVA262159 UEL262159:UEW262159 UOH262159:UOS262159 UYD262159:UYO262159 VHZ262159:VIK262159 VRV262159:VSG262159 WBR262159:WCC262159 WLN262159:WLY262159 WVJ262159:WVU262159 B327695:M327695 IX327695:JI327695 ST327695:TE327695 ACP327695:ADA327695 AML327695:AMW327695 AWH327695:AWS327695 BGD327695:BGO327695 BPZ327695:BQK327695 BZV327695:CAG327695 CJR327695:CKC327695 CTN327695:CTY327695 DDJ327695:DDU327695 DNF327695:DNQ327695 DXB327695:DXM327695 EGX327695:EHI327695 EQT327695:ERE327695 FAP327695:FBA327695 FKL327695:FKW327695 FUH327695:FUS327695 GED327695:GEO327695 GNZ327695:GOK327695 GXV327695:GYG327695 HHR327695:HIC327695 HRN327695:HRY327695 IBJ327695:IBU327695 ILF327695:ILQ327695 IVB327695:IVM327695 JEX327695:JFI327695 JOT327695:JPE327695 JYP327695:JZA327695 KIL327695:KIW327695 KSH327695:KSS327695 LCD327695:LCO327695 LLZ327695:LMK327695 LVV327695:LWG327695 MFR327695:MGC327695 MPN327695:MPY327695 MZJ327695:MZU327695 NJF327695:NJQ327695 NTB327695:NTM327695 OCX327695:ODI327695 OMT327695:ONE327695 OWP327695:OXA327695 PGL327695:PGW327695 PQH327695:PQS327695 QAD327695:QAO327695 QJZ327695:QKK327695 QTV327695:QUG327695 RDR327695:REC327695 RNN327695:RNY327695 RXJ327695:RXU327695 SHF327695:SHQ327695 SRB327695:SRM327695 TAX327695:TBI327695 TKT327695:TLE327695 TUP327695:TVA327695 UEL327695:UEW327695 UOH327695:UOS327695 UYD327695:UYO327695 VHZ327695:VIK327695 VRV327695:VSG327695 WBR327695:WCC327695 WLN327695:WLY327695 WVJ327695:WVU327695 B393231:M393231 IX393231:JI393231 ST393231:TE393231 ACP393231:ADA393231 AML393231:AMW393231 AWH393231:AWS393231 BGD393231:BGO393231 BPZ393231:BQK393231 BZV393231:CAG393231 CJR393231:CKC393231 CTN393231:CTY393231 DDJ393231:DDU393231 DNF393231:DNQ393231 DXB393231:DXM393231 EGX393231:EHI393231 EQT393231:ERE393231 FAP393231:FBA393231 FKL393231:FKW393231 FUH393231:FUS393231 GED393231:GEO393231 GNZ393231:GOK393231 GXV393231:GYG393231 HHR393231:HIC393231 HRN393231:HRY393231 IBJ393231:IBU393231 ILF393231:ILQ393231 IVB393231:IVM393231 JEX393231:JFI393231 JOT393231:JPE393231 JYP393231:JZA393231 KIL393231:KIW393231 KSH393231:KSS393231 LCD393231:LCO393231 LLZ393231:LMK393231 LVV393231:LWG393231 MFR393231:MGC393231 MPN393231:MPY393231 MZJ393231:MZU393231 NJF393231:NJQ393231 NTB393231:NTM393231 OCX393231:ODI393231 OMT393231:ONE393231 OWP393231:OXA393231 PGL393231:PGW393231 PQH393231:PQS393231 QAD393231:QAO393231 QJZ393231:QKK393231 QTV393231:QUG393231 RDR393231:REC393231 RNN393231:RNY393231 RXJ393231:RXU393231 SHF393231:SHQ393231 SRB393231:SRM393231 TAX393231:TBI393231 TKT393231:TLE393231 TUP393231:TVA393231 UEL393231:UEW393231 UOH393231:UOS393231 UYD393231:UYO393231 VHZ393231:VIK393231 VRV393231:VSG393231 WBR393231:WCC393231 WLN393231:WLY393231 WVJ393231:WVU393231 B458767:M458767 IX458767:JI458767 ST458767:TE458767 ACP458767:ADA458767 AML458767:AMW458767 AWH458767:AWS458767 BGD458767:BGO458767 BPZ458767:BQK458767 BZV458767:CAG458767 CJR458767:CKC458767 CTN458767:CTY458767 DDJ458767:DDU458767 DNF458767:DNQ458767 DXB458767:DXM458767 EGX458767:EHI458767 EQT458767:ERE458767 FAP458767:FBA458767 FKL458767:FKW458767 FUH458767:FUS458767 GED458767:GEO458767 GNZ458767:GOK458767 GXV458767:GYG458767 HHR458767:HIC458767 HRN458767:HRY458767 IBJ458767:IBU458767 ILF458767:ILQ458767 IVB458767:IVM458767 JEX458767:JFI458767 JOT458767:JPE458767 JYP458767:JZA458767 KIL458767:KIW458767 KSH458767:KSS458767 LCD458767:LCO458767 LLZ458767:LMK458767 LVV458767:LWG458767 MFR458767:MGC458767 MPN458767:MPY458767 MZJ458767:MZU458767 NJF458767:NJQ458767 NTB458767:NTM458767 OCX458767:ODI458767 OMT458767:ONE458767 OWP458767:OXA458767 PGL458767:PGW458767 PQH458767:PQS458767 QAD458767:QAO458767 QJZ458767:QKK458767 QTV458767:QUG458767 RDR458767:REC458767 RNN458767:RNY458767 RXJ458767:RXU458767 SHF458767:SHQ458767 SRB458767:SRM458767 TAX458767:TBI458767 TKT458767:TLE458767 TUP458767:TVA458767 UEL458767:UEW458767 UOH458767:UOS458767 UYD458767:UYO458767 VHZ458767:VIK458767 VRV458767:VSG458767 WBR458767:WCC458767 WLN458767:WLY458767 WVJ458767:WVU458767 B524303:M524303 IX524303:JI524303 ST524303:TE524303 ACP524303:ADA524303 AML524303:AMW524303 AWH524303:AWS524303 BGD524303:BGO524303 BPZ524303:BQK524303 BZV524303:CAG524303 CJR524303:CKC524303 CTN524303:CTY524303 DDJ524303:DDU524303 DNF524303:DNQ524303 DXB524303:DXM524303 EGX524303:EHI524303 EQT524303:ERE524303 FAP524303:FBA524303 FKL524303:FKW524303 FUH524303:FUS524303 GED524303:GEO524303 GNZ524303:GOK524303 GXV524303:GYG524303 HHR524303:HIC524303 HRN524303:HRY524303 IBJ524303:IBU524303 ILF524303:ILQ524303 IVB524303:IVM524303 JEX524303:JFI524303 JOT524303:JPE524303 JYP524303:JZA524303 KIL524303:KIW524303 KSH524303:KSS524303 LCD524303:LCO524303 LLZ524303:LMK524303 LVV524303:LWG524303 MFR524303:MGC524303 MPN524303:MPY524303 MZJ524303:MZU524303 NJF524303:NJQ524303 NTB524303:NTM524303 OCX524303:ODI524303 OMT524303:ONE524303 OWP524303:OXA524303 PGL524303:PGW524303 PQH524303:PQS524303 QAD524303:QAO524303 QJZ524303:QKK524303 QTV524303:QUG524303 RDR524303:REC524303 RNN524303:RNY524303 RXJ524303:RXU524303 SHF524303:SHQ524303 SRB524303:SRM524303 TAX524303:TBI524303 TKT524303:TLE524303 TUP524303:TVA524303 UEL524303:UEW524303 UOH524303:UOS524303 UYD524303:UYO524303 VHZ524303:VIK524303 VRV524303:VSG524303 WBR524303:WCC524303 WLN524303:WLY524303 WVJ524303:WVU524303 B589839:M589839 IX589839:JI589839 ST589839:TE589839 ACP589839:ADA589839 AML589839:AMW589839 AWH589839:AWS589839 BGD589839:BGO589839 BPZ589839:BQK589839 BZV589839:CAG589839 CJR589839:CKC589839 CTN589839:CTY589839 DDJ589839:DDU589839 DNF589839:DNQ589839 DXB589839:DXM589839 EGX589839:EHI589839 EQT589839:ERE589839 FAP589839:FBA589839 FKL589839:FKW589839 FUH589839:FUS589839 GED589839:GEO589839 GNZ589839:GOK589839 GXV589839:GYG589839 HHR589839:HIC589839 HRN589839:HRY589839 IBJ589839:IBU589839 ILF589839:ILQ589839 IVB589839:IVM589839 JEX589839:JFI589839 JOT589839:JPE589839 JYP589839:JZA589839 KIL589839:KIW589839 KSH589839:KSS589839 LCD589839:LCO589839 LLZ589839:LMK589839 LVV589839:LWG589839 MFR589839:MGC589839 MPN589839:MPY589839 MZJ589839:MZU589839 NJF589839:NJQ589839 NTB589839:NTM589839 OCX589839:ODI589839 OMT589839:ONE589839 OWP589839:OXA589839 PGL589839:PGW589839 PQH589839:PQS589839 QAD589839:QAO589839 QJZ589839:QKK589839 QTV589839:QUG589839 RDR589839:REC589839 RNN589839:RNY589839 RXJ589839:RXU589839 SHF589839:SHQ589839 SRB589839:SRM589839 TAX589839:TBI589839 TKT589839:TLE589839 TUP589839:TVA589839 UEL589839:UEW589839 UOH589839:UOS589839 UYD589839:UYO589839 VHZ589839:VIK589839 VRV589839:VSG589839 WBR589839:WCC589839 WLN589839:WLY589839 WVJ589839:WVU589839 B655375:M655375 IX655375:JI655375 ST655375:TE655375 ACP655375:ADA655375 AML655375:AMW655375 AWH655375:AWS655375 BGD655375:BGO655375 BPZ655375:BQK655375 BZV655375:CAG655375 CJR655375:CKC655375 CTN655375:CTY655375 DDJ655375:DDU655375 DNF655375:DNQ655375 DXB655375:DXM655375 EGX655375:EHI655375 EQT655375:ERE655375 FAP655375:FBA655375 FKL655375:FKW655375 FUH655375:FUS655375 GED655375:GEO655375 GNZ655375:GOK655375 GXV655375:GYG655375 HHR655375:HIC655375 HRN655375:HRY655375 IBJ655375:IBU655375 ILF655375:ILQ655375 IVB655375:IVM655375 JEX655375:JFI655375 JOT655375:JPE655375 JYP655375:JZA655375 KIL655375:KIW655375 KSH655375:KSS655375 LCD655375:LCO655375 LLZ655375:LMK655375 LVV655375:LWG655375 MFR655375:MGC655375 MPN655375:MPY655375 MZJ655375:MZU655375 NJF655375:NJQ655375 NTB655375:NTM655375 OCX655375:ODI655375 OMT655375:ONE655375 OWP655375:OXA655375 PGL655375:PGW655375 PQH655375:PQS655375 QAD655375:QAO655375 QJZ655375:QKK655375 QTV655375:QUG655375 RDR655375:REC655375 RNN655375:RNY655375 RXJ655375:RXU655375 SHF655375:SHQ655375 SRB655375:SRM655375 TAX655375:TBI655375 TKT655375:TLE655375 TUP655375:TVA655375 UEL655375:UEW655375 UOH655375:UOS655375 UYD655375:UYO655375 VHZ655375:VIK655375 VRV655375:VSG655375 WBR655375:WCC655375 WLN655375:WLY655375 WVJ655375:WVU655375 B720911:M720911 IX720911:JI720911 ST720911:TE720911 ACP720911:ADA720911 AML720911:AMW720911 AWH720911:AWS720911 BGD720911:BGO720911 BPZ720911:BQK720911 BZV720911:CAG720911 CJR720911:CKC720911 CTN720911:CTY720911 DDJ720911:DDU720911 DNF720911:DNQ720911 DXB720911:DXM720911 EGX720911:EHI720911 EQT720911:ERE720911 FAP720911:FBA720911 FKL720911:FKW720911 FUH720911:FUS720911 GED720911:GEO720911 GNZ720911:GOK720911 GXV720911:GYG720911 HHR720911:HIC720911 HRN720911:HRY720911 IBJ720911:IBU720911 ILF720911:ILQ720911 IVB720911:IVM720911 JEX720911:JFI720911 JOT720911:JPE720911 JYP720911:JZA720911 KIL720911:KIW720911 KSH720911:KSS720911 LCD720911:LCO720911 LLZ720911:LMK720911 LVV720911:LWG720911 MFR720911:MGC720911 MPN720911:MPY720911 MZJ720911:MZU720911 NJF720911:NJQ720911 NTB720911:NTM720911 OCX720911:ODI720911 OMT720911:ONE720911 OWP720911:OXA720911 PGL720911:PGW720911 PQH720911:PQS720911 QAD720911:QAO720911 QJZ720911:QKK720911 QTV720911:QUG720911 RDR720911:REC720911 RNN720911:RNY720911 RXJ720911:RXU720911 SHF720911:SHQ720911 SRB720911:SRM720911 TAX720911:TBI720911 TKT720911:TLE720911 TUP720911:TVA720911 UEL720911:UEW720911 UOH720911:UOS720911 UYD720911:UYO720911 VHZ720911:VIK720911 VRV720911:VSG720911 WBR720911:WCC720911 WLN720911:WLY720911 WVJ720911:WVU720911 B786447:M786447 IX786447:JI786447 ST786447:TE786447 ACP786447:ADA786447 AML786447:AMW786447 AWH786447:AWS786447 BGD786447:BGO786447 BPZ786447:BQK786447 BZV786447:CAG786447 CJR786447:CKC786447 CTN786447:CTY786447 DDJ786447:DDU786447 DNF786447:DNQ786447 DXB786447:DXM786447 EGX786447:EHI786447 EQT786447:ERE786447 FAP786447:FBA786447 FKL786447:FKW786447 FUH786447:FUS786447 GED786447:GEO786447 GNZ786447:GOK786447 GXV786447:GYG786447 HHR786447:HIC786447 HRN786447:HRY786447 IBJ786447:IBU786447 ILF786447:ILQ786447 IVB786447:IVM786447 JEX786447:JFI786447 JOT786447:JPE786447 JYP786447:JZA786447 KIL786447:KIW786447 KSH786447:KSS786447 LCD786447:LCO786447 LLZ786447:LMK786447 LVV786447:LWG786447 MFR786447:MGC786447 MPN786447:MPY786447 MZJ786447:MZU786447 NJF786447:NJQ786447 NTB786447:NTM786447 OCX786447:ODI786447 OMT786447:ONE786447 OWP786447:OXA786447 PGL786447:PGW786447 PQH786447:PQS786447 QAD786447:QAO786447 QJZ786447:QKK786447 QTV786447:QUG786447 RDR786447:REC786447 RNN786447:RNY786447 RXJ786447:RXU786447 SHF786447:SHQ786447 SRB786447:SRM786447 TAX786447:TBI786447 TKT786447:TLE786447 TUP786447:TVA786447 UEL786447:UEW786447 UOH786447:UOS786447 UYD786447:UYO786447 VHZ786447:VIK786447 VRV786447:VSG786447 WBR786447:WCC786447 WLN786447:WLY786447 WVJ786447:WVU786447 B851983:M851983 IX851983:JI851983 ST851983:TE851983 ACP851983:ADA851983 AML851983:AMW851983 AWH851983:AWS851983 BGD851983:BGO851983 BPZ851983:BQK851983 BZV851983:CAG851983 CJR851983:CKC851983 CTN851983:CTY851983 DDJ851983:DDU851983 DNF851983:DNQ851983 DXB851983:DXM851983 EGX851983:EHI851983 EQT851983:ERE851983 FAP851983:FBA851983 FKL851983:FKW851983 FUH851983:FUS851983 GED851983:GEO851983 GNZ851983:GOK851983 GXV851983:GYG851983 HHR851983:HIC851983 HRN851983:HRY851983 IBJ851983:IBU851983 ILF851983:ILQ851983 IVB851983:IVM851983 JEX851983:JFI851983 JOT851983:JPE851983 JYP851983:JZA851983 KIL851983:KIW851983 KSH851983:KSS851983 LCD851983:LCO851983 LLZ851983:LMK851983 LVV851983:LWG851983 MFR851983:MGC851983 MPN851983:MPY851983 MZJ851983:MZU851983 NJF851983:NJQ851983 NTB851983:NTM851983 OCX851983:ODI851983 OMT851983:ONE851983 OWP851983:OXA851983 PGL851983:PGW851983 PQH851983:PQS851983 QAD851983:QAO851983 QJZ851983:QKK851983 QTV851983:QUG851983 RDR851983:REC851983 RNN851983:RNY851983 RXJ851983:RXU851983 SHF851983:SHQ851983 SRB851983:SRM851983 TAX851983:TBI851983 TKT851983:TLE851983 TUP851983:TVA851983 UEL851983:UEW851983 UOH851983:UOS851983 UYD851983:UYO851983 VHZ851983:VIK851983 VRV851983:VSG851983 WBR851983:WCC851983 WLN851983:WLY851983 WVJ851983:WVU851983 B917519:M917519 IX917519:JI917519 ST917519:TE917519 ACP917519:ADA917519 AML917519:AMW917519 AWH917519:AWS917519 BGD917519:BGO917519 BPZ917519:BQK917519 BZV917519:CAG917519 CJR917519:CKC917519 CTN917519:CTY917519 DDJ917519:DDU917519 DNF917519:DNQ917519 DXB917519:DXM917519 EGX917519:EHI917519 EQT917519:ERE917519 FAP917519:FBA917519 FKL917519:FKW917519 FUH917519:FUS917519 GED917519:GEO917519 GNZ917519:GOK917519 GXV917519:GYG917519 HHR917519:HIC917519 HRN917519:HRY917519 IBJ917519:IBU917519 ILF917519:ILQ917519 IVB917519:IVM917519 JEX917519:JFI917519 JOT917519:JPE917519 JYP917519:JZA917519 KIL917519:KIW917519 KSH917519:KSS917519 LCD917519:LCO917519 LLZ917519:LMK917519 LVV917519:LWG917519 MFR917519:MGC917519 MPN917519:MPY917519 MZJ917519:MZU917519 NJF917519:NJQ917519 NTB917519:NTM917519 OCX917519:ODI917519 OMT917519:ONE917519 OWP917519:OXA917519 PGL917519:PGW917519 PQH917519:PQS917519 QAD917519:QAO917519 QJZ917519:QKK917519 QTV917519:QUG917519 RDR917519:REC917519 RNN917519:RNY917519 RXJ917519:RXU917519 SHF917519:SHQ917519 SRB917519:SRM917519 TAX917519:TBI917519 TKT917519:TLE917519 TUP917519:TVA917519 UEL917519:UEW917519 UOH917519:UOS917519 UYD917519:UYO917519 VHZ917519:VIK917519 VRV917519:VSG917519 WBR917519:WCC917519 WLN917519:WLY917519 WVJ917519:WVU917519 B983055:M983055 IX983055:JI983055 ST983055:TE983055 ACP983055:ADA983055 AML983055:AMW983055 AWH983055:AWS983055 BGD983055:BGO983055 BPZ983055:BQK983055 BZV983055:CAG983055 CJR983055:CKC983055 CTN983055:CTY983055 DDJ983055:DDU983055 DNF983055:DNQ983055 DXB983055:DXM983055 EGX983055:EHI983055 EQT983055:ERE983055 FAP983055:FBA983055 FKL983055:FKW983055 FUH983055:FUS983055 GED983055:GEO983055 GNZ983055:GOK983055 GXV983055:GYG983055 HHR983055:HIC983055 HRN983055:HRY983055 IBJ983055:IBU983055 ILF983055:ILQ983055 IVB983055:IVM983055 JEX983055:JFI983055 JOT983055:JPE983055 JYP983055:JZA983055 KIL983055:KIW983055 KSH983055:KSS983055 LCD983055:LCO983055 LLZ983055:LMK983055 LVV983055:LWG983055 MFR983055:MGC983055 MPN983055:MPY983055 MZJ983055:MZU983055 NJF983055:NJQ983055 NTB983055:NTM983055 OCX983055:ODI983055 OMT983055:ONE983055 OWP983055:OXA983055 PGL983055:PGW983055 PQH983055:PQS983055 QAD983055:QAO983055 QJZ983055:QKK983055 QTV983055:QUG983055 RDR983055:REC983055 RNN983055:RNY983055 RXJ983055:RXU983055 SHF983055:SHQ983055 SRB983055:SRM983055 TAX983055:TBI983055 TKT983055:TLE983055 TUP983055:TVA983055 UEL983055:UEW983055 UOH983055:UOS983055 UYD983055:UYO983055 VHZ983055:VIK983055 VRV983055:VSG983055 WBR983055:WCC983055 WLN983055:WLY983055 WVJ983055:WVU983055 C9:E10 IY9:JA10 SU9:SW10 ACQ9:ACS10 AMM9:AMO10 AWI9:AWK10 BGE9:BGG10 BQA9:BQC10 BZW9:BZY10 CJS9:CJU10 CTO9:CTQ10 DDK9:DDM10 DNG9:DNI10 DXC9:DXE10 EGY9:EHA10 EQU9:EQW10 FAQ9:FAS10 FKM9:FKO10 FUI9:FUK10 GEE9:GEG10 GOA9:GOC10 GXW9:GXY10 HHS9:HHU10 HRO9:HRQ10 IBK9:IBM10 ILG9:ILI10 IVC9:IVE10 JEY9:JFA10 JOU9:JOW10 JYQ9:JYS10 KIM9:KIO10 KSI9:KSK10 LCE9:LCG10 LMA9:LMC10 LVW9:LVY10 MFS9:MFU10 MPO9:MPQ10 MZK9:MZM10 NJG9:NJI10 NTC9:NTE10 OCY9:ODA10 OMU9:OMW10 OWQ9:OWS10 PGM9:PGO10 PQI9:PQK10 QAE9:QAG10 QKA9:QKC10 QTW9:QTY10 RDS9:RDU10 RNO9:RNQ10 RXK9:RXM10 SHG9:SHI10 SRC9:SRE10 TAY9:TBA10 TKU9:TKW10 TUQ9:TUS10 UEM9:UEO10 UOI9:UOK10 UYE9:UYG10 VIA9:VIC10 VRW9:VRY10 WBS9:WBU10 WLO9:WLQ10 WVK9:WVM10 C65545:E65546 IY65545:JA65546 SU65545:SW65546 ACQ65545:ACS65546 AMM65545:AMO65546 AWI65545:AWK65546 BGE65545:BGG65546 BQA65545:BQC65546 BZW65545:BZY65546 CJS65545:CJU65546 CTO65545:CTQ65546 DDK65545:DDM65546 DNG65545:DNI65546 DXC65545:DXE65546 EGY65545:EHA65546 EQU65545:EQW65546 FAQ65545:FAS65546 FKM65545:FKO65546 FUI65545:FUK65546 GEE65545:GEG65546 GOA65545:GOC65546 GXW65545:GXY65546 HHS65545:HHU65546 HRO65545:HRQ65546 IBK65545:IBM65546 ILG65545:ILI65546 IVC65545:IVE65546 JEY65545:JFA65546 JOU65545:JOW65546 JYQ65545:JYS65546 KIM65545:KIO65546 KSI65545:KSK65546 LCE65545:LCG65546 LMA65545:LMC65546 LVW65545:LVY65546 MFS65545:MFU65546 MPO65545:MPQ65546 MZK65545:MZM65546 NJG65545:NJI65546 NTC65545:NTE65546 OCY65545:ODA65546 OMU65545:OMW65546 OWQ65545:OWS65546 PGM65545:PGO65546 PQI65545:PQK65546 QAE65545:QAG65546 QKA65545:QKC65546 QTW65545:QTY65546 RDS65545:RDU65546 RNO65545:RNQ65546 RXK65545:RXM65546 SHG65545:SHI65546 SRC65545:SRE65546 TAY65545:TBA65546 TKU65545:TKW65546 TUQ65545:TUS65546 UEM65545:UEO65546 UOI65545:UOK65546 UYE65545:UYG65546 VIA65545:VIC65546 VRW65545:VRY65546 WBS65545:WBU65546 WLO65545:WLQ65546 WVK65545:WVM65546 C131081:E131082 IY131081:JA131082 SU131081:SW131082 ACQ131081:ACS131082 AMM131081:AMO131082 AWI131081:AWK131082 BGE131081:BGG131082 BQA131081:BQC131082 BZW131081:BZY131082 CJS131081:CJU131082 CTO131081:CTQ131082 DDK131081:DDM131082 DNG131081:DNI131082 DXC131081:DXE131082 EGY131081:EHA131082 EQU131081:EQW131082 FAQ131081:FAS131082 FKM131081:FKO131082 FUI131081:FUK131082 GEE131081:GEG131082 GOA131081:GOC131082 GXW131081:GXY131082 HHS131081:HHU131082 HRO131081:HRQ131082 IBK131081:IBM131082 ILG131081:ILI131082 IVC131081:IVE131082 JEY131081:JFA131082 JOU131081:JOW131082 JYQ131081:JYS131082 KIM131081:KIO131082 KSI131081:KSK131082 LCE131081:LCG131082 LMA131081:LMC131082 LVW131081:LVY131082 MFS131081:MFU131082 MPO131081:MPQ131082 MZK131081:MZM131082 NJG131081:NJI131082 NTC131081:NTE131082 OCY131081:ODA131082 OMU131081:OMW131082 OWQ131081:OWS131082 PGM131081:PGO131082 PQI131081:PQK131082 QAE131081:QAG131082 QKA131081:QKC131082 QTW131081:QTY131082 RDS131081:RDU131082 RNO131081:RNQ131082 RXK131081:RXM131082 SHG131081:SHI131082 SRC131081:SRE131082 TAY131081:TBA131082 TKU131081:TKW131082 TUQ131081:TUS131082 UEM131081:UEO131082 UOI131081:UOK131082 UYE131081:UYG131082 VIA131081:VIC131082 VRW131081:VRY131082 WBS131081:WBU131082 WLO131081:WLQ131082 WVK131081:WVM131082 C196617:E196618 IY196617:JA196618 SU196617:SW196618 ACQ196617:ACS196618 AMM196617:AMO196618 AWI196617:AWK196618 BGE196617:BGG196618 BQA196617:BQC196618 BZW196617:BZY196618 CJS196617:CJU196618 CTO196617:CTQ196618 DDK196617:DDM196618 DNG196617:DNI196618 DXC196617:DXE196618 EGY196617:EHA196618 EQU196617:EQW196618 FAQ196617:FAS196618 FKM196617:FKO196618 FUI196617:FUK196618 GEE196617:GEG196618 GOA196617:GOC196618 GXW196617:GXY196618 HHS196617:HHU196618 HRO196617:HRQ196618 IBK196617:IBM196618 ILG196617:ILI196618 IVC196617:IVE196618 JEY196617:JFA196618 JOU196617:JOW196618 JYQ196617:JYS196618 KIM196617:KIO196618 KSI196617:KSK196618 LCE196617:LCG196618 LMA196617:LMC196618 LVW196617:LVY196618 MFS196617:MFU196618 MPO196617:MPQ196618 MZK196617:MZM196618 NJG196617:NJI196618 NTC196617:NTE196618 OCY196617:ODA196618 OMU196617:OMW196618 OWQ196617:OWS196618 PGM196617:PGO196618 PQI196617:PQK196618 QAE196617:QAG196618 QKA196617:QKC196618 QTW196617:QTY196618 RDS196617:RDU196618 RNO196617:RNQ196618 RXK196617:RXM196618 SHG196617:SHI196618 SRC196617:SRE196618 TAY196617:TBA196618 TKU196617:TKW196618 TUQ196617:TUS196618 UEM196617:UEO196618 UOI196617:UOK196618 UYE196617:UYG196618 VIA196617:VIC196618 VRW196617:VRY196618 WBS196617:WBU196618 WLO196617:WLQ196618 WVK196617:WVM196618 C262153:E262154 IY262153:JA262154 SU262153:SW262154 ACQ262153:ACS262154 AMM262153:AMO262154 AWI262153:AWK262154 BGE262153:BGG262154 BQA262153:BQC262154 BZW262153:BZY262154 CJS262153:CJU262154 CTO262153:CTQ262154 DDK262153:DDM262154 DNG262153:DNI262154 DXC262153:DXE262154 EGY262153:EHA262154 EQU262153:EQW262154 FAQ262153:FAS262154 FKM262153:FKO262154 FUI262153:FUK262154 GEE262153:GEG262154 GOA262153:GOC262154 GXW262153:GXY262154 HHS262153:HHU262154 HRO262153:HRQ262154 IBK262153:IBM262154 ILG262153:ILI262154 IVC262153:IVE262154 JEY262153:JFA262154 JOU262153:JOW262154 JYQ262153:JYS262154 KIM262153:KIO262154 KSI262153:KSK262154 LCE262153:LCG262154 LMA262153:LMC262154 LVW262153:LVY262154 MFS262153:MFU262154 MPO262153:MPQ262154 MZK262153:MZM262154 NJG262153:NJI262154 NTC262153:NTE262154 OCY262153:ODA262154 OMU262153:OMW262154 OWQ262153:OWS262154 PGM262153:PGO262154 PQI262153:PQK262154 QAE262153:QAG262154 QKA262153:QKC262154 QTW262153:QTY262154 RDS262153:RDU262154 RNO262153:RNQ262154 RXK262153:RXM262154 SHG262153:SHI262154 SRC262153:SRE262154 TAY262153:TBA262154 TKU262153:TKW262154 TUQ262153:TUS262154 UEM262153:UEO262154 UOI262153:UOK262154 UYE262153:UYG262154 VIA262153:VIC262154 VRW262153:VRY262154 WBS262153:WBU262154 WLO262153:WLQ262154 WVK262153:WVM262154 C327689:E327690 IY327689:JA327690 SU327689:SW327690 ACQ327689:ACS327690 AMM327689:AMO327690 AWI327689:AWK327690 BGE327689:BGG327690 BQA327689:BQC327690 BZW327689:BZY327690 CJS327689:CJU327690 CTO327689:CTQ327690 DDK327689:DDM327690 DNG327689:DNI327690 DXC327689:DXE327690 EGY327689:EHA327690 EQU327689:EQW327690 FAQ327689:FAS327690 FKM327689:FKO327690 FUI327689:FUK327690 GEE327689:GEG327690 GOA327689:GOC327690 GXW327689:GXY327690 HHS327689:HHU327690 HRO327689:HRQ327690 IBK327689:IBM327690 ILG327689:ILI327690 IVC327689:IVE327690 JEY327689:JFA327690 JOU327689:JOW327690 JYQ327689:JYS327690 KIM327689:KIO327690 KSI327689:KSK327690 LCE327689:LCG327690 LMA327689:LMC327690 LVW327689:LVY327690 MFS327689:MFU327690 MPO327689:MPQ327690 MZK327689:MZM327690 NJG327689:NJI327690 NTC327689:NTE327690 OCY327689:ODA327690 OMU327689:OMW327690 OWQ327689:OWS327690 PGM327689:PGO327690 PQI327689:PQK327690 QAE327689:QAG327690 QKA327689:QKC327690 QTW327689:QTY327690 RDS327689:RDU327690 RNO327689:RNQ327690 RXK327689:RXM327690 SHG327689:SHI327690 SRC327689:SRE327690 TAY327689:TBA327690 TKU327689:TKW327690 TUQ327689:TUS327690 UEM327689:UEO327690 UOI327689:UOK327690 UYE327689:UYG327690 VIA327689:VIC327690 VRW327689:VRY327690 WBS327689:WBU327690 WLO327689:WLQ327690 WVK327689:WVM327690 C393225:E393226 IY393225:JA393226 SU393225:SW393226 ACQ393225:ACS393226 AMM393225:AMO393226 AWI393225:AWK393226 BGE393225:BGG393226 BQA393225:BQC393226 BZW393225:BZY393226 CJS393225:CJU393226 CTO393225:CTQ393226 DDK393225:DDM393226 DNG393225:DNI393226 DXC393225:DXE393226 EGY393225:EHA393226 EQU393225:EQW393226 FAQ393225:FAS393226 FKM393225:FKO393226 FUI393225:FUK393226 GEE393225:GEG393226 GOA393225:GOC393226 GXW393225:GXY393226 HHS393225:HHU393226 HRO393225:HRQ393226 IBK393225:IBM393226 ILG393225:ILI393226 IVC393225:IVE393226 JEY393225:JFA393226 JOU393225:JOW393226 JYQ393225:JYS393226 KIM393225:KIO393226 KSI393225:KSK393226 LCE393225:LCG393226 LMA393225:LMC393226 LVW393225:LVY393226 MFS393225:MFU393226 MPO393225:MPQ393226 MZK393225:MZM393226 NJG393225:NJI393226 NTC393225:NTE393226 OCY393225:ODA393226 OMU393225:OMW393226 OWQ393225:OWS393226 PGM393225:PGO393226 PQI393225:PQK393226 QAE393225:QAG393226 QKA393225:QKC393226 QTW393225:QTY393226 RDS393225:RDU393226 RNO393225:RNQ393226 RXK393225:RXM393226 SHG393225:SHI393226 SRC393225:SRE393226 TAY393225:TBA393226 TKU393225:TKW393226 TUQ393225:TUS393226 UEM393225:UEO393226 UOI393225:UOK393226 UYE393225:UYG393226 VIA393225:VIC393226 VRW393225:VRY393226 WBS393225:WBU393226 WLO393225:WLQ393226 WVK393225:WVM393226 C458761:E458762 IY458761:JA458762 SU458761:SW458762 ACQ458761:ACS458762 AMM458761:AMO458762 AWI458761:AWK458762 BGE458761:BGG458762 BQA458761:BQC458762 BZW458761:BZY458762 CJS458761:CJU458762 CTO458761:CTQ458762 DDK458761:DDM458762 DNG458761:DNI458762 DXC458761:DXE458762 EGY458761:EHA458762 EQU458761:EQW458762 FAQ458761:FAS458762 FKM458761:FKO458762 FUI458761:FUK458762 GEE458761:GEG458762 GOA458761:GOC458762 GXW458761:GXY458762 HHS458761:HHU458762 HRO458761:HRQ458762 IBK458761:IBM458762 ILG458761:ILI458762 IVC458761:IVE458762 JEY458761:JFA458762 JOU458761:JOW458762 JYQ458761:JYS458762 KIM458761:KIO458762 KSI458761:KSK458762 LCE458761:LCG458762 LMA458761:LMC458762 LVW458761:LVY458762 MFS458761:MFU458762 MPO458761:MPQ458762 MZK458761:MZM458762 NJG458761:NJI458762 NTC458761:NTE458762 OCY458761:ODA458762 OMU458761:OMW458762 OWQ458761:OWS458762 PGM458761:PGO458762 PQI458761:PQK458762 QAE458761:QAG458762 QKA458761:QKC458762 QTW458761:QTY458762 RDS458761:RDU458762 RNO458761:RNQ458762 RXK458761:RXM458762 SHG458761:SHI458762 SRC458761:SRE458762 TAY458761:TBA458762 TKU458761:TKW458762 TUQ458761:TUS458762 UEM458761:UEO458762 UOI458761:UOK458762 UYE458761:UYG458762 VIA458761:VIC458762 VRW458761:VRY458762 WBS458761:WBU458762 WLO458761:WLQ458762 WVK458761:WVM458762 C524297:E524298 IY524297:JA524298 SU524297:SW524298 ACQ524297:ACS524298 AMM524297:AMO524298 AWI524297:AWK524298 BGE524297:BGG524298 BQA524297:BQC524298 BZW524297:BZY524298 CJS524297:CJU524298 CTO524297:CTQ524298 DDK524297:DDM524298 DNG524297:DNI524298 DXC524297:DXE524298 EGY524297:EHA524298 EQU524297:EQW524298 FAQ524297:FAS524298 FKM524297:FKO524298 FUI524297:FUK524298 GEE524297:GEG524298 GOA524297:GOC524298 GXW524297:GXY524298 HHS524297:HHU524298 HRO524297:HRQ524298 IBK524297:IBM524298 ILG524297:ILI524298 IVC524297:IVE524298 JEY524297:JFA524298 JOU524297:JOW524298 JYQ524297:JYS524298 KIM524297:KIO524298 KSI524297:KSK524298 LCE524297:LCG524298 LMA524297:LMC524298 LVW524297:LVY524298 MFS524297:MFU524298 MPO524297:MPQ524298 MZK524297:MZM524298 NJG524297:NJI524298 NTC524297:NTE524298 OCY524297:ODA524298 OMU524297:OMW524298 OWQ524297:OWS524298 PGM524297:PGO524298 PQI524297:PQK524298 QAE524297:QAG524298 QKA524297:QKC524298 QTW524297:QTY524298 RDS524297:RDU524298 RNO524297:RNQ524298 RXK524297:RXM524298 SHG524297:SHI524298 SRC524297:SRE524298 TAY524297:TBA524298 TKU524297:TKW524298 TUQ524297:TUS524298 UEM524297:UEO524298 UOI524297:UOK524298 UYE524297:UYG524298 VIA524297:VIC524298 VRW524297:VRY524298 WBS524297:WBU524298 WLO524297:WLQ524298 WVK524297:WVM524298 C589833:E589834 IY589833:JA589834 SU589833:SW589834 ACQ589833:ACS589834 AMM589833:AMO589834 AWI589833:AWK589834 BGE589833:BGG589834 BQA589833:BQC589834 BZW589833:BZY589834 CJS589833:CJU589834 CTO589833:CTQ589834 DDK589833:DDM589834 DNG589833:DNI589834 DXC589833:DXE589834 EGY589833:EHA589834 EQU589833:EQW589834 FAQ589833:FAS589834 FKM589833:FKO589834 FUI589833:FUK589834 GEE589833:GEG589834 GOA589833:GOC589834 GXW589833:GXY589834 HHS589833:HHU589834 HRO589833:HRQ589834 IBK589833:IBM589834 ILG589833:ILI589834 IVC589833:IVE589834 JEY589833:JFA589834 JOU589833:JOW589834 JYQ589833:JYS589834 KIM589833:KIO589834 KSI589833:KSK589834 LCE589833:LCG589834 LMA589833:LMC589834 LVW589833:LVY589834 MFS589833:MFU589834 MPO589833:MPQ589834 MZK589833:MZM589834 NJG589833:NJI589834 NTC589833:NTE589834 OCY589833:ODA589834 OMU589833:OMW589834 OWQ589833:OWS589834 PGM589833:PGO589834 PQI589833:PQK589834 QAE589833:QAG589834 QKA589833:QKC589834 QTW589833:QTY589834 RDS589833:RDU589834 RNO589833:RNQ589834 RXK589833:RXM589834 SHG589833:SHI589834 SRC589833:SRE589834 TAY589833:TBA589834 TKU589833:TKW589834 TUQ589833:TUS589834 UEM589833:UEO589834 UOI589833:UOK589834 UYE589833:UYG589834 VIA589833:VIC589834 VRW589833:VRY589834 WBS589833:WBU589834 WLO589833:WLQ589834 WVK589833:WVM589834 C655369:E655370 IY655369:JA655370 SU655369:SW655370 ACQ655369:ACS655370 AMM655369:AMO655370 AWI655369:AWK655370 BGE655369:BGG655370 BQA655369:BQC655370 BZW655369:BZY655370 CJS655369:CJU655370 CTO655369:CTQ655370 DDK655369:DDM655370 DNG655369:DNI655370 DXC655369:DXE655370 EGY655369:EHA655370 EQU655369:EQW655370 FAQ655369:FAS655370 FKM655369:FKO655370 FUI655369:FUK655370 GEE655369:GEG655370 GOA655369:GOC655370 GXW655369:GXY655370 HHS655369:HHU655370 HRO655369:HRQ655370 IBK655369:IBM655370 ILG655369:ILI655370 IVC655369:IVE655370 JEY655369:JFA655370 JOU655369:JOW655370 JYQ655369:JYS655370 KIM655369:KIO655370 KSI655369:KSK655370 LCE655369:LCG655370 LMA655369:LMC655370 LVW655369:LVY655370 MFS655369:MFU655370 MPO655369:MPQ655370 MZK655369:MZM655370 NJG655369:NJI655370 NTC655369:NTE655370 OCY655369:ODA655370 OMU655369:OMW655370 OWQ655369:OWS655370 PGM655369:PGO655370 PQI655369:PQK655370 QAE655369:QAG655370 QKA655369:QKC655370 QTW655369:QTY655370 RDS655369:RDU655370 RNO655369:RNQ655370 RXK655369:RXM655370 SHG655369:SHI655370 SRC655369:SRE655370 TAY655369:TBA655370 TKU655369:TKW655370 TUQ655369:TUS655370 UEM655369:UEO655370 UOI655369:UOK655370 UYE655369:UYG655370 VIA655369:VIC655370 VRW655369:VRY655370 WBS655369:WBU655370 WLO655369:WLQ655370 WVK655369:WVM655370 C720905:E720906 IY720905:JA720906 SU720905:SW720906 ACQ720905:ACS720906 AMM720905:AMO720906 AWI720905:AWK720906 BGE720905:BGG720906 BQA720905:BQC720906 BZW720905:BZY720906 CJS720905:CJU720906 CTO720905:CTQ720906 DDK720905:DDM720906 DNG720905:DNI720906 DXC720905:DXE720906 EGY720905:EHA720906 EQU720905:EQW720906 FAQ720905:FAS720906 FKM720905:FKO720906 FUI720905:FUK720906 GEE720905:GEG720906 GOA720905:GOC720906 GXW720905:GXY720906 HHS720905:HHU720906 HRO720905:HRQ720906 IBK720905:IBM720906 ILG720905:ILI720906 IVC720905:IVE720906 JEY720905:JFA720906 JOU720905:JOW720906 JYQ720905:JYS720906 KIM720905:KIO720906 KSI720905:KSK720906 LCE720905:LCG720906 LMA720905:LMC720906 LVW720905:LVY720906 MFS720905:MFU720906 MPO720905:MPQ720906 MZK720905:MZM720906 NJG720905:NJI720906 NTC720905:NTE720906 OCY720905:ODA720906 OMU720905:OMW720906 OWQ720905:OWS720906 PGM720905:PGO720906 PQI720905:PQK720906 QAE720905:QAG720906 QKA720905:QKC720906 QTW720905:QTY720906 RDS720905:RDU720906 RNO720905:RNQ720906 RXK720905:RXM720906 SHG720905:SHI720906 SRC720905:SRE720906 TAY720905:TBA720906 TKU720905:TKW720906 TUQ720905:TUS720906 UEM720905:UEO720906 UOI720905:UOK720906 UYE720905:UYG720906 VIA720905:VIC720906 VRW720905:VRY720906 WBS720905:WBU720906 WLO720905:WLQ720906 WVK720905:WVM720906 C786441:E786442 IY786441:JA786442 SU786441:SW786442 ACQ786441:ACS786442 AMM786441:AMO786442 AWI786441:AWK786442 BGE786441:BGG786442 BQA786441:BQC786442 BZW786441:BZY786442 CJS786441:CJU786442 CTO786441:CTQ786442 DDK786441:DDM786442 DNG786441:DNI786442 DXC786441:DXE786442 EGY786441:EHA786442 EQU786441:EQW786442 FAQ786441:FAS786442 FKM786441:FKO786442 FUI786441:FUK786442 GEE786441:GEG786442 GOA786441:GOC786442 GXW786441:GXY786442 HHS786441:HHU786442 HRO786441:HRQ786442 IBK786441:IBM786442 ILG786441:ILI786442 IVC786441:IVE786442 JEY786441:JFA786442 JOU786441:JOW786442 JYQ786441:JYS786442 KIM786441:KIO786442 KSI786441:KSK786442 LCE786441:LCG786442 LMA786441:LMC786442 LVW786441:LVY786442 MFS786441:MFU786442 MPO786441:MPQ786442 MZK786441:MZM786442 NJG786441:NJI786442 NTC786441:NTE786442 OCY786441:ODA786442 OMU786441:OMW786442 OWQ786441:OWS786442 PGM786441:PGO786442 PQI786441:PQK786442 QAE786441:QAG786442 QKA786441:QKC786442 QTW786441:QTY786442 RDS786441:RDU786442 RNO786441:RNQ786442 RXK786441:RXM786442 SHG786441:SHI786442 SRC786441:SRE786442 TAY786441:TBA786442 TKU786441:TKW786442 TUQ786441:TUS786442 UEM786441:UEO786442 UOI786441:UOK786442 UYE786441:UYG786442 VIA786441:VIC786442 VRW786441:VRY786442 WBS786441:WBU786442 WLO786441:WLQ786442 WVK786441:WVM786442 C851977:E851978 IY851977:JA851978 SU851977:SW851978 ACQ851977:ACS851978 AMM851977:AMO851978 AWI851977:AWK851978 BGE851977:BGG851978 BQA851977:BQC851978 BZW851977:BZY851978 CJS851977:CJU851978 CTO851977:CTQ851978 DDK851977:DDM851978 DNG851977:DNI851978 DXC851977:DXE851978 EGY851977:EHA851978 EQU851977:EQW851978 FAQ851977:FAS851978 FKM851977:FKO851978 FUI851977:FUK851978 GEE851977:GEG851978 GOA851977:GOC851978 GXW851977:GXY851978 HHS851977:HHU851978 HRO851977:HRQ851978 IBK851977:IBM851978 ILG851977:ILI851978 IVC851977:IVE851978 JEY851977:JFA851978 JOU851977:JOW851978 JYQ851977:JYS851978 KIM851977:KIO851978 KSI851977:KSK851978 LCE851977:LCG851978 LMA851977:LMC851978 LVW851977:LVY851978 MFS851977:MFU851978 MPO851977:MPQ851978 MZK851977:MZM851978 NJG851977:NJI851978 NTC851977:NTE851978 OCY851977:ODA851978 OMU851977:OMW851978 OWQ851977:OWS851978 PGM851977:PGO851978 PQI851977:PQK851978 QAE851977:QAG851978 QKA851977:QKC851978 QTW851977:QTY851978 RDS851977:RDU851978 RNO851977:RNQ851978 RXK851977:RXM851978 SHG851977:SHI851978 SRC851977:SRE851978 TAY851977:TBA851978 TKU851977:TKW851978 TUQ851977:TUS851978 UEM851977:UEO851978 UOI851977:UOK851978 UYE851977:UYG851978 VIA851977:VIC851978 VRW851977:VRY851978 WBS851977:WBU851978 WLO851977:WLQ851978 WVK851977:WVM851978 C917513:E917514 IY917513:JA917514 SU917513:SW917514 ACQ917513:ACS917514 AMM917513:AMO917514 AWI917513:AWK917514 BGE917513:BGG917514 BQA917513:BQC917514 BZW917513:BZY917514 CJS917513:CJU917514 CTO917513:CTQ917514 DDK917513:DDM917514 DNG917513:DNI917514 DXC917513:DXE917514 EGY917513:EHA917514 EQU917513:EQW917514 FAQ917513:FAS917514 FKM917513:FKO917514 FUI917513:FUK917514 GEE917513:GEG917514 GOA917513:GOC917514 GXW917513:GXY917514 HHS917513:HHU917514 HRO917513:HRQ917514 IBK917513:IBM917514 ILG917513:ILI917514 IVC917513:IVE917514 JEY917513:JFA917514 JOU917513:JOW917514 JYQ917513:JYS917514 KIM917513:KIO917514 KSI917513:KSK917514 LCE917513:LCG917514 LMA917513:LMC917514 LVW917513:LVY917514 MFS917513:MFU917514 MPO917513:MPQ917514 MZK917513:MZM917514 NJG917513:NJI917514 NTC917513:NTE917514 OCY917513:ODA917514 OMU917513:OMW917514 OWQ917513:OWS917514 PGM917513:PGO917514 PQI917513:PQK917514 QAE917513:QAG917514 QKA917513:QKC917514 QTW917513:QTY917514 RDS917513:RDU917514 RNO917513:RNQ917514 RXK917513:RXM917514 SHG917513:SHI917514 SRC917513:SRE917514 TAY917513:TBA917514 TKU917513:TKW917514 TUQ917513:TUS917514 UEM917513:UEO917514 UOI917513:UOK917514 UYE917513:UYG917514 VIA917513:VIC917514 VRW917513:VRY917514 WBS917513:WBU917514 WLO917513:WLQ917514 WVK917513:WVM917514 C983049:E983050 IY983049:JA983050 SU983049:SW983050 ACQ983049:ACS983050 AMM983049:AMO983050 AWI983049:AWK983050 BGE983049:BGG983050 BQA983049:BQC983050 BZW983049:BZY983050 CJS983049:CJU983050 CTO983049:CTQ983050 DDK983049:DDM983050 DNG983049:DNI983050 DXC983049:DXE983050 EGY983049:EHA983050 EQU983049:EQW983050 FAQ983049:FAS983050 FKM983049:FKO983050 FUI983049:FUK983050 GEE983049:GEG983050 GOA983049:GOC983050 GXW983049:GXY983050 HHS983049:HHU983050 HRO983049:HRQ983050 IBK983049:IBM983050 ILG983049:ILI983050 IVC983049:IVE983050 JEY983049:JFA983050 JOU983049:JOW983050 JYQ983049:JYS983050 KIM983049:KIO983050 KSI983049:KSK983050 LCE983049:LCG983050 LMA983049:LMC983050 LVW983049:LVY983050 MFS983049:MFU983050 MPO983049:MPQ983050 MZK983049:MZM983050 NJG983049:NJI983050 NTC983049:NTE983050 OCY983049:ODA983050 OMU983049:OMW983050 OWQ983049:OWS983050 PGM983049:PGO983050 PQI983049:PQK983050 QAE983049:QAG983050 QKA983049:QKC983050 QTW983049:QTY983050 RDS983049:RDU983050 RNO983049:RNQ983050 RXK983049:RXM983050 SHG983049:SHI983050 SRC983049:SRE983050 TAY983049:TBA983050 TKU983049:TKW983050 TUQ983049:TUS983050 UEM983049:UEO983050 UOI983049:UOK983050 UYE983049:UYG983050 VIA983049:VIC983050 VRW983049:VRY983050 WBS983049:WBU983050 WLO983049:WLQ983050 WVK983049:WVM983050 C11:M13 IY11:JI13 SU11:TE13 ACQ11:ADA13 AMM11:AMW13 AWI11:AWS13 BGE11:BGO13 BQA11:BQK13 BZW11:CAG13 CJS11:CKC13 CTO11:CTY13 DDK11:DDU13 DNG11:DNQ13 DXC11:DXM13 EGY11:EHI13 EQU11:ERE13 FAQ11:FBA13 FKM11:FKW13 FUI11:FUS13 GEE11:GEO13 GOA11:GOK13 GXW11:GYG13 HHS11:HIC13 HRO11:HRY13 IBK11:IBU13 ILG11:ILQ13 IVC11:IVM13 JEY11:JFI13 JOU11:JPE13 JYQ11:JZA13 KIM11:KIW13 KSI11:KSS13 LCE11:LCO13 LMA11:LMK13 LVW11:LWG13 MFS11:MGC13 MPO11:MPY13 MZK11:MZU13 NJG11:NJQ13 NTC11:NTM13 OCY11:ODI13 OMU11:ONE13 OWQ11:OXA13 PGM11:PGW13 PQI11:PQS13 QAE11:QAO13 QKA11:QKK13 QTW11:QUG13 RDS11:REC13 RNO11:RNY13 RXK11:RXU13 SHG11:SHQ13 SRC11:SRM13 TAY11:TBI13 TKU11:TLE13 TUQ11:TVA13 UEM11:UEW13 UOI11:UOS13 UYE11:UYO13 VIA11:VIK13 VRW11:VSG13 WBS11:WCC13 WLO11:WLY13 WVK11:WVU13 C65547:M65549 IY65547:JI65549 SU65547:TE65549 ACQ65547:ADA65549 AMM65547:AMW65549 AWI65547:AWS65549 BGE65547:BGO65549 BQA65547:BQK65549 BZW65547:CAG65549 CJS65547:CKC65549 CTO65547:CTY65549 DDK65547:DDU65549 DNG65547:DNQ65549 DXC65547:DXM65549 EGY65547:EHI65549 EQU65547:ERE65549 FAQ65547:FBA65549 FKM65547:FKW65549 FUI65547:FUS65549 GEE65547:GEO65549 GOA65547:GOK65549 GXW65547:GYG65549 HHS65547:HIC65549 HRO65547:HRY65549 IBK65547:IBU65549 ILG65547:ILQ65549 IVC65547:IVM65549 JEY65547:JFI65549 JOU65547:JPE65549 JYQ65547:JZA65549 KIM65547:KIW65549 KSI65547:KSS65549 LCE65547:LCO65549 LMA65547:LMK65549 LVW65547:LWG65549 MFS65547:MGC65549 MPO65547:MPY65549 MZK65547:MZU65549 NJG65547:NJQ65549 NTC65547:NTM65549 OCY65547:ODI65549 OMU65547:ONE65549 OWQ65547:OXA65549 PGM65547:PGW65549 PQI65547:PQS65549 QAE65547:QAO65549 QKA65547:QKK65549 QTW65547:QUG65549 RDS65547:REC65549 RNO65547:RNY65549 RXK65547:RXU65549 SHG65547:SHQ65549 SRC65547:SRM65549 TAY65547:TBI65549 TKU65547:TLE65549 TUQ65547:TVA65549 UEM65547:UEW65549 UOI65547:UOS65549 UYE65547:UYO65549 VIA65547:VIK65549 VRW65547:VSG65549 WBS65547:WCC65549 WLO65547:WLY65549 WVK65547:WVU65549 C131083:M131085 IY131083:JI131085 SU131083:TE131085 ACQ131083:ADA131085 AMM131083:AMW131085 AWI131083:AWS131085 BGE131083:BGO131085 BQA131083:BQK131085 BZW131083:CAG131085 CJS131083:CKC131085 CTO131083:CTY131085 DDK131083:DDU131085 DNG131083:DNQ131085 DXC131083:DXM131085 EGY131083:EHI131085 EQU131083:ERE131085 FAQ131083:FBA131085 FKM131083:FKW131085 FUI131083:FUS131085 GEE131083:GEO131085 GOA131083:GOK131085 GXW131083:GYG131085 HHS131083:HIC131085 HRO131083:HRY131085 IBK131083:IBU131085 ILG131083:ILQ131085 IVC131083:IVM131085 JEY131083:JFI131085 JOU131083:JPE131085 JYQ131083:JZA131085 KIM131083:KIW131085 KSI131083:KSS131085 LCE131083:LCO131085 LMA131083:LMK131085 LVW131083:LWG131085 MFS131083:MGC131085 MPO131083:MPY131085 MZK131083:MZU131085 NJG131083:NJQ131085 NTC131083:NTM131085 OCY131083:ODI131085 OMU131083:ONE131085 OWQ131083:OXA131085 PGM131083:PGW131085 PQI131083:PQS131085 QAE131083:QAO131085 QKA131083:QKK131085 QTW131083:QUG131085 RDS131083:REC131085 RNO131083:RNY131085 RXK131083:RXU131085 SHG131083:SHQ131085 SRC131083:SRM131085 TAY131083:TBI131085 TKU131083:TLE131085 TUQ131083:TVA131085 UEM131083:UEW131085 UOI131083:UOS131085 UYE131083:UYO131085 VIA131083:VIK131085 VRW131083:VSG131085 WBS131083:WCC131085 WLO131083:WLY131085 WVK131083:WVU131085 C196619:M196621 IY196619:JI196621 SU196619:TE196621 ACQ196619:ADA196621 AMM196619:AMW196621 AWI196619:AWS196621 BGE196619:BGO196621 BQA196619:BQK196621 BZW196619:CAG196621 CJS196619:CKC196621 CTO196619:CTY196621 DDK196619:DDU196621 DNG196619:DNQ196621 DXC196619:DXM196621 EGY196619:EHI196621 EQU196619:ERE196621 FAQ196619:FBA196621 FKM196619:FKW196621 FUI196619:FUS196621 GEE196619:GEO196621 GOA196619:GOK196621 GXW196619:GYG196621 HHS196619:HIC196621 HRO196619:HRY196621 IBK196619:IBU196621 ILG196619:ILQ196621 IVC196619:IVM196621 JEY196619:JFI196621 JOU196619:JPE196621 JYQ196619:JZA196621 KIM196619:KIW196621 KSI196619:KSS196621 LCE196619:LCO196621 LMA196619:LMK196621 LVW196619:LWG196621 MFS196619:MGC196621 MPO196619:MPY196621 MZK196619:MZU196621 NJG196619:NJQ196621 NTC196619:NTM196621 OCY196619:ODI196621 OMU196619:ONE196621 OWQ196619:OXA196621 PGM196619:PGW196621 PQI196619:PQS196621 QAE196619:QAO196621 QKA196619:QKK196621 QTW196619:QUG196621 RDS196619:REC196621 RNO196619:RNY196621 RXK196619:RXU196621 SHG196619:SHQ196621 SRC196619:SRM196621 TAY196619:TBI196621 TKU196619:TLE196621 TUQ196619:TVA196621 UEM196619:UEW196621 UOI196619:UOS196621 UYE196619:UYO196621 VIA196619:VIK196621 VRW196619:VSG196621 WBS196619:WCC196621 WLO196619:WLY196621 WVK196619:WVU196621 C262155:M262157 IY262155:JI262157 SU262155:TE262157 ACQ262155:ADA262157 AMM262155:AMW262157 AWI262155:AWS262157 BGE262155:BGO262157 BQA262155:BQK262157 BZW262155:CAG262157 CJS262155:CKC262157 CTO262155:CTY262157 DDK262155:DDU262157 DNG262155:DNQ262157 DXC262155:DXM262157 EGY262155:EHI262157 EQU262155:ERE262157 FAQ262155:FBA262157 FKM262155:FKW262157 FUI262155:FUS262157 GEE262155:GEO262157 GOA262155:GOK262157 GXW262155:GYG262157 HHS262155:HIC262157 HRO262155:HRY262157 IBK262155:IBU262157 ILG262155:ILQ262157 IVC262155:IVM262157 JEY262155:JFI262157 JOU262155:JPE262157 JYQ262155:JZA262157 KIM262155:KIW262157 KSI262155:KSS262157 LCE262155:LCO262157 LMA262155:LMK262157 LVW262155:LWG262157 MFS262155:MGC262157 MPO262155:MPY262157 MZK262155:MZU262157 NJG262155:NJQ262157 NTC262155:NTM262157 OCY262155:ODI262157 OMU262155:ONE262157 OWQ262155:OXA262157 PGM262155:PGW262157 PQI262155:PQS262157 QAE262155:QAO262157 QKA262155:QKK262157 QTW262155:QUG262157 RDS262155:REC262157 RNO262155:RNY262157 RXK262155:RXU262157 SHG262155:SHQ262157 SRC262155:SRM262157 TAY262155:TBI262157 TKU262155:TLE262157 TUQ262155:TVA262157 UEM262155:UEW262157 UOI262155:UOS262157 UYE262155:UYO262157 VIA262155:VIK262157 VRW262155:VSG262157 WBS262155:WCC262157 WLO262155:WLY262157 WVK262155:WVU262157 C327691:M327693 IY327691:JI327693 SU327691:TE327693 ACQ327691:ADA327693 AMM327691:AMW327693 AWI327691:AWS327693 BGE327691:BGO327693 BQA327691:BQK327693 BZW327691:CAG327693 CJS327691:CKC327693 CTO327691:CTY327693 DDK327691:DDU327693 DNG327691:DNQ327693 DXC327691:DXM327693 EGY327691:EHI327693 EQU327691:ERE327693 FAQ327691:FBA327693 FKM327691:FKW327693 FUI327691:FUS327693 GEE327691:GEO327693 GOA327691:GOK327693 GXW327691:GYG327693 HHS327691:HIC327693 HRO327691:HRY327693 IBK327691:IBU327693 ILG327691:ILQ327693 IVC327691:IVM327693 JEY327691:JFI327693 JOU327691:JPE327693 JYQ327691:JZA327693 KIM327691:KIW327693 KSI327691:KSS327693 LCE327691:LCO327693 LMA327691:LMK327693 LVW327691:LWG327693 MFS327691:MGC327693 MPO327691:MPY327693 MZK327691:MZU327693 NJG327691:NJQ327693 NTC327691:NTM327693 OCY327691:ODI327693 OMU327691:ONE327693 OWQ327691:OXA327693 PGM327691:PGW327693 PQI327691:PQS327693 QAE327691:QAO327693 QKA327691:QKK327693 QTW327691:QUG327693 RDS327691:REC327693 RNO327691:RNY327693 RXK327691:RXU327693 SHG327691:SHQ327693 SRC327691:SRM327693 TAY327691:TBI327693 TKU327691:TLE327693 TUQ327691:TVA327693 UEM327691:UEW327693 UOI327691:UOS327693 UYE327691:UYO327693 VIA327691:VIK327693 VRW327691:VSG327693 WBS327691:WCC327693 WLO327691:WLY327693 WVK327691:WVU327693 C393227:M393229 IY393227:JI393229 SU393227:TE393229 ACQ393227:ADA393229 AMM393227:AMW393229 AWI393227:AWS393229 BGE393227:BGO393229 BQA393227:BQK393229 BZW393227:CAG393229 CJS393227:CKC393229 CTO393227:CTY393229 DDK393227:DDU393229 DNG393227:DNQ393229 DXC393227:DXM393229 EGY393227:EHI393229 EQU393227:ERE393229 FAQ393227:FBA393229 FKM393227:FKW393229 FUI393227:FUS393229 GEE393227:GEO393229 GOA393227:GOK393229 GXW393227:GYG393229 HHS393227:HIC393229 HRO393227:HRY393229 IBK393227:IBU393229 ILG393227:ILQ393229 IVC393227:IVM393229 JEY393227:JFI393229 JOU393227:JPE393229 JYQ393227:JZA393229 KIM393227:KIW393229 KSI393227:KSS393229 LCE393227:LCO393229 LMA393227:LMK393229 LVW393227:LWG393229 MFS393227:MGC393229 MPO393227:MPY393229 MZK393227:MZU393229 NJG393227:NJQ393229 NTC393227:NTM393229 OCY393227:ODI393229 OMU393227:ONE393229 OWQ393227:OXA393229 PGM393227:PGW393229 PQI393227:PQS393229 QAE393227:QAO393229 QKA393227:QKK393229 QTW393227:QUG393229 RDS393227:REC393229 RNO393227:RNY393229 RXK393227:RXU393229 SHG393227:SHQ393229 SRC393227:SRM393229 TAY393227:TBI393229 TKU393227:TLE393229 TUQ393227:TVA393229 UEM393227:UEW393229 UOI393227:UOS393229 UYE393227:UYO393229 VIA393227:VIK393229 VRW393227:VSG393229 WBS393227:WCC393229 WLO393227:WLY393229 WVK393227:WVU393229 C458763:M458765 IY458763:JI458765 SU458763:TE458765 ACQ458763:ADA458765 AMM458763:AMW458765 AWI458763:AWS458765 BGE458763:BGO458765 BQA458763:BQK458765 BZW458763:CAG458765 CJS458763:CKC458765 CTO458763:CTY458765 DDK458763:DDU458765 DNG458763:DNQ458765 DXC458763:DXM458765 EGY458763:EHI458765 EQU458763:ERE458765 FAQ458763:FBA458765 FKM458763:FKW458765 FUI458763:FUS458765 GEE458763:GEO458765 GOA458763:GOK458765 GXW458763:GYG458765 HHS458763:HIC458765 HRO458763:HRY458765 IBK458763:IBU458765 ILG458763:ILQ458765 IVC458763:IVM458765 JEY458763:JFI458765 JOU458763:JPE458765 JYQ458763:JZA458765 KIM458763:KIW458765 KSI458763:KSS458765 LCE458763:LCO458765 LMA458763:LMK458765 LVW458763:LWG458765 MFS458763:MGC458765 MPO458763:MPY458765 MZK458763:MZU458765 NJG458763:NJQ458765 NTC458763:NTM458765 OCY458763:ODI458765 OMU458763:ONE458765 OWQ458763:OXA458765 PGM458763:PGW458765 PQI458763:PQS458765 QAE458763:QAO458765 QKA458763:QKK458765 QTW458763:QUG458765 RDS458763:REC458765 RNO458763:RNY458765 RXK458763:RXU458765 SHG458763:SHQ458765 SRC458763:SRM458765 TAY458763:TBI458765 TKU458763:TLE458765 TUQ458763:TVA458765 UEM458763:UEW458765 UOI458763:UOS458765 UYE458763:UYO458765 VIA458763:VIK458765 VRW458763:VSG458765 WBS458763:WCC458765 WLO458763:WLY458765 WVK458763:WVU458765 C524299:M524301 IY524299:JI524301 SU524299:TE524301 ACQ524299:ADA524301 AMM524299:AMW524301 AWI524299:AWS524301 BGE524299:BGO524301 BQA524299:BQK524301 BZW524299:CAG524301 CJS524299:CKC524301 CTO524299:CTY524301 DDK524299:DDU524301 DNG524299:DNQ524301 DXC524299:DXM524301 EGY524299:EHI524301 EQU524299:ERE524301 FAQ524299:FBA524301 FKM524299:FKW524301 FUI524299:FUS524301 GEE524299:GEO524301 GOA524299:GOK524301 GXW524299:GYG524301 HHS524299:HIC524301 HRO524299:HRY524301 IBK524299:IBU524301 ILG524299:ILQ524301 IVC524299:IVM524301 JEY524299:JFI524301 JOU524299:JPE524301 JYQ524299:JZA524301 KIM524299:KIW524301 KSI524299:KSS524301 LCE524299:LCO524301 LMA524299:LMK524301 LVW524299:LWG524301 MFS524299:MGC524301 MPO524299:MPY524301 MZK524299:MZU524301 NJG524299:NJQ524301 NTC524299:NTM524301 OCY524299:ODI524301 OMU524299:ONE524301 OWQ524299:OXA524301 PGM524299:PGW524301 PQI524299:PQS524301 QAE524299:QAO524301 QKA524299:QKK524301 QTW524299:QUG524301 RDS524299:REC524301 RNO524299:RNY524301 RXK524299:RXU524301 SHG524299:SHQ524301 SRC524299:SRM524301 TAY524299:TBI524301 TKU524299:TLE524301 TUQ524299:TVA524301 UEM524299:UEW524301 UOI524299:UOS524301 UYE524299:UYO524301 VIA524299:VIK524301 VRW524299:VSG524301 WBS524299:WCC524301 WLO524299:WLY524301 WVK524299:WVU524301 C589835:M589837 IY589835:JI589837 SU589835:TE589837 ACQ589835:ADA589837 AMM589835:AMW589837 AWI589835:AWS589837 BGE589835:BGO589837 BQA589835:BQK589837 BZW589835:CAG589837 CJS589835:CKC589837 CTO589835:CTY589837 DDK589835:DDU589837 DNG589835:DNQ589837 DXC589835:DXM589837 EGY589835:EHI589837 EQU589835:ERE589837 FAQ589835:FBA589837 FKM589835:FKW589837 FUI589835:FUS589837 GEE589835:GEO589837 GOA589835:GOK589837 GXW589835:GYG589837 HHS589835:HIC589837 HRO589835:HRY589837 IBK589835:IBU589837 ILG589835:ILQ589837 IVC589835:IVM589837 JEY589835:JFI589837 JOU589835:JPE589837 JYQ589835:JZA589837 KIM589835:KIW589837 KSI589835:KSS589837 LCE589835:LCO589837 LMA589835:LMK589837 LVW589835:LWG589837 MFS589835:MGC589837 MPO589835:MPY589837 MZK589835:MZU589837 NJG589835:NJQ589837 NTC589835:NTM589837 OCY589835:ODI589837 OMU589835:ONE589837 OWQ589835:OXA589837 PGM589835:PGW589837 PQI589835:PQS589837 QAE589835:QAO589837 QKA589835:QKK589837 QTW589835:QUG589837 RDS589835:REC589837 RNO589835:RNY589837 RXK589835:RXU589837 SHG589835:SHQ589837 SRC589835:SRM589837 TAY589835:TBI589837 TKU589835:TLE589837 TUQ589835:TVA589837 UEM589835:UEW589837 UOI589835:UOS589837 UYE589835:UYO589837 VIA589835:VIK589837 VRW589835:VSG589837 WBS589835:WCC589837 WLO589835:WLY589837 WVK589835:WVU589837 C655371:M655373 IY655371:JI655373 SU655371:TE655373 ACQ655371:ADA655373 AMM655371:AMW655373 AWI655371:AWS655373 BGE655371:BGO655373 BQA655371:BQK655373 BZW655371:CAG655373 CJS655371:CKC655373 CTO655371:CTY655373 DDK655371:DDU655373 DNG655371:DNQ655373 DXC655371:DXM655373 EGY655371:EHI655373 EQU655371:ERE655373 FAQ655371:FBA655373 FKM655371:FKW655373 FUI655371:FUS655373 GEE655371:GEO655373 GOA655371:GOK655373 GXW655371:GYG655373 HHS655371:HIC655373 HRO655371:HRY655373 IBK655371:IBU655373 ILG655371:ILQ655373 IVC655371:IVM655373 JEY655371:JFI655373 JOU655371:JPE655373 JYQ655371:JZA655373 KIM655371:KIW655373 KSI655371:KSS655373 LCE655371:LCO655373 LMA655371:LMK655373 LVW655371:LWG655373 MFS655371:MGC655373 MPO655371:MPY655373 MZK655371:MZU655373 NJG655371:NJQ655373 NTC655371:NTM655373 OCY655371:ODI655373 OMU655371:ONE655373 OWQ655371:OXA655373 PGM655371:PGW655373 PQI655371:PQS655373 QAE655371:QAO655373 QKA655371:QKK655373 QTW655371:QUG655373 RDS655371:REC655373 RNO655371:RNY655373 RXK655371:RXU655373 SHG655371:SHQ655373 SRC655371:SRM655373 TAY655371:TBI655373 TKU655371:TLE655373 TUQ655371:TVA655373 UEM655371:UEW655373 UOI655371:UOS655373 UYE655371:UYO655373 VIA655371:VIK655373 VRW655371:VSG655373 WBS655371:WCC655373 WLO655371:WLY655373 WVK655371:WVU655373 C720907:M720909 IY720907:JI720909 SU720907:TE720909 ACQ720907:ADA720909 AMM720907:AMW720909 AWI720907:AWS720909 BGE720907:BGO720909 BQA720907:BQK720909 BZW720907:CAG720909 CJS720907:CKC720909 CTO720907:CTY720909 DDK720907:DDU720909 DNG720907:DNQ720909 DXC720907:DXM720909 EGY720907:EHI720909 EQU720907:ERE720909 FAQ720907:FBA720909 FKM720907:FKW720909 FUI720907:FUS720909 GEE720907:GEO720909 GOA720907:GOK720909 GXW720907:GYG720909 HHS720907:HIC720909 HRO720907:HRY720909 IBK720907:IBU720909 ILG720907:ILQ720909 IVC720907:IVM720909 JEY720907:JFI720909 JOU720907:JPE720909 JYQ720907:JZA720909 KIM720907:KIW720909 KSI720907:KSS720909 LCE720907:LCO720909 LMA720907:LMK720909 LVW720907:LWG720909 MFS720907:MGC720909 MPO720907:MPY720909 MZK720907:MZU720909 NJG720907:NJQ720909 NTC720907:NTM720909 OCY720907:ODI720909 OMU720907:ONE720909 OWQ720907:OXA720909 PGM720907:PGW720909 PQI720907:PQS720909 QAE720907:QAO720909 QKA720907:QKK720909 QTW720907:QUG720909 RDS720907:REC720909 RNO720907:RNY720909 RXK720907:RXU720909 SHG720907:SHQ720909 SRC720907:SRM720909 TAY720907:TBI720909 TKU720907:TLE720909 TUQ720907:TVA720909 UEM720907:UEW720909 UOI720907:UOS720909 UYE720907:UYO720909 VIA720907:VIK720909 VRW720907:VSG720909 WBS720907:WCC720909 WLO720907:WLY720909 WVK720907:WVU720909 C786443:M786445 IY786443:JI786445 SU786443:TE786445 ACQ786443:ADA786445 AMM786443:AMW786445 AWI786443:AWS786445 BGE786443:BGO786445 BQA786443:BQK786445 BZW786443:CAG786445 CJS786443:CKC786445 CTO786443:CTY786445 DDK786443:DDU786445 DNG786443:DNQ786445 DXC786443:DXM786445 EGY786443:EHI786445 EQU786443:ERE786445 FAQ786443:FBA786445 FKM786443:FKW786445 FUI786443:FUS786445 GEE786443:GEO786445 GOA786443:GOK786445 GXW786443:GYG786445 HHS786443:HIC786445 HRO786443:HRY786445 IBK786443:IBU786445 ILG786443:ILQ786445 IVC786443:IVM786445 JEY786443:JFI786445 JOU786443:JPE786445 JYQ786443:JZA786445 KIM786443:KIW786445 KSI786443:KSS786445 LCE786443:LCO786445 LMA786443:LMK786445 LVW786443:LWG786445 MFS786443:MGC786445 MPO786443:MPY786445 MZK786443:MZU786445 NJG786443:NJQ786445 NTC786443:NTM786445 OCY786443:ODI786445 OMU786443:ONE786445 OWQ786443:OXA786445 PGM786443:PGW786445 PQI786443:PQS786445 QAE786443:QAO786445 QKA786443:QKK786445 QTW786443:QUG786445 RDS786443:REC786445 RNO786443:RNY786445 RXK786443:RXU786445 SHG786443:SHQ786445 SRC786443:SRM786445 TAY786443:TBI786445 TKU786443:TLE786445 TUQ786443:TVA786445 UEM786443:UEW786445 UOI786443:UOS786445 UYE786443:UYO786445 VIA786443:VIK786445 VRW786443:VSG786445 WBS786443:WCC786445 WLO786443:WLY786445 WVK786443:WVU786445 C851979:M851981 IY851979:JI851981 SU851979:TE851981 ACQ851979:ADA851981 AMM851979:AMW851981 AWI851979:AWS851981 BGE851979:BGO851981 BQA851979:BQK851981 BZW851979:CAG851981 CJS851979:CKC851981 CTO851979:CTY851981 DDK851979:DDU851981 DNG851979:DNQ851981 DXC851979:DXM851981 EGY851979:EHI851981 EQU851979:ERE851981 FAQ851979:FBA851981 FKM851979:FKW851981 FUI851979:FUS851981 GEE851979:GEO851981 GOA851979:GOK851981 GXW851979:GYG851981 HHS851979:HIC851981 HRO851979:HRY851981 IBK851979:IBU851981 ILG851979:ILQ851981 IVC851979:IVM851981 JEY851979:JFI851981 JOU851979:JPE851981 JYQ851979:JZA851981 KIM851979:KIW851981 KSI851979:KSS851981 LCE851979:LCO851981 LMA851979:LMK851981 LVW851979:LWG851981 MFS851979:MGC851981 MPO851979:MPY851981 MZK851979:MZU851981 NJG851979:NJQ851981 NTC851979:NTM851981 OCY851979:ODI851981 OMU851979:ONE851981 OWQ851979:OXA851981 PGM851979:PGW851981 PQI851979:PQS851981 QAE851979:QAO851981 QKA851979:QKK851981 QTW851979:QUG851981 RDS851979:REC851981 RNO851979:RNY851981 RXK851979:RXU851981 SHG851979:SHQ851981 SRC851979:SRM851981 TAY851979:TBI851981 TKU851979:TLE851981 TUQ851979:TVA851981 UEM851979:UEW851981 UOI851979:UOS851981 UYE851979:UYO851981 VIA851979:VIK851981 VRW851979:VSG851981 WBS851979:WCC851981 WLO851979:WLY851981 WVK851979:WVU851981 C917515:M917517 IY917515:JI917517 SU917515:TE917517 ACQ917515:ADA917517 AMM917515:AMW917517 AWI917515:AWS917517 BGE917515:BGO917517 BQA917515:BQK917517 BZW917515:CAG917517 CJS917515:CKC917517 CTO917515:CTY917517 DDK917515:DDU917517 DNG917515:DNQ917517 DXC917515:DXM917517 EGY917515:EHI917517 EQU917515:ERE917517 FAQ917515:FBA917517 FKM917515:FKW917517 FUI917515:FUS917517 GEE917515:GEO917517 GOA917515:GOK917517 GXW917515:GYG917517 HHS917515:HIC917517 HRO917515:HRY917517 IBK917515:IBU917517 ILG917515:ILQ917517 IVC917515:IVM917517 JEY917515:JFI917517 JOU917515:JPE917517 JYQ917515:JZA917517 KIM917515:KIW917517 KSI917515:KSS917517 LCE917515:LCO917517 LMA917515:LMK917517 LVW917515:LWG917517 MFS917515:MGC917517 MPO917515:MPY917517 MZK917515:MZU917517 NJG917515:NJQ917517 NTC917515:NTM917517 OCY917515:ODI917517 OMU917515:ONE917517 OWQ917515:OXA917517 PGM917515:PGW917517 PQI917515:PQS917517 QAE917515:QAO917517 QKA917515:QKK917517 QTW917515:QUG917517 RDS917515:REC917517 RNO917515:RNY917517 RXK917515:RXU917517 SHG917515:SHQ917517 SRC917515:SRM917517 TAY917515:TBI917517 TKU917515:TLE917517 TUQ917515:TVA917517 UEM917515:UEW917517 UOI917515:UOS917517 UYE917515:UYO917517 VIA917515:VIK917517 VRW917515:VSG917517 WBS917515:WCC917517 WLO917515:WLY917517 WVK917515:WVU917517 C983051:M983053 IY983051:JI983053 SU983051:TE983053 ACQ983051:ADA983053 AMM983051:AMW983053 AWI983051:AWS983053 BGE983051:BGO983053 BQA983051:BQK983053 BZW983051:CAG983053 CJS983051:CKC983053 CTO983051:CTY983053 DDK983051:DDU983053 DNG983051:DNQ983053 DXC983051:DXM983053 EGY983051:EHI983053 EQU983051:ERE983053 FAQ983051:FBA983053 FKM983051:FKW983053 FUI983051:FUS983053 GEE983051:GEO983053 GOA983051:GOK983053 GXW983051:GYG983053 HHS983051:HIC983053 HRO983051:HRY983053 IBK983051:IBU983053 ILG983051:ILQ983053 IVC983051:IVM983053 JEY983051:JFI983053 JOU983051:JPE983053 JYQ983051:JZA983053 KIM983051:KIW983053 KSI983051:KSS983053 LCE983051:LCO983053 LMA983051:LMK983053 LVW983051:LWG983053 MFS983051:MGC983053 MPO983051:MPY983053 MZK983051:MZU983053 NJG983051:NJQ983053 NTC983051:NTM983053 OCY983051:ODI983053 OMU983051:ONE983053 OWQ983051:OXA983053 PGM983051:PGW983053 PQI983051:PQS983053 QAE983051:QAO983053 QKA983051:QKK983053 QTW983051:QUG983053 RDS983051:REC983053 RNO983051:RNY983053 RXK983051:RXU983053 SHG983051:SHQ983053 SRC983051:SRM983053 TAY983051:TBI983053 TKU983051:TLE983053 TUQ983051:TVA983053 UEM983051:UEW983053 UOI983051:UOS983053 UYE983051:UYO983053 VIA983051:VIK983053 VRW983051:VSG983053 WBS983051:WCC983053 WLO983051:WLY983053 WVK983051:WVU983053 B4:B14 IX4:IX14 ST4:ST14 ACP4:ACP14 AML4:AML14 AWH4:AWH14 BGD4:BGD14 BPZ4:BPZ14 BZV4:BZV14 CJR4:CJR14 CTN4:CTN14 DDJ4:DDJ14 DNF4:DNF14 DXB4:DXB14 EGX4:EGX14 EQT4:EQT14 FAP4:FAP14 FKL4:FKL14 FUH4:FUH14 GED4:GED14 GNZ4:GNZ14 GXV4:GXV14 HHR4:HHR14 HRN4:HRN14 IBJ4:IBJ14 ILF4:ILF14 IVB4:IVB14 JEX4:JEX14 JOT4:JOT14 JYP4:JYP14 KIL4:KIL14 KSH4:KSH14 LCD4:LCD14 LLZ4:LLZ14 LVV4:LVV14 MFR4:MFR14 MPN4:MPN14 MZJ4:MZJ14 NJF4:NJF14 NTB4:NTB14 OCX4:OCX14 OMT4:OMT14 OWP4:OWP14 PGL4:PGL14 PQH4:PQH14 QAD4:QAD14 QJZ4:QJZ14 QTV4:QTV14 RDR4:RDR14 RNN4:RNN14 RXJ4:RXJ14 SHF4:SHF14 SRB4:SRB14 TAX4:TAX14 TKT4:TKT14 TUP4:TUP14 UEL4:UEL14 UOH4:UOH14 UYD4:UYD14 VHZ4:VHZ14 VRV4:VRV14 WBR4:WBR14 WLN4:WLN14 WVJ4:WVJ14 B65540:B65550 IX65540:IX65550 ST65540:ST65550 ACP65540:ACP65550 AML65540:AML65550 AWH65540:AWH65550 BGD65540:BGD65550 BPZ65540:BPZ65550 BZV65540:BZV65550 CJR65540:CJR65550 CTN65540:CTN65550 DDJ65540:DDJ65550 DNF65540:DNF65550 DXB65540:DXB65550 EGX65540:EGX65550 EQT65540:EQT65550 FAP65540:FAP65550 FKL65540:FKL65550 FUH65540:FUH65550 GED65540:GED65550 GNZ65540:GNZ65550 GXV65540:GXV65550 HHR65540:HHR65550 HRN65540:HRN65550 IBJ65540:IBJ65550 ILF65540:ILF65550 IVB65540:IVB65550 JEX65540:JEX65550 JOT65540:JOT65550 JYP65540:JYP65550 KIL65540:KIL65550 KSH65540:KSH65550 LCD65540:LCD65550 LLZ65540:LLZ65550 LVV65540:LVV65550 MFR65540:MFR65550 MPN65540:MPN65550 MZJ65540:MZJ65550 NJF65540:NJF65550 NTB65540:NTB65550 OCX65540:OCX65550 OMT65540:OMT65550 OWP65540:OWP65550 PGL65540:PGL65550 PQH65540:PQH65550 QAD65540:QAD65550 QJZ65540:QJZ65550 QTV65540:QTV65550 RDR65540:RDR65550 RNN65540:RNN65550 RXJ65540:RXJ65550 SHF65540:SHF65550 SRB65540:SRB65550 TAX65540:TAX65550 TKT65540:TKT65550 TUP65540:TUP65550 UEL65540:UEL65550 UOH65540:UOH65550 UYD65540:UYD65550 VHZ65540:VHZ65550 VRV65540:VRV65550 WBR65540:WBR65550 WLN65540:WLN65550 WVJ65540:WVJ65550 B131076:B131086 IX131076:IX131086 ST131076:ST131086 ACP131076:ACP131086 AML131076:AML131086 AWH131076:AWH131086 BGD131076:BGD131086 BPZ131076:BPZ131086 BZV131076:BZV131086 CJR131076:CJR131086 CTN131076:CTN131086 DDJ131076:DDJ131086 DNF131076:DNF131086 DXB131076:DXB131086 EGX131076:EGX131086 EQT131076:EQT131086 FAP131076:FAP131086 FKL131076:FKL131086 FUH131076:FUH131086 GED131076:GED131086 GNZ131076:GNZ131086 GXV131076:GXV131086 HHR131076:HHR131086 HRN131076:HRN131086 IBJ131076:IBJ131086 ILF131076:ILF131086 IVB131076:IVB131086 JEX131076:JEX131086 JOT131076:JOT131086 JYP131076:JYP131086 KIL131076:KIL131086 KSH131076:KSH131086 LCD131076:LCD131086 LLZ131076:LLZ131086 LVV131076:LVV131086 MFR131076:MFR131086 MPN131076:MPN131086 MZJ131076:MZJ131086 NJF131076:NJF131086 NTB131076:NTB131086 OCX131076:OCX131086 OMT131076:OMT131086 OWP131076:OWP131086 PGL131076:PGL131086 PQH131076:PQH131086 QAD131076:QAD131086 QJZ131076:QJZ131086 QTV131076:QTV131086 RDR131076:RDR131086 RNN131076:RNN131086 RXJ131076:RXJ131086 SHF131076:SHF131086 SRB131076:SRB131086 TAX131076:TAX131086 TKT131076:TKT131086 TUP131076:TUP131086 UEL131076:UEL131086 UOH131076:UOH131086 UYD131076:UYD131086 VHZ131076:VHZ131086 VRV131076:VRV131086 WBR131076:WBR131086 WLN131076:WLN131086 WVJ131076:WVJ131086 B196612:B196622 IX196612:IX196622 ST196612:ST196622 ACP196612:ACP196622 AML196612:AML196622 AWH196612:AWH196622 BGD196612:BGD196622 BPZ196612:BPZ196622 BZV196612:BZV196622 CJR196612:CJR196622 CTN196612:CTN196622 DDJ196612:DDJ196622 DNF196612:DNF196622 DXB196612:DXB196622 EGX196612:EGX196622 EQT196612:EQT196622 FAP196612:FAP196622 FKL196612:FKL196622 FUH196612:FUH196622 GED196612:GED196622 GNZ196612:GNZ196622 GXV196612:GXV196622 HHR196612:HHR196622 HRN196612:HRN196622 IBJ196612:IBJ196622 ILF196612:ILF196622 IVB196612:IVB196622 JEX196612:JEX196622 JOT196612:JOT196622 JYP196612:JYP196622 KIL196612:KIL196622 KSH196612:KSH196622 LCD196612:LCD196622 LLZ196612:LLZ196622 LVV196612:LVV196622 MFR196612:MFR196622 MPN196612:MPN196622 MZJ196612:MZJ196622 NJF196612:NJF196622 NTB196612:NTB196622 OCX196612:OCX196622 OMT196612:OMT196622 OWP196612:OWP196622 PGL196612:PGL196622 PQH196612:PQH196622 QAD196612:QAD196622 QJZ196612:QJZ196622 QTV196612:QTV196622 RDR196612:RDR196622 RNN196612:RNN196622 RXJ196612:RXJ196622 SHF196612:SHF196622 SRB196612:SRB196622 TAX196612:TAX196622 TKT196612:TKT196622 TUP196612:TUP196622 UEL196612:UEL196622 UOH196612:UOH196622 UYD196612:UYD196622 VHZ196612:VHZ196622 VRV196612:VRV196622 WBR196612:WBR196622 WLN196612:WLN196622 WVJ196612:WVJ196622 B262148:B262158 IX262148:IX262158 ST262148:ST262158 ACP262148:ACP262158 AML262148:AML262158 AWH262148:AWH262158 BGD262148:BGD262158 BPZ262148:BPZ262158 BZV262148:BZV262158 CJR262148:CJR262158 CTN262148:CTN262158 DDJ262148:DDJ262158 DNF262148:DNF262158 DXB262148:DXB262158 EGX262148:EGX262158 EQT262148:EQT262158 FAP262148:FAP262158 FKL262148:FKL262158 FUH262148:FUH262158 GED262148:GED262158 GNZ262148:GNZ262158 GXV262148:GXV262158 HHR262148:HHR262158 HRN262148:HRN262158 IBJ262148:IBJ262158 ILF262148:ILF262158 IVB262148:IVB262158 JEX262148:JEX262158 JOT262148:JOT262158 JYP262148:JYP262158 KIL262148:KIL262158 KSH262148:KSH262158 LCD262148:LCD262158 LLZ262148:LLZ262158 LVV262148:LVV262158 MFR262148:MFR262158 MPN262148:MPN262158 MZJ262148:MZJ262158 NJF262148:NJF262158 NTB262148:NTB262158 OCX262148:OCX262158 OMT262148:OMT262158 OWP262148:OWP262158 PGL262148:PGL262158 PQH262148:PQH262158 QAD262148:QAD262158 QJZ262148:QJZ262158 QTV262148:QTV262158 RDR262148:RDR262158 RNN262148:RNN262158 RXJ262148:RXJ262158 SHF262148:SHF262158 SRB262148:SRB262158 TAX262148:TAX262158 TKT262148:TKT262158 TUP262148:TUP262158 UEL262148:UEL262158 UOH262148:UOH262158 UYD262148:UYD262158 VHZ262148:VHZ262158 VRV262148:VRV262158 WBR262148:WBR262158 WLN262148:WLN262158 WVJ262148:WVJ262158 B327684:B327694 IX327684:IX327694 ST327684:ST327694 ACP327684:ACP327694 AML327684:AML327694 AWH327684:AWH327694 BGD327684:BGD327694 BPZ327684:BPZ327694 BZV327684:BZV327694 CJR327684:CJR327694 CTN327684:CTN327694 DDJ327684:DDJ327694 DNF327684:DNF327694 DXB327684:DXB327694 EGX327684:EGX327694 EQT327684:EQT327694 FAP327684:FAP327694 FKL327684:FKL327694 FUH327684:FUH327694 GED327684:GED327694 GNZ327684:GNZ327694 GXV327684:GXV327694 HHR327684:HHR327694 HRN327684:HRN327694 IBJ327684:IBJ327694 ILF327684:ILF327694 IVB327684:IVB327694 JEX327684:JEX327694 JOT327684:JOT327694 JYP327684:JYP327694 KIL327684:KIL327694 KSH327684:KSH327694 LCD327684:LCD327694 LLZ327684:LLZ327694 LVV327684:LVV327694 MFR327684:MFR327694 MPN327684:MPN327694 MZJ327684:MZJ327694 NJF327684:NJF327694 NTB327684:NTB327694 OCX327684:OCX327694 OMT327684:OMT327694 OWP327684:OWP327694 PGL327684:PGL327694 PQH327684:PQH327694 QAD327684:QAD327694 QJZ327684:QJZ327694 QTV327684:QTV327694 RDR327684:RDR327694 RNN327684:RNN327694 RXJ327684:RXJ327694 SHF327684:SHF327694 SRB327684:SRB327694 TAX327684:TAX327694 TKT327684:TKT327694 TUP327684:TUP327694 UEL327684:UEL327694 UOH327684:UOH327694 UYD327684:UYD327694 VHZ327684:VHZ327694 VRV327684:VRV327694 WBR327684:WBR327694 WLN327684:WLN327694 WVJ327684:WVJ327694 B393220:B393230 IX393220:IX393230 ST393220:ST393230 ACP393220:ACP393230 AML393220:AML393230 AWH393220:AWH393230 BGD393220:BGD393230 BPZ393220:BPZ393230 BZV393220:BZV393230 CJR393220:CJR393230 CTN393220:CTN393230 DDJ393220:DDJ393230 DNF393220:DNF393230 DXB393220:DXB393230 EGX393220:EGX393230 EQT393220:EQT393230 FAP393220:FAP393230 FKL393220:FKL393230 FUH393220:FUH393230 GED393220:GED393230 GNZ393220:GNZ393230 GXV393220:GXV393230 HHR393220:HHR393230 HRN393220:HRN393230 IBJ393220:IBJ393230 ILF393220:ILF393230 IVB393220:IVB393230 JEX393220:JEX393230 JOT393220:JOT393230 JYP393220:JYP393230 KIL393220:KIL393230 KSH393220:KSH393230 LCD393220:LCD393230 LLZ393220:LLZ393230 LVV393220:LVV393230 MFR393220:MFR393230 MPN393220:MPN393230 MZJ393220:MZJ393230 NJF393220:NJF393230 NTB393220:NTB393230 OCX393220:OCX393230 OMT393220:OMT393230 OWP393220:OWP393230 PGL393220:PGL393230 PQH393220:PQH393230 QAD393220:QAD393230 QJZ393220:QJZ393230 QTV393220:QTV393230 RDR393220:RDR393230 RNN393220:RNN393230 RXJ393220:RXJ393230 SHF393220:SHF393230 SRB393220:SRB393230 TAX393220:TAX393230 TKT393220:TKT393230 TUP393220:TUP393230 UEL393220:UEL393230 UOH393220:UOH393230 UYD393220:UYD393230 VHZ393220:VHZ393230 VRV393220:VRV393230 WBR393220:WBR393230 WLN393220:WLN393230 WVJ393220:WVJ393230 B458756:B458766 IX458756:IX458766 ST458756:ST458766 ACP458756:ACP458766 AML458756:AML458766 AWH458756:AWH458766 BGD458756:BGD458766 BPZ458756:BPZ458766 BZV458756:BZV458766 CJR458756:CJR458766 CTN458756:CTN458766 DDJ458756:DDJ458766 DNF458756:DNF458766 DXB458756:DXB458766 EGX458756:EGX458766 EQT458756:EQT458766 FAP458756:FAP458766 FKL458756:FKL458766 FUH458756:FUH458766 GED458756:GED458766 GNZ458756:GNZ458766 GXV458756:GXV458766 HHR458756:HHR458766 HRN458756:HRN458766 IBJ458756:IBJ458766 ILF458756:ILF458766 IVB458756:IVB458766 JEX458756:JEX458766 JOT458756:JOT458766 JYP458756:JYP458766 KIL458756:KIL458766 KSH458756:KSH458766 LCD458756:LCD458766 LLZ458756:LLZ458766 LVV458756:LVV458766 MFR458756:MFR458766 MPN458756:MPN458766 MZJ458756:MZJ458766 NJF458756:NJF458766 NTB458756:NTB458766 OCX458756:OCX458766 OMT458756:OMT458766 OWP458756:OWP458766 PGL458756:PGL458766 PQH458756:PQH458766 QAD458756:QAD458766 QJZ458756:QJZ458766 QTV458756:QTV458766 RDR458756:RDR458766 RNN458756:RNN458766 RXJ458756:RXJ458766 SHF458756:SHF458766 SRB458756:SRB458766 TAX458756:TAX458766 TKT458756:TKT458766 TUP458756:TUP458766 UEL458756:UEL458766 UOH458756:UOH458766 UYD458756:UYD458766 VHZ458756:VHZ458766 VRV458756:VRV458766 WBR458756:WBR458766 WLN458756:WLN458766 WVJ458756:WVJ458766 B524292:B524302 IX524292:IX524302 ST524292:ST524302 ACP524292:ACP524302 AML524292:AML524302 AWH524292:AWH524302 BGD524292:BGD524302 BPZ524292:BPZ524302 BZV524292:BZV524302 CJR524292:CJR524302 CTN524292:CTN524302 DDJ524292:DDJ524302 DNF524292:DNF524302 DXB524292:DXB524302 EGX524292:EGX524302 EQT524292:EQT524302 FAP524292:FAP524302 FKL524292:FKL524302 FUH524292:FUH524302 GED524292:GED524302 GNZ524292:GNZ524302 GXV524292:GXV524302 HHR524292:HHR524302 HRN524292:HRN524302 IBJ524292:IBJ524302 ILF524292:ILF524302 IVB524292:IVB524302 JEX524292:JEX524302 JOT524292:JOT524302 JYP524292:JYP524302 KIL524292:KIL524302 KSH524292:KSH524302 LCD524292:LCD524302 LLZ524292:LLZ524302 LVV524292:LVV524302 MFR524292:MFR524302 MPN524292:MPN524302 MZJ524292:MZJ524302 NJF524292:NJF524302 NTB524292:NTB524302 OCX524292:OCX524302 OMT524292:OMT524302 OWP524292:OWP524302 PGL524292:PGL524302 PQH524292:PQH524302 QAD524292:QAD524302 QJZ524292:QJZ524302 QTV524292:QTV524302 RDR524292:RDR524302 RNN524292:RNN524302 RXJ524292:RXJ524302 SHF524292:SHF524302 SRB524292:SRB524302 TAX524292:TAX524302 TKT524292:TKT524302 TUP524292:TUP524302 UEL524292:UEL524302 UOH524292:UOH524302 UYD524292:UYD524302 VHZ524292:VHZ524302 VRV524292:VRV524302 WBR524292:WBR524302 WLN524292:WLN524302 WVJ524292:WVJ524302 B589828:B589838 IX589828:IX589838 ST589828:ST589838 ACP589828:ACP589838 AML589828:AML589838 AWH589828:AWH589838 BGD589828:BGD589838 BPZ589828:BPZ589838 BZV589828:BZV589838 CJR589828:CJR589838 CTN589828:CTN589838 DDJ589828:DDJ589838 DNF589828:DNF589838 DXB589828:DXB589838 EGX589828:EGX589838 EQT589828:EQT589838 FAP589828:FAP589838 FKL589828:FKL589838 FUH589828:FUH589838 GED589828:GED589838 GNZ589828:GNZ589838 GXV589828:GXV589838 HHR589828:HHR589838 HRN589828:HRN589838 IBJ589828:IBJ589838 ILF589828:ILF589838 IVB589828:IVB589838 JEX589828:JEX589838 JOT589828:JOT589838 JYP589828:JYP589838 KIL589828:KIL589838 KSH589828:KSH589838 LCD589828:LCD589838 LLZ589828:LLZ589838 LVV589828:LVV589838 MFR589828:MFR589838 MPN589828:MPN589838 MZJ589828:MZJ589838 NJF589828:NJF589838 NTB589828:NTB589838 OCX589828:OCX589838 OMT589828:OMT589838 OWP589828:OWP589838 PGL589828:PGL589838 PQH589828:PQH589838 QAD589828:QAD589838 QJZ589828:QJZ589838 QTV589828:QTV589838 RDR589828:RDR589838 RNN589828:RNN589838 RXJ589828:RXJ589838 SHF589828:SHF589838 SRB589828:SRB589838 TAX589828:TAX589838 TKT589828:TKT589838 TUP589828:TUP589838 UEL589828:UEL589838 UOH589828:UOH589838 UYD589828:UYD589838 VHZ589828:VHZ589838 VRV589828:VRV589838 WBR589828:WBR589838 WLN589828:WLN589838 WVJ589828:WVJ589838 B655364:B655374 IX655364:IX655374 ST655364:ST655374 ACP655364:ACP655374 AML655364:AML655374 AWH655364:AWH655374 BGD655364:BGD655374 BPZ655364:BPZ655374 BZV655364:BZV655374 CJR655364:CJR655374 CTN655364:CTN655374 DDJ655364:DDJ655374 DNF655364:DNF655374 DXB655364:DXB655374 EGX655364:EGX655374 EQT655364:EQT655374 FAP655364:FAP655374 FKL655364:FKL655374 FUH655364:FUH655374 GED655364:GED655374 GNZ655364:GNZ655374 GXV655364:GXV655374 HHR655364:HHR655374 HRN655364:HRN655374 IBJ655364:IBJ655374 ILF655364:ILF655374 IVB655364:IVB655374 JEX655364:JEX655374 JOT655364:JOT655374 JYP655364:JYP655374 KIL655364:KIL655374 KSH655364:KSH655374 LCD655364:LCD655374 LLZ655364:LLZ655374 LVV655364:LVV655374 MFR655364:MFR655374 MPN655364:MPN655374 MZJ655364:MZJ655374 NJF655364:NJF655374 NTB655364:NTB655374 OCX655364:OCX655374 OMT655364:OMT655374 OWP655364:OWP655374 PGL655364:PGL655374 PQH655364:PQH655374 QAD655364:QAD655374 QJZ655364:QJZ655374 QTV655364:QTV655374 RDR655364:RDR655374 RNN655364:RNN655374 RXJ655364:RXJ655374 SHF655364:SHF655374 SRB655364:SRB655374 TAX655364:TAX655374 TKT655364:TKT655374 TUP655364:TUP655374 UEL655364:UEL655374 UOH655364:UOH655374 UYD655364:UYD655374 VHZ655364:VHZ655374 VRV655364:VRV655374 WBR655364:WBR655374 WLN655364:WLN655374 WVJ655364:WVJ655374 B720900:B720910 IX720900:IX720910 ST720900:ST720910 ACP720900:ACP720910 AML720900:AML720910 AWH720900:AWH720910 BGD720900:BGD720910 BPZ720900:BPZ720910 BZV720900:BZV720910 CJR720900:CJR720910 CTN720900:CTN720910 DDJ720900:DDJ720910 DNF720900:DNF720910 DXB720900:DXB720910 EGX720900:EGX720910 EQT720900:EQT720910 FAP720900:FAP720910 FKL720900:FKL720910 FUH720900:FUH720910 GED720900:GED720910 GNZ720900:GNZ720910 GXV720900:GXV720910 HHR720900:HHR720910 HRN720900:HRN720910 IBJ720900:IBJ720910 ILF720900:ILF720910 IVB720900:IVB720910 JEX720900:JEX720910 JOT720900:JOT720910 JYP720900:JYP720910 KIL720900:KIL720910 KSH720900:KSH720910 LCD720900:LCD720910 LLZ720900:LLZ720910 LVV720900:LVV720910 MFR720900:MFR720910 MPN720900:MPN720910 MZJ720900:MZJ720910 NJF720900:NJF720910 NTB720900:NTB720910 OCX720900:OCX720910 OMT720900:OMT720910 OWP720900:OWP720910 PGL720900:PGL720910 PQH720900:PQH720910 QAD720900:QAD720910 QJZ720900:QJZ720910 QTV720900:QTV720910 RDR720900:RDR720910 RNN720900:RNN720910 RXJ720900:RXJ720910 SHF720900:SHF720910 SRB720900:SRB720910 TAX720900:TAX720910 TKT720900:TKT720910 TUP720900:TUP720910 UEL720900:UEL720910 UOH720900:UOH720910 UYD720900:UYD720910 VHZ720900:VHZ720910 VRV720900:VRV720910 WBR720900:WBR720910 WLN720900:WLN720910 WVJ720900:WVJ720910 B786436:B786446 IX786436:IX786446 ST786436:ST786446 ACP786436:ACP786446 AML786436:AML786446 AWH786436:AWH786446 BGD786436:BGD786446 BPZ786436:BPZ786446 BZV786436:BZV786446 CJR786436:CJR786446 CTN786436:CTN786446 DDJ786436:DDJ786446 DNF786436:DNF786446 DXB786436:DXB786446 EGX786436:EGX786446 EQT786436:EQT786446 FAP786436:FAP786446 FKL786436:FKL786446 FUH786436:FUH786446 GED786436:GED786446 GNZ786436:GNZ786446 GXV786436:GXV786446 HHR786436:HHR786446 HRN786436:HRN786446 IBJ786436:IBJ786446 ILF786436:ILF786446 IVB786436:IVB786446 JEX786436:JEX786446 JOT786436:JOT786446 JYP786436:JYP786446 KIL786436:KIL786446 KSH786436:KSH786446 LCD786436:LCD786446 LLZ786436:LLZ786446 LVV786436:LVV786446 MFR786436:MFR786446 MPN786436:MPN786446 MZJ786436:MZJ786446 NJF786436:NJF786446 NTB786436:NTB786446 OCX786436:OCX786446 OMT786436:OMT786446 OWP786436:OWP786446 PGL786436:PGL786446 PQH786436:PQH786446 QAD786436:QAD786446 QJZ786436:QJZ786446 QTV786436:QTV786446 RDR786436:RDR786446 RNN786436:RNN786446 RXJ786436:RXJ786446 SHF786436:SHF786446 SRB786436:SRB786446 TAX786436:TAX786446 TKT786436:TKT786446 TUP786436:TUP786446 UEL786436:UEL786446 UOH786436:UOH786446 UYD786436:UYD786446 VHZ786436:VHZ786446 VRV786436:VRV786446 WBR786436:WBR786446 WLN786436:WLN786446 WVJ786436:WVJ786446 B851972:B851982 IX851972:IX851982 ST851972:ST851982 ACP851972:ACP851982 AML851972:AML851982 AWH851972:AWH851982 BGD851972:BGD851982 BPZ851972:BPZ851982 BZV851972:BZV851982 CJR851972:CJR851982 CTN851972:CTN851982 DDJ851972:DDJ851982 DNF851972:DNF851982 DXB851972:DXB851982 EGX851972:EGX851982 EQT851972:EQT851982 FAP851972:FAP851982 FKL851972:FKL851982 FUH851972:FUH851982 GED851972:GED851982 GNZ851972:GNZ851982 GXV851972:GXV851982 HHR851972:HHR851982 HRN851972:HRN851982 IBJ851972:IBJ851982 ILF851972:ILF851982 IVB851972:IVB851982 JEX851972:JEX851982 JOT851972:JOT851982 JYP851972:JYP851982 KIL851972:KIL851982 KSH851972:KSH851982 LCD851972:LCD851982 LLZ851972:LLZ851982 LVV851972:LVV851982 MFR851972:MFR851982 MPN851972:MPN851982 MZJ851972:MZJ851982 NJF851972:NJF851982 NTB851972:NTB851982 OCX851972:OCX851982 OMT851972:OMT851982 OWP851972:OWP851982 PGL851972:PGL851982 PQH851972:PQH851982 QAD851972:QAD851982 QJZ851972:QJZ851982 QTV851972:QTV851982 RDR851972:RDR851982 RNN851972:RNN851982 RXJ851972:RXJ851982 SHF851972:SHF851982 SRB851972:SRB851982 TAX851972:TAX851982 TKT851972:TKT851982 TUP851972:TUP851982 UEL851972:UEL851982 UOH851972:UOH851982 UYD851972:UYD851982 VHZ851972:VHZ851982 VRV851972:VRV851982 WBR851972:WBR851982 WLN851972:WLN851982 WVJ851972:WVJ851982 B917508:B917518 IX917508:IX917518 ST917508:ST917518 ACP917508:ACP917518 AML917508:AML917518 AWH917508:AWH917518 BGD917508:BGD917518 BPZ917508:BPZ917518 BZV917508:BZV917518 CJR917508:CJR917518 CTN917508:CTN917518 DDJ917508:DDJ917518 DNF917508:DNF917518 DXB917508:DXB917518 EGX917508:EGX917518 EQT917508:EQT917518 FAP917508:FAP917518 FKL917508:FKL917518 FUH917508:FUH917518 GED917508:GED917518 GNZ917508:GNZ917518 GXV917508:GXV917518 HHR917508:HHR917518 HRN917508:HRN917518 IBJ917508:IBJ917518 ILF917508:ILF917518 IVB917508:IVB917518 JEX917508:JEX917518 JOT917508:JOT917518 JYP917508:JYP917518 KIL917508:KIL917518 KSH917508:KSH917518 LCD917508:LCD917518 LLZ917508:LLZ917518 LVV917508:LVV917518 MFR917508:MFR917518 MPN917508:MPN917518 MZJ917508:MZJ917518 NJF917508:NJF917518 NTB917508:NTB917518 OCX917508:OCX917518 OMT917508:OMT917518 OWP917508:OWP917518 PGL917508:PGL917518 PQH917508:PQH917518 QAD917508:QAD917518 QJZ917508:QJZ917518 QTV917508:QTV917518 RDR917508:RDR917518 RNN917508:RNN917518 RXJ917508:RXJ917518 SHF917508:SHF917518 SRB917508:SRB917518 TAX917508:TAX917518 TKT917508:TKT917518 TUP917508:TUP917518 UEL917508:UEL917518 UOH917508:UOH917518 UYD917508:UYD917518 VHZ917508:VHZ917518 VRV917508:VRV917518 WBR917508:WBR917518 WLN917508:WLN917518 WVJ917508:WVJ917518 B983044:B983054 IX983044:IX983054 ST983044:ST983054 ACP983044:ACP983054 AML983044:AML983054 AWH983044:AWH983054 BGD983044:BGD983054 BPZ983044:BPZ983054 BZV983044:BZV983054 CJR983044:CJR983054 CTN983044:CTN983054 DDJ983044:DDJ983054 DNF983044:DNF983054 DXB983044:DXB983054 EGX983044:EGX983054 EQT983044:EQT983054 FAP983044:FAP983054 FKL983044:FKL983054 FUH983044:FUH983054 GED983044:GED983054 GNZ983044:GNZ983054 GXV983044:GXV983054 HHR983044:HHR983054 HRN983044:HRN983054 IBJ983044:IBJ983054 ILF983044:ILF983054 IVB983044:IVB983054 JEX983044:JEX983054 JOT983044:JOT983054 JYP983044:JYP983054 KIL983044:KIL983054 KSH983044:KSH983054 LCD983044:LCD983054 LLZ983044:LLZ983054 LVV983044:LVV983054 MFR983044:MFR983054 MPN983044:MPN983054 MZJ983044:MZJ983054 NJF983044:NJF983054 NTB983044:NTB983054 OCX983044:OCX983054 OMT983044:OMT983054 OWP983044:OWP983054 PGL983044:PGL983054 PQH983044:PQH983054 QAD983044:QAD983054 QJZ983044:QJZ983054 QTV983044:QTV983054 RDR983044:RDR983054 RNN983044:RNN983054 RXJ983044:RXJ983054 SHF983044:SHF983054 SRB983044:SRB983054 TAX983044:TAX983054 TKT983044:TKT983054 TUP983044:TUP983054 UEL983044:UEL983054 UOH983044:UOH983054 UYD983044:UYD983054 VHZ983044:VHZ983054 VRV983044:VRV983054 WBR983044:WBR983054 WLN983044:WLN983054 WVJ983044:WVJ983054 C14:J14 IY14:JF14 SU14:TB14 ACQ14:ACX14 AMM14:AMT14 AWI14:AWP14 BGE14:BGL14 BQA14:BQH14 BZW14:CAD14 CJS14:CJZ14 CTO14:CTV14 DDK14:DDR14 DNG14:DNN14 DXC14:DXJ14 EGY14:EHF14 EQU14:ERB14 FAQ14:FAX14 FKM14:FKT14 FUI14:FUP14 GEE14:GEL14 GOA14:GOH14 GXW14:GYD14 HHS14:HHZ14 HRO14:HRV14 IBK14:IBR14 ILG14:ILN14 IVC14:IVJ14 JEY14:JFF14 JOU14:JPB14 JYQ14:JYX14 KIM14:KIT14 KSI14:KSP14 LCE14:LCL14 LMA14:LMH14 LVW14:LWD14 MFS14:MFZ14 MPO14:MPV14 MZK14:MZR14 NJG14:NJN14 NTC14:NTJ14 OCY14:ODF14 OMU14:ONB14 OWQ14:OWX14 PGM14:PGT14 PQI14:PQP14 QAE14:QAL14 QKA14:QKH14 QTW14:QUD14 RDS14:RDZ14 RNO14:RNV14 RXK14:RXR14 SHG14:SHN14 SRC14:SRJ14 TAY14:TBF14 TKU14:TLB14 TUQ14:TUX14 UEM14:UET14 UOI14:UOP14 UYE14:UYL14 VIA14:VIH14 VRW14:VSD14 WBS14:WBZ14 WLO14:WLV14 WVK14:WVR14 C65550:J65550 IY65550:JF65550 SU65550:TB65550 ACQ65550:ACX65550 AMM65550:AMT65550 AWI65550:AWP65550 BGE65550:BGL65550 BQA65550:BQH65550 BZW65550:CAD65550 CJS65550:CJZ65550 CTO65550:CTV65550 DDK65550:DDR65550 DNG65550:DNN65550 DXC65550:DXJ65550 EGY65550:EHF65550 EQU65550:ERB65550 FAQ65550:FAX65550 FKM65550:FKT65550 FUI65550:FUP65550 GEE65550:GEL65550 GOA65550:GOH65550 GXW65550:GYD65550 HHS65550:HHZ65550 HRO65550:HRV65550 IBK65550:IBR65550 ILG65550:ILN65550 IVC65550:IVJ65550 JEY65550:JFF65550 JOU65550:JPB65550 JYQ65550:JYX65550 KIM65550:KIT65550 KSI65550:KSP65550 LCE65550:LCL65550 LMA65550:LMH65550 LVW65550:LWD65550 MFS65550:MFZ65550 MPO65550:MPV65550 MZK65550:MZR65550 NJG65550:NJN65550 NTC65550:NTJ65550 OCY65550:ODF65550 OMU65550:ONB65550 OWQ65550:OWX65550 PGM65550:PGT65550 PQI65550:PQP65550 QAE65550:QAL65550 QKA65550:QKH65550 QTW65550:QUD65550 RDS65550:RDZ65550 RNO65550:RNV65550 RXK65550:RXR65550 SHG65550:SHN65550 SRC65550:SRJ65550 TAY65550:TBF65550 TKU65550:TLB65550 TUQ65550:TUX65550 UEM65550:UET65550 UOI65550:UOP65550 UYE65550:UYL65550 VIA65550:VIH65550 VRW65550:VSD65550 WBS65550:WBZ65550 WLO65550:WLV65550 WVK65550:WVR65550 C131086:J131086 IY131086:JF131086 SU131086:TB131086 ACQ131086:ACX131086 AMM131086:AMT131086 AWI131086:AWP131086 BGE131086:BGL131086 BQA131086:BQH131086 BZW131086:CAD131086 CJS131086:CJZ131086 CTO131086:CTV131086 DDK131086:DDR131086 DNG131086:DNN131086 DXC131086:DXJ131086 EGY131086:EHF131086 EQU131086:ERB131086 FAQ131086:FAX131086 FKM131086:FKT131086 FUI131086:FUP131086 GEE131086:GEL131086 GOA131086:GOH131086 GXW131086:GYD131086 HHS131086:HHZ131086 HRO131086:HRV131086 IBK131086:IBR131086 ILG131086:ILN131086 IVC131086:IVJ131086 JEY131086:JFF131086 JOU131086:JPB131086 JYQ131086:JYX131086 KIM131086:KIT131086 KSI131086:KSP131086 LCE131086:LCL131086 LMA131086:LMH131086 LVW131086:LWD131086 MFS131086:MFZ131086 MPO131086:MPV131086 MZK131086:MZR131086 NJG131086:NJN131086 NTC131086:NTJ131086 OCY131086:ODF131086 OMU131086:ONB131086 OWQ131086:OWX131086 PGM131086:PGT131086 PQI131086:PQP131086 QAE131086:QAL131086 QKA131086:QKH131086 QTW131086:QUD131086 RDS131086:RDZ131086 RNO131086:RNV131086 RXK131086:RXR131086 SHG131086:SHN131086 SRC131086:SRJ131086 TAY131086:TBF131086 TKU131086:TLB131086 TUQ131086:TUX131086 UEM131086:UET131086 UOI131086:UOP131086 UYE131086:UYL131086 VIA131086:VIH131086 VRW131086:VSD131086 WBS131086:WBZ131086 WLO131086:WLV131086 WVK131086:WVR131086 C196622:J196622 IY196622:JF196622 SU196622:TB196622 ACQ196622:ACX196622 AMM196622:AMT196622 AWI196622:AWP196622 BGE196622:BGL196622 BQA196622:BQH196622 BZW196622:CAD196622 CJS196622:CJZ196622 CTO196622:CTV196622 DDK196622:DDR196622 DNG196622:DNN196622 DXC196622:DXJ196622 EGY196622:EHF196622 EQU196622:ERB196622 FAQ196622:FAX196622 FKM196622:FKT196622 FUI196622:FUP196622 GEE196622:GEL196622 GOA196622:GOH196622 GXW196622:GYD196622 HHS196622:HHZ196622 HRO196622:HRV196622 IBK196622:IBR196622 ILG196622:ILN196622 IVC196622:IVJ196622 JEY196622:JFF196622 JOU196622:JPB196622 JYQ196622:JYX196622 KIM196622:KIT196622 KSI196622:KSP196622 LCE196622:LCL196622 LMA196622:LMH196622 LVW196622:LWD196622 MFS196622:MFZ196622 MPO196622:MPV196622 MZK196622:MZR196622 NJG196622:NJN196622 NTC196622:NTJ196622 OCY196622:ODF196622 OMU196622:ONB196622 OWQ196622:OWX196622 PGM196622:PGT196622 PQI196622:PQP196622 QAE196622:QAL196622 QKA196622:QKH196622 QTW196622:QUD196622 RDS196622:RDZ196622 RNO196622:RNV196622 RXK196622:RXR196622 SHG196622:SHN196622 SRC196622:SRJ196622 TAY196622:TBF196622 TKU196622:TLB196622 TUQ196622:TUX196622 UEM196622:UET196622 UOI196622:UOP196622 UYE196622:UYL196622 VIA196622:VIH196622 VRW196622:VSD196622 WBS196622:WBZ196622 WLO196622:WLV196622 WVK196622:WVR196622 C262158:J262158 IY262158:JF262158 SU262158:TB262158 ACQ262158:ACX262158 AMM262158:AMT262158 AWI262158:AWP262158 BGE262158:BGL262158 BQA262158:BQH262158 BZW262158:CAD262158 CJS262158:CJZ262158 CTO262158:CTV262158 DDK262158:DDR262158 DNG262158:DNN262158 DXC262158:DXJ262158 EGY262158:EHF262158 EQU262158:ERB262158 FAQ262158:FAX262158 FKM262158:FKT262158 FUI262158:FUP262158 GEE262158:GEL262158 GOA262158:GOH262158 GXW262158:GYD262158 HHS262158:HHZ262158 HRO262158:HRV262158 IBK262158:IBR262158 ILG262158:ILN262158 IVC262158:IVJ262158 JEY262158:JFF262158 JOU262158:JPB262158 JYQ262158:JYX262158 KIM262158:KIT262158 KSI262158:KSP262158 LCE262158:LCL262158 LMA262158:LMH262158 LVW262158:LWD262158 MFS262158:MFZ262158 MPO262158:MPV262158 MZK262158:MZR262158 NJG262158:NJN262158 NTC262158:NTJ262158 OCY262158:ODF262158 OMU262158:ONB262158 OWQ262158:OWX262158 PGM262158:PGT262158 PQI262158:PQP262158 QAE262158:QAL262158 QKA262158:QKH262158 QTW262158:QUD262158 RDS262158:RDZ262158 RNO262158:RNV262158 RXK262158:RXR262158 SHG262158:SHN262158 SRC262158:SRJ262158 TAY262158:TBF262158 TKU262158:TLB262158 TUQ262158:TUX262158 UEM262158:UET262158 UOI262158:UOP262158 UYE262158:UYL262158 VIA262158:VIH262158 VRW262158:VSD262158 WBS262158:WBZ262158 WLO262158:WLV262158 WVK262158:WVR262158 C327694:J327694 IY327694:JF327694 SU327694:TB327694 ACQ327694:ACX327694 AMM327694:AMT327694 AWI327694:AWP327694 BGE327694:BGL327694 BQA327694:BQH327694 BZW327694:CAD327694 CJS327694:CJZ327694 CTO327694:CTV327694 DDK327694:DDR327694 DNG327694:DNN327694 DXC327694:DXJ327694 EGY327694:EHF327694 EQU327694:ERB327694 FAQ327694:FAX327694 FKM327694:FKT327694 FUI327694:FUP327694 GEE327694:GEL327694 GOA327694:GOH327694 GXW327694:GYD327694 HHS327694:HHZ327694 HRO327694:HRV327694 IBK327694:IBR327694 ILG327694:ILN327694 IVC327694:IVJ327694 JEY327694:JFF327694 JOU327694:JPB327694 JYQ327694:JYX327694 KIM327694:KIT327694 KSI327694:KSP327694 LCE327694:LCL327694 LMA327694:LMH327694 LVW327694:LWD327694 MFS327694:MFZ327694 MPO327694:MPV327694 MZK327694:MZR327694 NJG327694:NJN327694 NTC327694:NTJ327694 OCY327694:ODF327694 OMU327694:ONB327694 OWQ327694:OWX327694 PGM327694:PGT327694 PQI327694:PQP327694 QAE327694:QAL327694 QKA327694:QKH327694 QTW327694:QUD327694 RDS327694:RDZ327694 RNO327694:RNV327694 RXK327694:RXR327694 SHG327694:SHN327694 SRC327694:SRJ327694 TAY327694:TBF327694 TKU327694:TLB327694 TUQ327694:TUX327694 UEM327694:UET327694 UOI327694:UOP327694 UYE327694:UYL327694 VIA327694:VIH327694 VRW327694:VSD327694 WBS327694:WBZ327694 WLO327694:WLV327694 WVK327694:WVR327694 C393230:J393230 IY393230:JF393230 SU393230:TB393230 ACQ393230:ACX393230 AMM393230:AMT393230 AWI393230:AWP393230 BGE393230:BGL393230 BQA393230:BQH393230 BZW393230:CAD393230 CJS393230:CJZ393230 CTO393230:CTV393230 DDK393230:DDR393230 DNG393230:DNN393230 DXC393230:DXJ393230 EGY393230:EHF393230 EQU393230:ERB393230 FAQ393230:FAX393230 FKM393230:FKT393230 FUI393230:FUP393230 GEE393230:GEL393230 GOA393230:GOH393230 GXW393230:GYD393230 HHS393230:HHZ393230 HRO393230:HRV393230 IBK393230:IBR393230 ILG393230:ILN393230 IVC393230:IVJ393230 JEY393230:JFF393230 JOU393230:JPB393230 JYQ393230:JYX393230 KIM393230:KIT393230 KSI393230:KSP393230 LCE393230:LCL393230 LMA393230:LMH393230 LVW393230:LWD393230 MFS393230:MFZ393230 MPO393230:MPV393230 MZK393230:MZR393230 NJG393230:NJN393230 NTC393230:NTJ393230 OCY393230:ODF393230 OMU393230:ONB393230 OWQ393230:OWX393230 PGM393230:PGT393230 PQI393230:PQP393230 QAE393230:QAL393230 QKA393230:QKH393230 QTW393230:QUD393230 RDS393230:RDZ393230 RNO393230:RNV393230 RXK393230:RXR393230 SHG393230:SHN393230 SRC393230:SRJ393230 TAY393230:TBF393230 TKU393230:TLB393230 TUQ393230:TUX393230 UEM393230:UET393230 UOI393230:UOP393230 UYE393230:UYL393230 VIA393230:VIH393230 VRW393230:VSD393230 WBS393230:WBZ393230 WLO393230:WLV393230 WVK393230:WVR393230 C458766:J458766 IY458766:JF458766 SU458766:TB458766 ACQ458766:ACX458766 AMM458766:AMT458766 AWI458766:AWP458766 BGE458766:BGL458766 BQA458766:BQH458766 BZW458766:CAD458766 CJS458766:CJZ458766 CTO458766:CTV458766 DDK458766:DDR458766 DNG458766:DNN458766 DXC458766:DXJ458766 EGY458766:EHF458766 EQU458766:ERB458766 FAQ458766:FAX458766 FKM458766:FKT458766 FUI458766:FUP458766 GEE458766:GEL458766 GOA458766:GOH458766 GXW458766:GYD458766 HHS458766:HHZ458766 HRO458766:HRV458766 IBK458766:IBR458766 ILG458766:ILN458766 IVC458766:IVJ458766 JEY458766:JFF458766 JOU458766:JPB458766 JYQ458766:JYX458766 KIM458766:KIT458766 KSI458766:KSP458766 LCE458766:LCL458766 LMA458766:LMH458766 LVW458766:LWD458766 MFS458766:MFZ458766 MPO458766:MPV458766 MZK458766:MZR458766 NJG458766:NJN458766 NTC458766:NTJ458766 OCY458766:ODF458766 OMU458766:ONB458766 OWQ458766:OWX458766 PGM458766:PGT458766 PQI458766:PQP458766 QAE458766:QAL458766 QKA458766:QKH458766 QTW458766:QUD458766 RDS458766:RDZ458766 RNO458766:RNV458766 RXK458766:RXR458766 SHG458766:SHN458766 SRC458766:SRJ458766 TAY458766:TBF458766 TKU458766:TLB458766 TUQ458766:TUX458766 UEM458766:UET458766 UOI458766:UOP458766 UYE458766:UYL458766 VIA458766:VIH458766 VRW458766:VSD458766 WBS458766:WBZ458766 WLO458766:WLV458766 WVK458766:WVR458766 C524302:J524302 IY524302:JF524302 SU524302:TB524302 ACQ524302:ACX524302 AMM524302:AMT524302 AWI524302:AWP524302 BGE524302:BGL524302 BQA524302:BQH524302 BZW524302:CAD524302 CJS524302:CJZ524302 CTO524302:CTV524302 DDK524302:DDR524302 DNG524302:DNN524302 DXC524302:DXJ524302 EGY524302:EHF524302 EQU524302:ERB524302 FAQ524302:FAX524302 FKM524302:FKT524302 FUI524302:FUP524302 GEE524302:GEL524302 GOA524302:GOH524302 GXW524302:GYD524302 HHS524302:HHZ524302 HRO524302:HRV524302 IBK524302:IBR524302 ILG524302:ILN524302 IVC524302:IVJ524302 JEY524302:JFF524302 JOU524302:JPB524302 JYQ524302:JYX524302 KIM524302:KIT524302 KSI524302:KSP524302 LCE524302:LCL524302 LMA524302:LMH524302 LVW524302:LWD524302 MFS524302:MFZ524302 MPO524302:MPV524302 MZK524302:MZR524302 NJG524302:NJN524302 NTC524302:NTJ524302 OCY524302:ODF524302 OMU524302:ONB524302 OWQ524302:OWX524302 PGM524302:PGT524302 PQI524302:PQP524302 QAE524302:QAL524302 QKA524302:QKH524302 QTW524302:QUD524302 RDS524302:RDZ524302 RNO524302:RNV524302 RXK524302:RXR524302 SHG524302:SHN524302 SRC524302:SRJ524302 TAY524302:TBF524302 TKU524302:TLB524302 TUQ524302:TUX524302 UEM524302:UET524302 UOI524302:UOP524302 UYE524302:UYL524302 VIA524302:VIH524302 VRW524302:VSD524302 WBS524302:WBZ524302 WLO524302:WLV524302 WVK524302:WVR524302 C589838:J589838 IY589838:JF589838 SU589838:TB589838 ACQ589838:ACX589838 AMM589838:AMT589838 AWI589838:AWP589838 BGE589838:BGL589838 BQA589838:BQH589838 BZW589838:CAD589838 CJS589838:CJZ589838 CTO589838:CTV589838 DDK589838:DDR589838 DNG589838:DNN589838 DXC589838:DXJ589838 EGY589838:EHF589838 EQU589838:ERB589838 FAQ589838:FAX589838 FKM589838:FKT589838 FUI589838:FUP589838 GEE589838:GEL589838 GOA589838:GOH589838 GXW589838:GYD589838 HHS589838:HHZ589838 HRO589838:HRV589838 IBK589838:IBR589838 ILG589838:ILN589838 IVC589838:IVJ589838 JEY589838:JFF589838 JOU589838:JPB589838 JYQ589838:JYX589838 KIM589838:KIT589838 KSI589838:KSP589838 LCE589838:LCL589838 LMA589838:LMH589838 LVW589838:LWD589838 MFS589838:MFZ589838 MPO589838:MPV589838 MZK589838:MZR589838 NJG589838:NJN589838 NTC589838:NTJ589838 OCY589838:ODF589838 OMU589838:ONB589838 OWQ589838:OWX589838 PGM589838:PGT589838 PQI589838:PQP589838 QAE589838:QAL589838 QKA589838:QKH589838 QTW589838:QUD589838 RDS589838:RDZ589838 RNO589838:RNV589838 RXK589838:RXR589838 SHG589838:SHN589838 SRC589838:SRJ589838 TAY589838:TBF589838 TKU589838:TLB589838 TUQ589838:TUX589838 UEM589838:UET589838 UOI589838:UOP589838 UYE589838:UYL589838 VIA589838:VIH589838 VRW589838:VSD589838 WBS589838:WBZ589838 WLO589838:WLV589838 WVK589838:WVR589838 C655374:J655374 IY655374:JF655374 SU655374:TB655374 ACQ655374:ACX655374 AMM655374:AMT655374 AWI655374:AWP655374 BGE655374:BGL655374 BQA655374:BQH655374 BZW655374:CAD655374 CJS655374:CJZ655374 CTO655374:CTV655374 DDK655374:DDR655374 DNG655374:DNN655374 DXC655374:DXJ655374 EGY655374:EHF655374 EQU655374:ERB655374 FAQ655374:FAX655374 FKM655374:FKT655374 FUI655374:FUP655374 GEE655374:GEL655374 GOA655374:GOH655374 GXW655374:GYD655374 HHS655374:HHZ655374 HRO655374:HRV655374 IBK655374:IBR655374 ILG655374:ILN655374 IVC655374:IVJ655374 JEY655374:JFF655374 JOU655374:JPB655374 JYQ655374:JYX655374 KIM655374:KIT655374 KSI655374:KSP655374 LCE655374:LCL655374 LMA655374:LMH655374 LVW655374:LWD655374 MFS655374:MFZ655374 MPO655374:MPV655374 MZK655374:MZR655374 NJG655374:NJN655374 NTC655374:NTJ655374 OCY655374:ODF655374 OMU655374:ONB655374 OWQ655374:OWX655374 PGM655374:PGT655374 PQI655374:PQP655374 QAE655374:QAL655374 QKA655374:QKH655374 QTW655374:QUD655374 RDS655374:RDZ655374 RNO655374:RNV655374 RXK655374:RXR655374 SHG655374:SHN655374 SRC655374:SRJ655374 TAY655374:TBF655374 TKU655374:TLB655374 TUQ655374:TUX655374 UEM655374:UET655374 UOI655374:UOP655374 UYE655374:UYL655374 VIA655374:VIH655374 VRW655374:VSD655374 WBS655374:WBZ655374 WLO655374:WLV655374 WVK655374:WVR655374 C720910:J720910 IY720910:JF720910 SU720910:TB720910 ACQ720910:ACX720910 AMM720910:AMT720910 AWI720910:AWP720910 BGE720910:BGL720910 BQA720910:BQH720910 BZW720910:CAD720910 CJS720910:CJZ720910 CTO720910:CTV720910 DDK720910:DDR720910 DNG720910:DNN720910 DXC720910:DXJ720910 EGY720910:EHF720910 EQU720910:ERB720910 FAQ720910:FAX720910 FKM720910:FKT720910 FUI720910:FUP720910 GEE720910:GEL720910 GOA720910:GOH720910 GXW720910:GYD720910 HHS720910:HHZ720910 HRO720910:HRV720910 IBK720910:IBR720910 ILG720910:ILN720910 IVC720910:IVJ720910 JEY720910:JFF720910 JOU720910:JPB720910 JYQ720910:JYX720910 KIM720910:KIT720910 KSI720910:KSP720910 LCE720910:LCL720910 LMA720910:LMH720910 LVW720910:LWD720910 MFS720910:MFZ720910 MPO720910:MPV720910 MZK720910:MZR720910 NJG720910:NJN720910 NTC720910:NTJ720910 OCY720910:ODF720910 OMU720910:ONB720910 OWQ720910:OWX720910 PGM720910:PGT720910 PQI720910:PQP720910 QAE720910:QAL720910 QKA720910:QKH720910 QTW720910:QUD720910 RDS720910:RDZ720910 RNO720910:RNV720910 RXK720910:RXR720910 SHG720910:SHN720910 SRC720910:SRJ720910 TAY720910:TBF720910 TKU720910:TLB720910 TUQ720910:TUX720910 UEM720910:UET720910 UOI720910:UOP720910 UYE720910:UYL720910 VIA720910:VIH720910 VRW720910:VSD720910 WBS720910:WBZ720910 WLO720910:WLV720910 WVK720910:WVR720910 C786446:J786446 IY786446:JF786446 SU786446:TB786446 ACQ786446:ACX786446 AMM786446:AMT786446 AWI786446:AWP786446 BGE786446:BGL786446 BQA786446:BQH786446 BZW786446:CAD786446 CJS786446:CJZ786446 CTO786446:CTV786446 DDK786446:DDR786446 DNG786446:DNN786446 DXC786446:DXJ786446 EGY786446:EHF786446 EQU786446:ERB786446 FAQ786446:FAX786446 FKM786446:FKT786446 FUI786446:FUP786446 GEE786446:GEL786446 GOA786446:GOH786446 GXW786446:GYD786446 HHS786446:HHZ786446 HRO786446:HRV786446 IBK786446:IBR786446 ILG786446:ILN786446 IVC786446:IVJ786446 JEY786446:JFF786446 JOU786446:JPB786446 JYQ786446:JYX786446 KIM786446:KIT786446 KSI786446:KSP786446 LCE786446:LCL786446 LMA786446:LMH786446 LVW786446:LWD786446 MFS786446:MFZ786446 MPO786446:MPV786446 MZK786446:MZR786446 NJG786446:NJN786446 NTC786446:NTJ786446 OCY786446:ODF786446 OMU786446:ONB786446 OWQ786446:OWX786446 PGM786446:PGT786446 PQI786446:PQP786446 QAE786446:QAL786446 QKA786446:QKH786446 QTW786446:QUD786446 RDS786446:RDZ786446 RNO786446:RNV786446 RXK786446:RXR786446 SHG786446:SHN786446 SRC786446:SRJ786446 TAY786446:TBF786446 TKU786446:TLB786446 TUQ786446:TUX786446 UEM786446:UET786446 UOI786446:UOP786446 UYE786446:UYL786446 VIA786446:VIH786446 VRW786446:VSD786446 WBS786446:WBZ786446 WLO786446:WLV786446 WVK786446:WVR786446 C851982:J851982 IY851982:JF851982 SU851982:TB851982 ACQ851982:ACX851982 AMM851982:AMT851982 AWI851982:AWP851982 BGE851982:BGL851982 BQA851982:BQH851982 BZW851982:CAD851982 CJS851982:CJZ851982 CTO851982:CTV851982 DDK851982:DDR851982 DNG851982:DNN851982 DXC851982:DXJ851982 EGY851982:EHF851982 EQU851982:ERB851982 FAQ851982:FAX851982 FKM851982:FKT851982 FUI851982:FUP851982 GEE851982:GEL851982 GOA851982:GOH851982 GXW851982:GYD851982 HHS851982:HHZ851982 HRO851982:HRV851982 IBK851982:IBR851982 ILG851982:ILN851982 IVC851982:IVJ851982 JEY851982:JFF851982 JOU851982:JPB851982 JYQ851982:JYX851982 KIM851982:KIT851982 KSI851982:KSP851982 LCE851982:LCL851982 LMA851982:LMH851982 LVW851982:LWD851982 MFS851982:MFZ851982 MPO851982:MPV851982 MZK851982:MZR851982 NJG851982:NJN851982 NTC851982:NTJ851982 OCY851982:ODF851982 OMU851982:ONB851982 OWQ851982:OWX851982 PGM851982:PGT851982 PQI851982:PQP851982 QAE851982:QAL851982 QKA851982:QKH851982 QTW851982:QUD851982 RDS851982:RDZ851982 RNO851982:RNV851982 RXK851982:RXR851982 SHG851982:SHN851982 SRC851982:SRJ851982 TAY851982:TBF851982 TKU851982:TLB851982 TUQ851982:TUX851982 UEM851982:UET851982 UOI851982:UOP851982 UYE851982:UYL851982 VIA851982:VIH851982 VRW851982:VSD851982 WBS851982:WBZ851982 WLO851982:WLV851982 WVK851982:WVR851982 C917518:J917518 IY917518:JF917518 SU917518:TB917518 ACQ917518:ACX917518 AMM917518:AMT917518 AWI917518:AWP917518 BGE917518:BGL917518 BQA917518:BQH917518 BZW917518:CAD917518 CJS917518:CJZ917518 CTO917518:CTV917518 DDK917518:DDR917518 DNG917518:DNN917518 DXC917518:DXJ917518 EGY917518:EHF917518 EQU917518:ERB917518 FAQ917518:FAX917518 FKM917518:FKT917518 FUI917518:FUP917518 GEE917518:GEL917518 GOA917518:GOH917518 GXW917518:GYD917518 HHS917518:HHZ917518 HRO917518:HRV917518 IBK917518:IBR917518 ILG917518:ILN917518 IVC917518:IVJ917518 JEY917518:JFF917518 JOU917518:JPB917518 JYQ917518:JYX917518 KIM917518:KIT917518 KSI917518:KSP917518 LCE917518:LCL917518 LMA917518:LMH917518 LVW917518:LWD917518 MFS917518:MFZ917518 MPO917518:MPV917518 MZK917518:MZR917518 NJG917518:NJN917518 NTC917518:NTJ917518 OCY917518:ODF917518 OMU917518:ONB917518 OWQ917518:OWX917518 PGM917518:PGT917518 PQI917518:PQP917518 QAE917518:QAL917518 QKA917518:QKH917518 QTW917518:QUD917518 RDS917518:RDZ917518 RNO917518:RNV917518 RXK917518:RXR917518 SHG917518:SHN917518 SRC917518:SRJ917518 TAY917518:TBF917518 TKU917518:TLB917518 TUQ917518:TUX917518 UEM917518:UET917518 UOI917518:UOP917518 UYE917518:UYL917518 VIA917518:VIH917518 VRW917518:VSD917518 WBS917518:WBZ917518 WLO917518:WLV917518 WVK917518:WVR917518 C983054:J983054 IY983054:JF983054 SU983054:TB983054 ACQ983054:ACX983054 AMM983054:AMT983054 AWI983054:AWP983054 BGE983054:BGL983054 BQA983054:BQH983054 BZW983054:CAD983054 CJS983054:CJZ983054 CTO983054:CTV983054 DDK983054:DDR983054 DNG983054:DNN983054 DXC983054:DXJ983054 EGY983054:EHF983054 EQU983054:ERB983054 FAQ983054:FAX983054 FKM983054:FKT983054 FUI983054:FUP983054 GEE983054:GEL983054 GOA983054:GOH983054 GXW983054:GYD983054 HHS983054:HHZ983054 HRO983054:HRV983054 IBK983054:IBR983054 ILG983054:ILN983054 IVC983054:IVJ983054 JEY983054:JFF983054 JOU983054:JPB983054 JYQ983054:JYX983054 KIM983054:KIT983054 KSI983054:KSP983054 LCE983054:LCL983054 LMA983054:LMH983054 LVW983054:LWD983054 MFS983054:MFZ983054 MPO983054:MPV983054 MZK983054:MZR983054 NJG983054:NJN983054 NTC983054:NTJ983054 OCY983054:ODF983054 OMU983054:ONB983054 OWQ983054:OWX983054 PGM983054:PGT983054 PQI983054:PQP983054 QAE983054:QAL983054 QKA983054:QKH983054 QTW983054:QUD983054 RDS983054:RDZ983054 RNO983054:RNV983054 RXK983054:RXR983054 SHG983054:SHN983054 SRC983054:SRJ983054 TAY983054:TBF983054 TKU983054:TLB983054 TUQ983054:TUX983054 UEM983054:UET983054 UOI983054:UOP983054 UYE983054:UYL983054 VIA983054:VIH983054 VRW983054:VSD983054 WBS983054:WBZ983054 WLO983054:WLV983054 WVK983054:WVR983054 B16:B22 IX16:IX22 ST16:ST22 ACP16:ACP22 AML16:AML22 AWH16:AWH22 BGD16:BGD22 BPZ16:BPZ22 BZV16:BZV22 CJR16:CJR22 CTN16:CTN22 DDJ16:DDJ22 DNF16:DNF22 DXB16:DXB22 EGX16:EGX22 EQT16:EQT22 FAP16:FAP22 FKL16:FKL22 FUH16:FUH22 GED16:GED22 GNZ16:GNZ22 GXV16:GXV22 HHR16:HHR22 HRN16:HRN22 IBJ16:IBJ22 ILF16:ILF22 IVB16:IVB22 JEX16:JEX22 JOT16:JOT22 JYP16:JYP22 KIL16:KIL22 KSH16:KSH22 LCD16:LCD22 LLZ16:LLZ22 LVV16:LVV22 MFR16:MFR22 MPN16:MPN22 MZJ16:MZJ22 NJF16:NJF22 NTB16:NTB22 OCX16:OCX22 OMT16:OMT22 OWP16:OWP22 PGL16:PGL22 PQH16:PQH22 QAD16:QAD22 QJZ16:QJZ22 QTV16:QTV22 RDR16:RDR22 RNN16:RNN22 RXJ16:RXJ22 SHF16:SHF22 SRB16:SRB22 TAX16:TAX22 TKT16:TKT22 TUP16:TUP22 UEL16:UEL22 UOH16:UOH22 UYD16:UYD22 VHZ16:VHZ22 VRV16:VRV22 WBR16:WBR22 WLN16:WLN22 WVJ16:WVJ22 B65552:B65558 IX65552:IX65558 ST65552:ST65558 ACP65552:ACP65558 AML65552:AML65558 AWH65552:AWH65558 BGD65552:BGD65558 BPZ65552:BPZ65558 BZV65552:BZV65558 CJR65552:CJR65558 CTN65552:CTN65558 DDJ65552:DDJ65558 DNF65552:DNF65558 DXB65552:DXB65558 EGX65552:EGX65558 EQT65552:EQT65558 FAP65552:FAP65558 FKL65552:FKL65558 FUH65552:FUH65558 GED65552:GED65558 GNZ65552:GNZ65558 GXV65552:GXV65558 HHR65552:HHR65558 HRN65552:HRN65558 IBJ65552:IBJ65558 ILF65552:ILF65558 IVB65552:IVB65558 JEX65552:JEX65558 JOT65552:JOT65558 JYP65552:JYP65558 KIL65552:KIL65558 KSH65552:KSH65558 LCD65552:LCD65558 LLZ65552:LLZ65558 LVV65552:LVV65558 MFR65552:MFR65558 MPN65552:MPN65558 MZJ65552:MZJ65558 NJF65552:NJF65558 NTB65552:NTB65558 OCX65552:OCX65558 OMT65552:OMT65558 OWP65552:OWP65558 PGL65552:PGL65558 PQH65552:PQH65558 QAD65552:QAD65558 QJZ65552:QJZ65558 QTV65552:QTV65558 RDR65552:RDR65558 RNN65552:RNN65558 RXJ65552:RXJ65558 SHF65552:SHF65558 SRB65552:SRB65558 TAX65552:TAX65558 TKT65552:TKT65558 TUP65552:TUP65558 UEL65552:UEL65558 UOH65552:UOH65558 UYD65552:UYD65558 VHZ65552:VHZ65558 VRV65552:VRV65558 WBR65552:WBR65558 WLN65552:WLN65558 WVJ65552:WVJ65558 B131088:B131094 IX131088:IX131094 ST131088:ST131094 ACP131088:ACP131094 AML131088:AML131094 AWH131088:AWH131094 BGD131088:BGD131094 BPZ131088:BPZ131094 BZV131088:BZV131094 CJR131088:CJR131094 CTN131088:CTN131094 DDJ131088:DDJ131094 DNF131088:DNF131094 DXB131088:DXB131094 EGX131088:EGX131094 EQT131088:EQT131094 FAP131088:FAP131094 FKL131088:FKL131094 FUH131088:FUH131094 GED131088:GED131094 GNZ131088:GNZ131094 GXV131088:GXV131094 HHR131088:HHR131094 HRN131088:HRN131094 IBJ131088:IBJ131094 ILF131088:ILF131094 IVB131088:IVB131094 JEX131088:JEX131094 JOT131088:JOT131094 JYP131088:JYP131094 KIL131088:KIL131094 KSH131088:KSH131094 LCD131088:LCD131094 LLZ131088:LLZ131094 LVV131088:LVV131094 MFR131088:MFR131094 MPN131088:MPN131094 MZJ131088:MZJ131094 NJF131088:NJF131094 NTB131088:NTB131094 OCX131088:OCX131094 OMT131088:OMT131094 OWP131088:OWP131094 PGL131088:PGL131094 PQH131088:PQH131094 QAD131088:QAD131094 QJZ131088:QJZ131094 QTV131088:QTV131094 RDR131088:RDR131094 RNN131088:RNN131094 RXJ131088:RXJ131094 SHF131088:SHF131094 SRB131088:SRB131094 TAX131088:TAX131094 TKT131088:TKT131094 TUP131088:TUP131094 UEL131088:UEL131094 UOH131088:UOH131094 UYD131088:UYD131094 VHZ131088:VHZ131094 VRV131088:VRV131094 WBR131088:WBR131094 WLN131088:WLN131094 WVJ131088:WVJ131094 B196624:B196630 IX196624:IX196630 ST196624:ST196630 ACP196624:ACP196630 AML196624:AML196630 AWH196624:AWH196630 BGD196624:BGD196630 BPZ196624:BPZ196630 BZV196624:BZV196630 CJR196624:CJR196630 CTN196624:CTN196630 DDJ196624:DDJ196630 DNF196624:DNF196630 DXB196624:DXB196630 EGX196624:EGX196630 EQT196624:EQT196630 FAP196624:FAP196630 FKL196624:FKL196630 FUH196624:FUH196630 GED196624:GED196630 GNZ196624:GNZ196630 GXV196624:GXV196630 HHR196624:HHR196630 HRN196624:HRN196630 IBJ196624:IBJ196630 ILF196624:ILF196630 IVB196624:IVB196630 JEX196624:JEX196630 JOT196624:JOT196630 JYP196624:JYP196630 KIL196624:KIL196630 KSH196624:KSH196630 LCD196624:LCD196630 LLZ196624:LLZ196630 LVV196624:LVV196630 MFR196624:MFR196630 MPN196624:MPN196630 MZJ196624:MZJ196630 NJF196624:NJF196630 NTB196624:NTB196630 OCX196624:OCX196630 OMT196624:OMT196630 OWP196624:OWP196630 PGL196624:PGL196630 PQH196624:PQH196630 QAD196624:QAD196630 QJZ196624:QJZ196630 QTV196624:QTV196630 RDR196624:RDR196630 RNN196624:RNN196630 RXJ196624:RXJ196630 SHF196624:SHF196630 SRB196624:SRB196630 TAX196624:TAX196630 TKT196624:TKT196630 TUP196624:TUP196630 UEL196624:UEL196630 UOH196624:UOH196630 UYD196624:UYD196630 VHZ196624:VHZ196630 VRV196624:VRV196630 WBR196624:WBR196630 WLN196624:WLN196630 WVJ196624:WVJ196630 B262160:B262166 IX262160:IX262166 ST262160:ST262166 ACP262160:ACP262166 AML262160:AML262166 AWH262160:AWH262166 BGD262160:BGD262166 BPZ262160:BPZ262166 BZV262160:BZV262166 CJR262160:CJR262166 CTN262160:CTN262166 DDJ262160:DDJ262166 DNF262160:DNF262166 DXB262160:DXB262166 EGX262160:EGX262166 EQT262160:EQT262166 FAP262160:FAP262166 FKL262160:FKL262166 FUH262160:FUH262166 GED262160:GED262166 GNZ262160:GNZ262166 GXV262160:GXV262166 HHR262160:HHR262166 HRN262160:HRN262166 IBJ262160:IBJ262166 ILF262160:ILF262166 IVB262160:IVB262166 JEX262160:JEX262166 JOT262160:JOT262166 JYP262160:JYP262166 KIL262160:KIL262166 KSH262160:KSH262166 LCD262160:LCD262166 LLZ262160:LLZ262166 LVV262160:LVV262166 MFR262160:MFR262166 MPN262160:MPN262166 MZJ262160:MZJ262166 NJF262160:NJF262166 NTB262160:NTB262166 OCX262160:OCX262166 OMT262160:OMT262166 OWP262160:OWP262166 PGL262160:PGL262166 PQH262160:PQH262166 QAD262160:QAD262166 QJZ262160:QJZ262166 QTV262160:QTV262166 RDR262160:RDR262166 RNN262160:RNN262166 RXJ262160:RXJ262166 SHF262160:SHF262166 SRB262160:SRB262166 TAX262160:TAX262166 TKT262160:TKT262166 TUP262160:TUP262166 UEL262160:UEL262166 UOH262160:UOH262166 UYD262160:UYD262166 VHZ262160:VHZ262166 VRV262160:VRV262166 WBR262160:WBR262166 WLN262160:WLN262166 WVJ262160:WVJ262166 B327696:B327702 IX327696:IX327702 ST327696:ST327702 ACP327696:ACP327702 AML327696:AML327702 AWH327696:AWH327702 BGD327696:BGD327702 BPZ327696:BPZ327702 BZV327696:BZV327702 CJR327696:CJR327702 CTN327696:CTN327702 DDJ327696:DDJ327702 DNF327696:DNF327702 DXB327696:DXB327702 EGX327696:EGX327702 EQT327696:EQT327702 FAP327696:FAP327702 FKL327696:FKL327702 FUH327696:FUH327702 GED327696:GED327702 GNZ327696:GNZ327702 GXV327696:GXV327702 HHR327696:HHR327702 HRN327696:HRN327702 IBJ327696:IBJ327702 ILF327696:ILF327702 IVB327696:IVB327702 JEX327696:JEX327702 JOT327696:JOT327702 JYP327696:JYP327702 KIL327696:KIL327702 KSH327696:KSH327702 LCD327696:LCD327702 LLZ327696:LLZ327702 LVV327696:LVV327702 MFR327696:MFR327702 MPN327696:MPN327702 MZJ327696:MZJ327702 NJF327696:NJF327702 NTB327696:NTB327702 OCX327696:OCX327702 OMT327696:OMT327702 OWP327696:OWP327702 PGL327696:PGL327702 PQH327696:PQH327702 QAD327696:QAD327702 QJZ327696:QJZ327702 QTV327696:QTV327702 RDR327696:RDR327702 RNN327696:RNN327702 RXJ327696:RXJ327702 SHF327696:SHF327702 SRB327696:SRB327702 TAX327696:TAX327702 TKT327696:TKT327702 TUP327696:TUP327702 UEL327696:UEL327702 UOH327696:UOH327702 UYD327696:UYD327702 VHZ327696:VHZ327702 VRV327696:VRV327702 WBR327696:WBR327702 WLN327696:WLN327702 WVJ327696:WVJ327702 B393232:B393238 IX393232:IX393238 ST393232:ST393238 ACP393232:ACP393238 AML393232:AML393238 AWH393232:AWH393238 BGD393232:BGD393238 BPZ393232:BPZ393238 BZV393232:BZV393238 CJR393232:CJR393238 CTN393232:CTN393238 DDJ393232:DDJ393238 DNF393232:DNF393238 DXB393232:DXB393238 EGX393232:EGX393238 EQT393232:EQT393238 FAP393232:FAP393238 FKL393232:FKL393238 FUH393232:FUH393238 GED393232:GED393238 GNZ393232:GNZ393238 GXV393232:GXV393238 HHR393232:HHR393238 HRN393232:HRN393238 IBJ393232:IBJ393238 ILF393232:ILF393238 IVB393232:IVB393238 JEX393232:JEX393238 JOT393232:JOT393238 JYP393232:JYP393238 KIL393232:KIL393238 KSH393232:KSH393238 LCD393232:LCD393238 LLZ393232:LLZ393238 LVV393232:LVV393238 MFR393232:MFR393238 MPN393232:MPN393238 MZJ393232:MZJ393238 NJF393232:NJF393238 NTB393232:NTB393238 OCX393232:OCX393238 OMT393232:OMT393238 OWP393232:OWP393238 PGL393232:PGL393238 PQH393232:PQH393238 QAD393232:QAD393238 QJZ393232:QJZ393238 QTV393232:QTV393238 RDR393232:RDR393238 RNN393232:RNN393238 RXJ393232:RXJ393238 SHF393232:SHF393238 SRB393232:SRB393238 TAX393232:TAX393238 TKT393232:TKT393238 TUP393232:TUP393238 UEL393232:UEL393238 UOH393232:UOH393238 UYD393232:UYD393238 VHZ393232:VHZ393238 VRV393232:VRV393238 WBR393232:WBR393238 WLN393232:WLN393238 WVJ393232:WVJ393238 B458768:B458774 IX458768:IX458774 ST458768:ST458774 ACP458768:ACP458774 AML458768:AML458774 AWH458768:AWH458774 BGD458768:BGD458774 BPZ458768:BPZ458774 BZV458768:BZV458774 CJR458768:CJR458774 CTN458768:CTN458774 DDJ458768:DDJ458774 DNF458768:DNF458774 DXB458768:DXB458774 EGX458768:EGX458774 EQT458768:EQT458774 FAP458768:FAP458774 FKL458768:FKL458774 FUH458768:FUH458774 GED458768:GED458774 GNZ458768:GNZ458774 GXV458768:GXV458774 HHR458768:HHR458774 HRN458768:HRN458774 IBJ458768:IBJ458774 ILF458768:ILF458774 IVB458768:IVB458774 JEX458768:JEX458774 JOT458768:JOT458774 JYP458768:JYP458774 KIL458768:KIL458774 KSH458768:KSH458774 LCD458768:LCD458774 LLZ458768:LLZ458774 LVV458768:LVV458774 MFR458768:MFR458774 MPN458768:MPN458774 MZJ458768:MZJ458774 NJF458768:NJF458774 NTB458768:NTB458774 OCX458768:OCX458774 OMT458768:OMT458774 OWP458768:OWP458774 PGL458768:PGL458774 PQH458768:PQH458774 QAD458768:QAD458774 QJZ458768:QJZ458774 QTV458768:QTV458774 RDR458768:RDR458774 RNN458768:RNN458774 RXJ458768:RXJ458774 SHF458768:SHF458774 SRB458768:SRB458774 TAX458768:TAX458774 TKT458768:TKT458774 TUP458768:TUP458774 UEL458768:UEL458774 UOH458768:UOH458774 UYD458768:UYD458774 VHZ458768:VHZ458774 VRV458768:VRV458774 WBR458768:WBR458774 WLN458768:WLN458774 WVJ458768:WVJ458774 B524304:B524310 IX524304:IX524310 ST524304:ST524310 ACP524304:ACP524310 AML524304:AML524310 AWH524304:AWH524310 BGD524304:BGD524310 BPZ524304:BPZ524310 BZV524304:BZV524310 CJR524304:CJR524310 CTN524304:CTN524310 DDJ524304:DDJ524310 DNF524304:DNF524310 DXB524304:DXB524310 EGX524304:EGX524310 EQT524304:EQT524310 FAP524304:FAP524310 FKL524304:FKL524310 FUH524304:FUH524310 GED524304:GED524310 GNZ524304:GNZ524310 GXV524304:GXV524310 HHR524304:HHR524310 HRN524304:HRN524310 IBJ524304:IBJ524310 ILF524304:ILF524310 IVB524304:IVB524310 JEX524304:JEX524310 JOT524304:JOT524310 JYP524304:JYP524310 KIL524304:KIL524310 KSH524304:KSH524310 LCD524304:LCD524310 LLZ524304:LLZ524310 LVV524304:LVV524310 MFR524304:MFR524310 MPN524304:MPN524310 MZJ524304:MZJ524310 NJF524304:NJF524310 NTB524304:NTB524310 OCX524304:OCX524310 OMT524304:OMT524310 OWP524304:OWP524310 PGL524304:PGL524310 PQH524304:PQH524310 QAD524304:QAD524310 QJZ524304:QJZ524310 QTV524304:QTV524310 RDR524304:RDR524310 RNN524304:RNN524310 RXJ524304:RXJ524310 SHF524304:SHF524310 SRB524304:SRB524310 TAX524304:TAX524310 TKT524304:TKT524310 TUP524304:TUP524310 UEL524304:UEL524310 UOH524304:UOH524310 UYD524304:UYD524310 VHZ524304:VHZ524310 VRV524304:VRV524310 WBR524304:WBR524310 WLN524304:WLN524310 WVJ524304:WVJ524310 B589840:B589846 IX589840:IX589846 ST589840:ST589846 ACP589840:ACP589846 AML589840:AML589846 AWH589840:AWH589846 BGD589840:BGD589846 BPZ589840:BPZ589846 BZV589840:BZV589846 CJR589840:CJR589846 CTN589840:CTN589846 DDJ589840:DDJ589846 DNF589840:DNF589846 DXB589840:DXB589846 EGX589840:EGX589846 EQT589840:EQT589846 FAP589840:FAP589846 FKL589840:FKL589846 FUH589840:FUH589846 GED589840:GED589846 GNZ589840:GNZ589846 GXV589840:GXV589846 HHR589840:HHR589846 HRN589840:HRN589846 IBJ589840:IBJ589846 ILF589840:ILF589846 IVB589840:IVB589846 JEX589840:JEX589846 JOT589840:JOT589846 JYP589840:JYP589846 KIL589840:KIL589846 KSH589840:KSH589846 LCD589840:LCD589846 LLZ589840:LLZ589846 LVV589840:LVV589846 MFR589840:MFR589846 MPN589840:MPN589846 MZJ589840:MZJ589846 NJF589840:NJF589846 NTB589840:NTB589846 OCX589840:OCX589846 OMT589840:OMT589846 OWP589840:OWP589846 PGL589840:PGL589846 PQH589840:PQH589846 QAD589840:QAD589846 QJZ589840:QJZ589846 QTV589840:QTV589846 RDR589840:RDR589846 RNN589840:RNN589846 RXJ589840:RXJ589846 SHF589840:SHF589846 SRB589840:SRB589846 TAX589840:TAX589846 TKT589840:TKT589846 TUP589840:TUP589846 UEL589840:UEL589846 UOH589840:UOH589846 UYD589840:UYD589846 VHZ589840:VHZ589846 VRV589840:VRV589846 WBR589840:WBR589846 WLN589840:WLN589846 WVJ589840:WVJ589846 B655376:B655382 IX655376:IX655382 ST655376:ST655382 ACP655376:ACP655382 AML655376:AML655382 AWH655376:AWH655382 BGD655376:BGD655382 BPZ655376:BPZ655382 BZV655376:BZV655382 CJR655376:CJR655382 CTN655376:CTN655382 DDJ655376:DDJ655382 DNF655376:DNF655382 DXB655376:DXB655382 EGX655376:EGX655382 EQT655376:EQT655382 FAP655376:FAP655382 FKL655376:FKL655382 FUH655376:FUH655382 GED655376:GED655382 GNZ655376:GNZ655382 GXV655376:GXV655382 HHR655376:HHR655382 HRN655376:HRN655382 IBJ655376:IBJ655382 ILF655376:ILF655382 IVB655376:IVB655382 JEX655376:JEX655382 JOT655376:JOT655382 JYP655376:JYP655382 KIL655376:KIL655382 KSH655376:KSH655382 LCD655376:LCD655382 LLZ655376:LLZ655382 LVV655376:LVV655382 MFR655376:MFR655382 MPN655376:MPN655382 MZJ655376:MZJ655382 NJF655376:NJF655382 NTB655376:NTB655382 OCX655376:OCX655382 OMT655376:OMT655382 OWP655376:OWP655382 PGL655376:PGL655382 PQH655376:PQH655382 QAD655376:QAD655382 QJZ655376:QJZ655382 QTV655376:QTV655382 RDR655376:RDR655382 RNN655376:RNN655382 RXJ655376:RXJ655382 SHF655376:SHF655382 SRB655376:SRB655382 TAX655376:TAX655382 TKT655376:TKT655382 TUP655376:TUP655382 UEL655376:UEL655382 UOH655376:UOH655382 UYD655376:UYD655382 VHZ655376:VHZ655382 VRV655376:VRV655382 WBR655376:WBR655382 WLN655376:WLN655382 WVJ655376:WVJ655382 B720912:B720918 IX720912:IX720918 ST720912:ST720918 ACP720912:ACP720918 AML720912:AML720918 AWH720912:AWH720918 BGD720912:BGD720918 BPZ720912:BPZ720918 BZV720912:BZV720918 CJR720912:CJR720918 CTN720912:CTN720918 DDJ720912:DDJ720918 DNF720912:DNF720918 DXB720912:DXB720918 EGX720912:EGX720918 EQT720912:EQT720918 FAP720912:FAP720918 FKL720912:FKL720918 FUH720912:FUH720918 GED720912:GED720918 GNZ720912:GNZ720918 GXV720912:GXV720918 HHR720912:HHR720918 HRN720912:HRN720918 IBJ720912:IBJ720918 ILF720912:ILF720918 IVB720912:IVB720918 JEX720912:JEX720918 JOT720912:JOT720918 JYP720912:JYP720918 KIL720912:KIL720918 KSH720912:KSH720918 LCD720912:LCD720918 LLZ720912:LLZ720918 LVV720912:LVV720918 MFR720912:MFR720918 MPN720912:MPN720918 MZJ720912:MZJ720918 NJF720912:NJF720918 NTB720912:NTB720918 OCX720912:OCX720918 OMT720912:OMT720918 OWP720912:OWP720918 PGL720912:PGL720918 PQH720912:PQH720918 QAD720912:QAD720918 QJZ720912:QJZ720918 QTV720912:QTV720918 RDR720912:RDR720918 RNN720912:RNN720918 RXJ720912:RXJ720918 SHF720912:SHF720918 SRB720912:SRB720918 TAX720912:TAX720918 TKT720912:TKT720918 TUP720912:TUP720918 UEL720912:UEL720918 UOH720912:UOH720918 UYD720912:UYD720918 VHZ720912:VHZ720918 VRV720912:VRV720918 WBR720912:WBR720918 WLN720912:WLN720918 WVJ720912:WVJ720918 B786448:B786454 IX786448:IX786454 ST786448:ST786454 ACP786448:ACP786454 AML786448:AML786454 AWH786448:AWH786454 BGD786448:BGD786454 BPZ786448:BPZ786454 BZV786448:BZV786454 CJR786448:CJR786454 CTN786448:CTN786454 DDJ786448:DDJ786454 DNF786448:DNF786454 DXB786448:DXB786454 EGX786448:EGX786454 EQT786448:EQT786454 FAP786448:FAP786454 FKL786448:FKL786454 FUH786448:FUH786454 GED786448:GED786454 GNZ786448:GNZ786454 GXV786448:GXV786454 HHR786448:HHR786454 HRN786448:HRN786454 IBJ786448:IBJ786454 ILF786448:ILF786454 IVB786448:IVB786454 JEX786448:JEX786454 JOT786448:JOT786454 JYP786448:JYP786454 KIL786448:KIL786454 KSH786448:KSH786454 LCD786448:LCD786454 LLZ786448:LLZ786454 LVV786448:LVV786454 MFR786448:MFR786454 MPN786448:MPN786454 MZJ786448:MZJ786454 NJF786448:NJF786454 NTB786448:NTB786454 OCX786448:OCX786454 OMT786448:OMT786454 OWP786448:OWP786454 PGL786448:PGL786454 PQH786448:PQH786454 QAD786448:QAD786454 QJZ786448:QJZ786454 QTV786448:QTV786454 RDR786448:RDR786454 RNN786448:RNN786454 RXJ786448:RXJ786454 SHF786448:SHF786454 SRB786448:SRB786454 TAX786448:TAX786454 TKT786448:TKT786454 TUP786448:TUP786454 UEL786448:UEL786454 UOH786448:UOH786454 UYD786448:UYD786454 VHZ786448:VHZ786454 VRV786448:VRV786454 WBR786448:WBR786454 WLN786448:WLN786454 WVJ786448:WVJ786454 B851984:B851990 IX851984:IX851990 ST851984:ST851990 ACP851984:ACP851990 AML851984:AML851990 AWH851984:AWH851990 BGD851984:BGD851990 BPZ851984:BPZ851990 BZV851984:BZV851990 CJR851984:CJR851990 CTN851984:CTN851990 DDJ851984:DDJ851990 DNF851984:DNF851990 DXB851984:DXB851990 EGX851984:EGX851990 EQT851984:EQT851990 FAP851984:FAP851990 FKL851984:FKL851990 FUH851984:FUH851990 GED851984:GED851990 GNZ851984:GNZ851990 GXV851984:GXV851990 HHR851984:HHR851990 HRN851984:HRN851990 IBJ851984:IBJ851990 ILF851984:ILF851990 IVB851984:IVB851990 JEX851984:JEX851990 JOT851984:JOT851990 JYP851984:JYP851990 KIL851984:KIL851990 KSH851984:KSH851990 LCD851984:LCD851990 LLZ851984:LLZ851990 LVV851984:LVV851990 MFR851984:MFR851990 MPN851984:MPN851990 MZJ851984:MZJ851990 NJF851984:NJF851990 NTB851984:NTB851990 OCX851984:OCX851990 OMT851984:OMT851990 OWP851984:OWP851990 PGL851984:PGL851990 PQH851984:PQH851990 QAD851984:QAD851990 QJZ851984:QJZ851990 QTV851984:QTV851990 RDR851984:RDR851990 RNN851984:RNN851990 RXJ851984:RXJ851990 SHF851984:SHF851990 SRB851984:SRB851990 TAX851984:TAX851990 TKT851984:TKT851990 TUP851984:TUP851990 UEL851984:UEL851990 UOH851984:UOH851990 UYD851984:UYD851990 VHZ851984:VHZ851990 VRV851984:VRV851990 WBR851984:WBR851990 WLN851984:WLN851990 WVJ851984:WVJ851990 B917520:B917526 IX917520:IX917526 ST917520:ST917526 ACP917520:ACP917526 AML917520:AML917526 AWH917520:AWH917526 BGD917520:BGD917526 BPZ917520:BPZ917526 BZV917520:BZV917526 CJR917520:CJR917526 CTN917520:CTN917526 DDJ917520:DDJ917526 DNF917520:DNF917526 DXB917520:DXB917526 EGX917520:EGX917526 EQT917520:EQT917526 FAP917520:FAP917526 FKL917520:FKL917526 FUH917520:FUH917526 GED917520:GED917526 GNZ917520:GNZ917526 GXV917520:GXV917526 HHR917520:HHR917526 HRN917520:HRN917526 IBJ917520:IBJ917526 ILF917520:ILF917526 IVB917520:IVB917526 JEX917520:JEX917526 JOT917520:JOT917526 JYP917520:JYP917526 KIL917520:KIL917526 KSH917520:KSH917526 LCD917520:LCD917526 LLZ917520:LLZ917526 LVV917520:LVV917526 MFR917520:MFR917526 MPN917520:MPN917526 MZJ917520:MZJ917526 NJF917520:NJF917526 NTB917520:NTB917526 OCX917520:OCX917526 OMT917520:OMT917526 OWP917520:OWP917526 PGL917520:PGL917526 PQH917520:PQH917526 QAD917520:QAD917526 QJZ917520:QJZ917526 QTV917520:QTV917526 RDR917520:RDR917526 RNN917520:RNN917526 RXJ917520:RXJ917526 SHF917520:SHF917526 SRB917520:SRB917526 TAX917520:TAX917526 TKT917520:TKT917526 TUP917520:TUP917526 UEL917520:UEL917526 UOH917520:UOH917526 UYD917520:UYD917526 VHZ917520:VHZ917526 VRV917520:VRV917526 WBR917520:WBR917526 WLN917520:WLN917526 WVJ917520:WVJ917526 B983056:B983062 IX983056:IX983062 ST983056:ST983062 ACP983056:ACP983062 AML983056:AML983062 AWH983056:AWH983062 BGD983056:BGD983062 BPZ983056:BPZ983062 BZV983056:BZV983062 CJR983056:CJR983062 CTN983056:CTN983062 DDJ983056:DDJ983062 DNF983056:DNF983062 DXB983056:DXB983062 EGX983056:EGX983062 EQT983056:EQT983062 FAP983056:FAP983062 FKL983056:FKL983062 FUH983056:FUH983062 GED983056:GED983062 GNZ983056:GNZ983062 GXV983056:GXV983062 HHR983056:HHR983062 HRN983056:HRN983062 IBJ983056:IBJ983062 ILF983056:ILF983062 IVB983056:IVB983062 JEX983056:JEX983062 JOT983056:JOT983062 JYP983056:JYP983062 KIL983056:KIL983062 KSH983056:KSH983062 LCD983056:LCD983062 LLZ983056:LLZ983062 LVV983056:LVV983062 MFR983056:MFR983062 MPN983056:MPN983062 MZJ983056:MZJ983062 NJF983056:NJF983062 NTB983056:NTB983062 OCX983056:OCX983062 OMT983056:OMT983062 OWP983056:OWP983062 PGL983056:PGL983062 PQH983056:PQH983062 QAD983056:QAD983062 QJZ983056:QJZ983062 QTV983056:QTV983062 RDR983056:RDR983062 RNN983056:RNN983062 RXJ983056:RXJ983062 SHF983056:SHF983062 SRB983056:SRB983062 TAX983056:TAX983062 TKT983056:TKT983062 TUP983056:TUP983062 UEL983056:UEL983062 UOH983056:UOH983062 UYD983056:UYD983062 VHZ983056:VHZ983062 VRV983056:VRV983062 WBR983056:WBR983062 WLN983056:WLN983062 WVJ983056:WVJ983062 C16:J18 IY16:JF18 SU16:TB18 ACQ16:ACX18 AMM16:AMT18 AWI16:AWP18 BGE16:BGL18 BQA16:BQH18 BZW16:CAD18 CJS16:CJZ18 CTO16:CTV18 DDK16:DDR18 DNG16:DNN18 DXC16:DXJ18 EGY16:EHF18 EQU16:ERB18 FAQ16:FAX18 FKM16:FKT18 FUI16:FUP18 GEE16:GEL18 GOA16:GOH18 GXW16:GYD18 HHS16:HHZ18 HRO16:HRV18 IBK16:IBR18 ILG16:ILN18 IVC16:IVJ18 JEY16:JFF18 JOU16:JPB18 JYQ16:JYX18 KIM16:KIT18 KSI16:KSP18 LCE16:LCL18 LMA16:LMH18 LVW16:LWD18 MFS16:MFZ18 MPO16:MPV18 MZK16:MZR18 NJG16:NJN18 NTC16:NTJ18 OCY16:ODF18 OMU16:ONB18 OWQ16:OWX18 PGM16:PGT18 PQI16:PQP18 QAE16:QAL18 QKA16:QKH18 QTW16:QUD18 RDS16:RDZ18 RNO16:RNV18 RXK16:RXR18 SHG16:SHN18 SRC16:SRJ18 TAY16:TBF18 TKU16:TLB18 TUQ16:TUX18 UEM16:UET18 UOI16:UOP18 UYE16:UYL18 VIA16:VIH18 VRW16:VSD18 WBS16:WBZ18 WLO16:WLV18 WVK16:WVR18 C65552:J65554 IY65552:JF65554 SU65552:TB65554 ACQ65552:ACX65554 AMM65552:AMT65554 AWI65552:AWP65554 BGE65552:BGL65554 BQA65552:BQH65554 BZW65552:CAD65554 CJS65552:CJZ65554 CTO65552:CTV65554 DDK65552:DDR65554 DNG65552:DNN65554 DXC65552:DXJ65554 EGY65552:EHF65554 EQU65552:ERB65554 FAQ65552:FAX65554 FKM65552:FKT65554 FUI65552:FUP65554 GEE65552:GEL65554 GOA65552:GOH65554 GXW65552:GYD65554 HHS65552:HHZ65554 HRO65552:HRV65554 IBK65552:IBR65554 ILG65552:ILN65554 IVC65552:IVJ65554 JEY65552:JFF65554 JOU65552:JPB65554 JYQ65552:JYX65554 KIM65552:KIT65554 KSI65552:KSP65554 LCE65552:LCL65554 LMA65552:LMH65554 LVW65552:LWD65554 MFS65552:MFZ65554 MPO65552:MPV65554 MZK65552:MZR65554 NJG65552:NJN65554 NTC65552:NTJ65554 OCY65552:ODF65554 OMU65552:ONB65554 OWQ65552:OWX65554 PGM65552:PGT65554 PQI65552:PQP65554 QAE65552:QAL65554 QKA65552:QKH65554 QTW65552:QUD65554 RDS65552:RDZ65554 RNO65552:RNV65554 RXK65552:RXR65554 SHG65552:SHN65554 SRC65552:SRJ65554 TAY65552:TBF65554 TKU65552:TLB65554 TUQ65552:TUX65554 UEM65552:UET65554 UOI65552:UOP65554 UYE65552:UYL65554 VIA65552:VIH65554 VRW65552:VSD65554 WBS65552:WBZ65554 WLO65552:WLV65554 WVK65552:WVR65554 C131088:J131090 IY131088:JF131090 SU131088:TB131090 ACQ131088:ACX131090 AMM131088:AMT131090 AWI131088:AWP131090 BGE131088:BGL131090 BQA131088:BQH131090 BZW131088:CAD131090 CJS131088:CJZ131090 CTO131088:CTV131090 DDK131088:DDR131090 DNG131088:DNN131090 DXC131088:DXJ131090 EGY131088:EHF131090 EQU131088:ERB131090 FAQ131088:FAX131090 FKM131088:FKT131090 FUI131088:FUP131090 GEE131088:GEL131090 GOA131088:GOH131090 GXW131088:GYD131090 HHS131088:HHZ131090 HRO131088:HRV131090 IBK131088:IBR131090 ILG131088:ILN131090 IVC131088:IVJ131090 JEY131088:JFF131090 JOU131088:JPB131090 JYQ131088:JYX131090 KIM131088:KIT131090 KSI131088:KSP131090 LCE131088:LCL131090 LMA131088:LMH131090 LVW131088:LWD131090 MFS131088:MFZ131090 MPO131088:MPV131090 MZK131088:MZR131090 NJG131088:NJN131090 NTC131088:NTJ131090 OCY131088:ODF131090 OMU131088:ONB131090 OWQ131088:OWX131090 PGM131088:PGT131090 PQI131088:PQP131090 QAE131088:QAL131090 QKA131088:QKH131090 QTW131088:QUD131090 RDS131088:RDZ131090 RNO131088:RNV131090 RXK131088:RXR131090 SHG131088:SHN131090 SRC131088:SRJ131090 TAY131088:TBF131090 TKU131088:TLB131090 TUQ131088:TUX131090 UEM131088:UET131090 UOI131088:UOP131090 UYE131088:UYL131090 VIA131088:VIH131090 VRW131088:VSD131090 WBS131088:WBZ131090 WLO131088:WLV131090 WVK131088:WVR131090 C196624:J196626 IY196624:JF196626 SU196624:TB196626 ACQ196624:ACX196626 AMM196624:AMT196626 AWI196624:AWP196626 BGE196624:BGL196626 BQA196624:BQH196626 BZW196624:CAD196626 CJS196624:CJZ196626 CTO196624:CTV196626 DDK196624:DDR196626 DNG196624:DNN196626 DXC196624:DXJ196626 EGY196624:EHF196626 EQU196624:ERB196626 FAQ196624:FAX196626 FKM196624:FKT196626 FUI196624:FUP196626 GEE196624:GEL196626 GOA196624:GOH196626 GXW196624:GYD196626 HHS196624:HHZ196626 HRO196624:HRV196626 IBK196624:IBR196626 ILG196624:ILN196626 IVC196624:IVJ196626 JEY196624:JFF196626 JOU196624:JPB196626 JYQ196624:JYX196626 KIM196624:KIT196626 KSI196624:KSP196626 LCE196624:LCL196626 LMA196624:LMH196626 LVW196624:LWD196626 MFS196624:MFZ196626 MPO196624:MPV196626 MZK196624:MZR196626 NJG196624:NJN196626 NTC196624:NTJ196626 OCY196624:ODF196626 OMU196624:ONB196626 OWQ196624:OWX196626 PGM196624:PGT196626 PQI196624:PQP196626 QAE196624:QAL196626 QKA196624:QKH196626 QTW196624:QUD196626 RDS196624:RDZ196626 RNO196624:RNV196626 RXK196624:RXR196626 SHG196624:SHN196626 SRC196624:SRJ196626 TAY196624:TBF196626 TKU196624:TLB196626 TUQ196624:TUX196626 UEM196624:UET196626 UOI196624:UOP196626 UYE196624:UYL196626 VIA196624:VIH196626 VRW196624:VSD196626 WBS196624:WBZ196626 WLO196624:WLV196626 WVK196624:WVR196626 C262160:J262162 IY262160:JF262162 SU262160:TB262162 ACQ262160:ACX262162 AMM262160:AMT262162 AWI262160:AWP262162 BGE262160:BGL262162 BQA262160:BQH262162 BZW262160:CAD262162 CJS262160:CJZ262162 CTO262160:CTV262162 DDK262160:DDR262162 DNG262160:DNN262162 DXC262160:DXJ262162 EGY262160:EHF262162 EQU262160:ERB262162 FAQ262160:FAX262162 FKM262160:FKT262162 FUI262160:FUP262162 GEE262160:GEL262162 GOA262160:GOH262162 GXW262160:GYD262162 HHS262160:HHZ262162 HRO262160:HRV262162 IBK262160:IBR262162 ILG262160:ILN262162 IVC262160:IVJ262162 JEY262160:JFF262162 JOU262160:JPB262162 JYQ262160:JYX262162 KIM262160:KIT262162 KSI262160:KSP262162 LCE262160:LCL262162 LMA262160:LMH262162 LVW262160:LWD262162 MFS262160:MFZ262162 MPO262160:MPV262162 MZK262160:MZR262162 NJG262160:NJN262162 NTC262160:NTJ262162 OCY262160:ODF262162 OMU262160:ONB262162 OWQ262160:OWX262162 PGM262160:PGT262162 PQI262160:PQP262162 QAE262160:QAL262162 QKA262160:QKH262162 QTW262160:QUD262162 RDS262160:RDZ262162 RNO262160:RNV262162 RXK262160:RXR262162 SHG262160:SHN262162 SRC262160:SRJ262162 TAY262160:TBF262162 TKU262160:TLB262162 TUQ262160:TUX262162 UEM262160:UET262162 UOI262160:UOP262162 UYE262160:UYL262162 VIA262160:VIH262162 VRW262160:VSD262162 WBS262160:WBZ262162 WLO262160:WLV262162 WVK262160:WVR262162 C327696:J327698 IY327696:JF327698 SU327696:TB327698 ACQ327696:ACX327698 AMM327696:AMT327698 AWI327696:AWP327698 BGE327696:BGL327698 BQA327696:BQH327698 BZW327696:CAD327698 CJS327696:CJZ327698 CTO327696:CTV327698 DDK327696:DDR327698 DNG327696:DNN327698 DXC327696:DXJ327698 EGY327696:EHF327698 EQU327696:ERB327698 FAQ327696:FAX327698 FKM327696:FKT327698 FUI327696:FUP327698 GEE327696:GEL327698 GOA327696:GOH327698 GXW327696:GYD327698 HHS327696:HHZ327698 HRO327696:HRV327698 IBK327696:IBR327698 ILG327696:ILN327698 IVC327696:IVJ327698 JEY327696:JFF327698 JOU327696:JPB327698 JYQ327696:JYX327698 KIM327696:KIT327698 KSI327696:KSP327698 LCE327696:LCL327698 LMA327696:LMH327698 LVW327696:LWD327698 MFS327696:MFZ327698 MPO327696:MPV327698 MZK327696:MZR327698 NJG327696:NJN327698 NTC327696:NTJ327698 OCY327696:ODF327698 OMU327696:ONB327698 OWQ327696:OWX327698 PGM327696:PGT327698 PQI327696:PQP327698 QAE327696:QAL327698 QKA327696:QKH327698 QTW327696:QUD327698 RDS327696:RDZ327698 RNO327696:RNV327698 RXK327696:RXR327698 SHG327696:SHN327698 SRC327696:SRJ327698 TAY327696:TBF327698 TKU327696:TLB327698 TUQ327696:TUX327698 UEM327696:UET327698 UOI327696:UOP327698 UYE327696:UYL327698 VIA327696:VIH327698 VRW327696:VSD327698 WBS327696:WBZ327698 WLO327696:WLV327698 WVK327696:WVR327698 C393232:J393234 IY393232:JF393234 SU393232:TB393234 ACQ393232:ACX393234 AMM393232:AMT393234 AWI393232:AWP393234 BGE393232:BGL393234 BQA393232:BQH393234 BZW393232:CAD393234 CJS393232:CJZ393234 CTO393232:CTV393234 DDK393232:DDR393234 DNG393232:DNN393234 DXC393232:DXJ393234 EGY393232:EHF393234 EQU393232:ERB393234 FAQ393232:FAX393234 FKM393232:FKT393234 FUI393232:FUP393234 GEE393232:GEL393234 GOA393232:GOH393234 GXW393232:GYD393234 HHS393232:HHZ393234 HRO393232:HRV393234 IBK393232:IBR393234 ILG393232:ILN393234 IVC393232:IVJ393234 JEY393232:JFF393234 JOU393232:JPB393234 JYQ393232:JYX393234 KIM393232:KIT393234 KSI393232:KSP393234 LCE393232:LCL393234 LMA393232:LMH393234 LVW393232:LWD393234 MFS393232:MFZ393234 MPO393232:MPV393234 MZK393232:MZR393234 NJG393232:NJN393234 NTC393232:NTJ393234 OCY393232:ODF393234 OMU393232:ONB393234 OWQ393232:OWX393234 PGM393232:PGT393234 PQI393232:PQP393234 QAE393232:QAL393234 QKA393232:QKH393234 QTW393232:QUD393234 RDS393232:RDZ393234 RNO393232:RNV393234 RXK393232:RXR393234 SHG393232:SHN393234 SRC393232:SRJ393234 TAY393232:TBF393234 TKU393232:TLB393234 TUQ393232:TUX393234 UEM393232:UET393234 UOI393232:UOP393234 UYE393232:UYL393234 VIA393232:VIH393234 VRW393232:VSD393234 WBS393232:WBZ393234 WLO393232:WLV393234 WVK393232:WVR393234 C458768:J458770 IY458768:JF458770 SU458768:TB458770 ACQ458768:ACX458770 AMM458768:AMT458770 AWI458768:AWP458770 BGE458768:BGL458770 BQA458768:BQH458770 BZW458768:CAD458770 CJS458768:CJZ458770 CTO458768:CTV458770 DDK458768:DDR458770 DNG458768:DNN458770 DXC458768:DXJ458770 EGY458768:EHF458770 EQU458768:ERB458770 FAQ458768:FAX458770 FKM458768:FKT458770 FUI458768:FUP458770 GEE458768:GEL458770 GOA458768:GOH458770 GXW458768:GYD458770 HHS458768:HHZ458770 HRO458768:HRV458770 IBK458768:IBR458770 ILG458768:ILN458770 IVC458768:IVJ458770 JEY458768:JFF458770 JOU458768:JPB458770 JYQ458768:JYX458770 KIM458768:KIT458770 KSI458768:KSP458770 LCE458768:LCL458770 LMA458768:LMH458770 LVW458768:LWD458770 MFS458768:MFZ458770 MPO458768:MPV458770 MZK458768:MZR458770 NJG458768:NJN458770 NTC458768:NTJ458770 OCY458768:ODF458770 OMU458768:ONB458770 OWQ458768:OWX458770 PGM458768:PGT458770 PQI458768:PQP458770 QAE458768:QAL458770 QKA458768:QKH458770 QTW458768:QUD458770 RDS458768:RDZ458770 RNO458768:RNV458770 RXK458768:RXR458770 SHG458768:SHN458770 SRC458768:SRJ458770 TAY458768:TBF458770 TKU458768:TLB458770 TUQ458768:TUX458770 UEM458768:UET458770 UOI458768:UOP458770 UYE458768:UYL458770 VIA458768:VIH458770 VRW458768:VSD458770 WBS458768:WBZ458770 WLO458768:WLV458770 WVK458768:WVR458770 C524304:J524306 IY524304:JF524306 SU524304:TB524306 ACQ524304:ACX524306 AMM524304:AMT524306 AWI524304:AWP524306 BGE524304:BGL524306 BQA524304:BQH524306 BZW524304:CAD524306 CJS524304:CJZ524306 CTO524304:CTV524306 DDK524304:DDR524306 DNG524304:DNN524306 DXC524304:DXJ524306 EGY524304:EHF524306 EQU524304:ERB524306 FAQ524304:FAX524306 FKM524304:FKT524306 FUI524304:FUP524306 GEE524304:GEL524306 GOA524304:GOH524306 GXW524304:GYD524306 HHS524304:HHZ524306 HRO524304:HRV524306 IBK524304:IBR524306 ILG524304:ILN524306 IVC524304:IVJ524306 JEY524304:JFF524306 JOU524304:JPB524306 JYQ524304:JYX524306 KIM524304:KIT524306 KSI524304:KSP524306 LCE524304:LCL524306 LMA524304:LMH524306 LVW524304:LWD524306 MFS524304:MFZ524306 MPO524304:MPV524306 MZK524304:MZR524306 NJG524304:NJN524306 NTC524304:NTJ524306 OCY524304:ODF524306 OMU524304:ONB524306 OWQ524304:OWX524306 PGM524304:PGT524306 PQI524304:PQP524306 QAE524304:QAL524306 QKA524304:QKH524306 QTW524304:QUD524306 RDS524304:RDZ524306 RNO524304:RNV524306 RXK524304:RXR524306 SHG524304:SHN524306 SRC524304:SRJ524306 TAY524304:TBF524306 TKU524304:TLB524306 TUQ524304:TUX524306 UEM524304:UET524306 UOI524304:UOP524306 UYE524304:UYL524306 VIA524304:VIH524306 VRW524304:VSD524306 WBS524304:WBZ524306 WLO524304:WLV524306 WVK524304:WVR524306 C589840:J589842 IY589840:JF589842 SU589840:TB589842 ACQ589840:ACX589842 AMM589840:AMT589842 AWI589840:AWP589842 BGE589840:BGL589842 BQA589840:BQH589842 BZW589840:CAD589842 CJS589840:CJZ589842 CTO589840:CTV589842 DDK589840:DDR589842 DNG589840:DNN589842 DXC589840:DXJ589842 EGY589840:EHF589842 EQU589840:ERB589842 FAQ589840:FAX589842 FKM589840:FKT589842 FUI589840:FUP589842 GEE589840:GEL589842 GOA589840:GOH589842 GXW589840:GYD589842 HHS589840:HHZ589842 HRO589840:HRV589842 IBK589840:IBR589842 ILG589840:ILN589842 IVC589840:IVJ589842 JEY589840:JFF589842 JOU589840:JPB589842 JYQ589840:JYX589842 KIM589840:KIT589842 KSI589840:KSP589842 LCE589840:LCL589842 LMA589840:LMH589842 LVW589840:LWD589842 MFS589840:MFZ589842 MPO589840:MPV589842 MZK589840:MZR589842 NJG589840:NJN589842 NTC589840:NTJ589842 OCY589840:ODF589842 OMU589840:ONB589842 OWQ589840:OWX589842 PGM589840:PGT589842 PQI589840:PQP589842 QAE589840:QAL589842 QKA589840:QKH589842 QTW589840:QUD589842 RDS589840:RDZ589842 RNO589840:RNV589842 RXK589840:RXR589842 SHG589840:SHN589842 SRC589840:SRJ589842 TAY589840:TBF589842 TKU589840:TLB589842 TUQ589840:TUX589842 UEM589840:UET589842 UOI589840:UOP589842 UYE589840:UYL589842 VIA589840:VIH589842 VRW589840:VSD589842 WBS589840:WBZ589842 WLO589840:WLV589842 WVK589840:WVR589842 C655376:J655378 IY655376:JF655378 SU655376:TB655378 ACQ655376:ACX655378 AMM655376:AMT655378 AWI655376:AWP655378 BGE655376:BGL655378 BQA655376:BQH655378 BZW655376:CAD655378 CJS655376:CJZ655378 CTO655376:CTV655378 DDK655376:DDR655378 DNG655376:DNN655378 DXC655376:DXJ655378 EGY655376:EHF655378 EQU655376:ERB655378 FAQ655376:FAX655378 FKM655376:FKT655378 FUI655376:FUP655378 GEE655376:GEL655378 GOA655376:GOH655378 GXW655376:GYD655378 HHS655376:HHZ655378 HRO655376:HRV655378 IBK655376:IBR655378 ILG655376:ILN655378 IVC655376:IVJ655378 JEY655376:JFF655378 JOU655376:JPB655378 JYQ655376:JYX655378 KIM655376:KIT655378 KSI655376:KSP655378 LCE655376:LCL655378 LMA655376:LMH655378 LVW655376:LWD655378 MFS655376:MFZ655378 MPO655376:MPV655378 MZK655376:MZR655378 NJG655376:NJN655378 NTC655376:NTJ655378 OCY655376:ODF655378 OMU655376:ONB655378 OWQ655376:OWX655378 PGM655376:PGT655378 PQI655376:PQP655378 QAE655376:QAL655378 QKA655376:QKH655378 QTW655376:QUD655378 RDS655376:RDZ655378 RNO655376:RNV655378 RXK655376:RXR655378 SHG655376:SHN655378 SRC655376:SRJ655378 TAY655376:TBF655378 TKU655376:TLB655378 TUQ655376:TUX655378 UEM655376:UET655378 UOI655376:UOP655378 UYE655376:UYL655378 VIA655376:VIH655378 VRW655376:VSD655378 WBS655376:WBZ655378 WLO655376:WLV655378 WVK655376:WVR655378 C720912:J720914 IY720912:JF720914 SU720912:TB720914 ACQ720912:ACX720914 AMM720912:AMT720914 AWI720912:AWP720914 BGE720912:BGL720914 BQA720912:BQH720914 BZW720912:CAD720914 CJS720912:CJZ720914 CTO720912:CTV720914 DDK720912:DDR720914 DNG720912:DNN720914 DXC720912:DXJ720914 EGY720912:EHF720914 EQU720912:ERB720914 FAQ720912:FAX720914 FKM720912:FKT720914 FUI720912:FUP720914 GEE720912:GEL720914 GOA720912:GOH720914 GXW720912:GYD720914 HHS720912:HHZ720914 HRO720912:HRV720914 IBK720912:IBR720914 ILG720912:ILN720914 IVC720912:IVJ720914 JEY720912:JFF720914 JOU720912:JPB720914 JYQ720912:JYX720914 KIM720912:KIT720914 KSI720912:KSP720914 LCE720912:LCL720914 LMA720912:LMH720914 LVW720912:LWD720914 MFS720912:MFZ720914 MPO720912:MPV720914 MZK720912:MZR720914 NJG720912:NJN720914 NTC720912:NTJ720914 OCY720912:ODF720914 OMU720912:ONB720914 OWQ720912:OWX720914 PGM720912:PGT720914 PQI720912:PQP720914 QAE720912:QAL720914 QKA720912:QKH720914 QTW720912:QUD720914 RDS720912:RDZ720914 RNO720912:RNV720914 RXK720912:RXR720914 SHG720912:SHN720914 SRC720912:SRJ720914 TAY720912:TBF720914 TKU720912:TLB720914 TUQ720912:TUX720914 UEM720912:UET720914 UOI720912:UOP720914 UYE720912:UYL720914 VIA720912:VIH720914 VRW720912:VSD720914 WBS720912:WBZ720914 WLO720912:WLV720914 WVK720912:WVR720914 C786448:J786450 IY786448:JF786450 SU786448:TB786450 ACQ786448:ACX786450 AMM786448:AMT786450 AWI786448:AWP786450 BGE786448:BGL786450 BQA786448:BQH786450 BZW786448:CAD786450 CJS786448:CJZ786450 CTO786448:CTV786450 DDK786448:DDR786450 DNG786448:DNN786450 DXC786448:DXJ786450 EGY786448:EHF786450 EQU786448:ERB786450 FAQ786448:FAX786450 FKM786448:FKT786450 FUI786448:FUP786450 GEE786448:GEL786450 GOA786448:GOH786450 GXW786448:GYD786450 HHS786448:HHZ786450 HRO786448:HRV786450 IBK786448:IBR786450 ILG786448:ILN786450 IVC786448:IVJ786450 JEY786448:JFF786450 JOU786448:JPB786450 JYQ786448:JYX786450 KIM786448:KIT786450 KSI786448:KSP786450 LCE786448:LCL786450 LMA786448:LMH786450 LVW786448:LWD786450 MFS786448:MFZ786450 MPO786448:MPV786450 MZK786448:MZR786450 NJG786448:NJN786450 NTC786448:NTJ786450 OCY786448:ODF786450 OMU786448:ONB786450 OWQ786448:OWX786450 PGM786448:PGT786450 PQI786448:PQP786450 QAE786448:QAL786450 QKA786448:QKH786450 QTW786448:QUD786450 RDS786448:RDZ786450 RNO786448:RNV786450 RXK786448:RXR786450 SHG786448:SHN786450 SRC786448:SRJ786450 TAY786448:TBF786450 TKU786448:TLB786450 TUQ786448:TUX786450 UEM786448:UET786450 UOI786448:UOP786450 UYE786448:UYL786450 VIA786448:VIH786450 VRW786448:VSD786450 WBS786448:WBZ786450 WLO786448:WLV786450 WVK786448:WVR786450 C851984:J851986 IY851984:JF851986 SU851984:TB851986 ACQ851984:ACX851986 AMM851984:AMT851986 AWI851984:AWP851986 BGE851984:BGL851986 BQA851984:BQH851986 BZW851984:CAD851986 CJS851984:CJZ851986 CTO851984:CTV851986 DDK851984:DDR851986 DNG851984:DNN851986 DXC851984:DXJ851986 EGY851984:EHF851986 EQU851984:ERB851986 FAQ851984:FAX851986 FKM851984:FKT851986 FUI851984:FUP851986 GEE851984:GEL851986 GOA851984:GOH851986 GXW851984:GYD851986 HHS851984:HHZ851986 HRO851984:HRV851986 IBK851984:IBR851986 ILG851984:ILN851986 IVC851984:IVJ851986 JEY851984:JFF851986 JOU851984:JPB851986 JYQ851984:JYX851986 KIM851984:KIT851986 KSI851984:KSP851986 LCE851984:LCL851986 LMA851984:LMH851986 LVW851984:LWD851986 MFS851984:MFZ851986 MPO851984:MPV851986 MZK851984:MZR851986 NJG851984:NJN851986 NTC851984:NTJ851986 OCY851984:ODF851986 OMU851984:ONB851986 OWQ851984:OWX851986 PGM851984:PGT851986 PQI851984:PQP851986 QAE851984:QAL851986 QKA851984:QKH851986 QTW851984:QUD851986 RDS851984:RDZ851986 RNO851984:RNV851986 RXK851984:RXR851986 SHG851984:SHN851986 SRC851984:SRJ851986 TAY851984:TBF851986 TKU851984:TLB851986 TUQ851984:TUX851986 UEM851984:UET851986 UOI851984:UOP851986 UYE851984:UYL851986 VIA851984:VIH851986 VRW851984:VSD851986 WBS851984:WBZ851986 WLO851984:WLV851986 WVK851984:WVR851986 C917520:J917522 IY917520:JF917522 SU917520:TB917522 ACQ917520:ACX917522 AMM917520:AMT917522 AWI917520:AWP917522 BGE917520:BGL917522 BQA917520:BQH917522 BZW917520:CAD917522 CJS917520:CJZ917522 CTO917520:CTV917522 DDK917520:DDR917522 DNG917520:DNN917522 DXC917520:DXJ917522 EGY917520:EHF917522 EQU917520:ERB917522 FAQ917520:FAX917522 FKM917520:FKT917522 FUI917520:FUP917522 GEE917520:GEL917522 GOA917520:GOH917522 GXW917520:GYD917522 HHS917520:HHZ917522 HRO917520:HRV917522 IBK917520:IBR917522 ILG917520:ILN917522 IVC917520:IVJ917522 JEY917520:JFF917522 JOU917520:JPB917522 JYQ917520:JYX917522 KIM917520:KIT917522 KSI917520:KSP917522 LCE917520:LCL917522 LMA917520:LMH917522 LVW917520:LWD917522 MFS917520:MFZ917522 MPO917520:MPV917522 MZK917520:MZR917522 NJG917520:NJN917522 NTC917520:NTJ917522 OCY917520:ODF917522 OMU917520:ONB917522 OWQ917520:OWX917522 PGM917520:PGT917522 PQI917520:PQP917522 QAE917520:QAL917522 QKA917520:QKH917522 QTW917520:QUD917522 RDS917520:RDZ917522 RNO917520:RNV917522 RXK917520:RXR917522 SHG917520:SHN917522 SRC917520:SRJ917522 TAY917520:TBF917522 TKU917520:TLB917522 TUQ917520:TUX917522 UEM917520:UET917522 UOI917520:UOP917522 UYE917520:UYL917522 VIA917520:VIH917522 VRW917520:VSD917522 WBS917520:WBZ917522 WLO917520:WLV917522 WVK917520:WVR917522 C983056:J983058 IY983056:JF983058 SU983056:TB983058 ACQ983056:ACX983058 AMM983056:AMT983058 AWI983056:AWP983058 BGE983056:BGL983058 BQA983056:BQH983058 BZW983056:CAD983058 CJS983056:CJZ983058 CTO983056:CTV983058 DDK983056:DDR983058 DNG983056:DNN983058 DXC983056:DXJ983058 EGY983056:EHF983058 EQU983056:ERB983058 FAQ983056:FAX983058 FKM983056:FKT983058 FUI983056:FUP983058 GEE983056:GEL983058 GOA983056:GOH983058 GXW983056:GYD983058 HHS983056:HHZ983058 HRO983056:HRV983058 IBK983056:IBR983058 ILG983056:ILN983058 IVC983056:IVJ983058 JEY983056:JFF983058 JOU983056:JPB983058 JYQ983056:JYX983058 KIM983056:KIT983058 KSI983056:KSP983058 LCE983056:LCL983058 LMA983056:LMH983058 LVW983056:LWD983058 MFS983056:MFZ983058 MPO983056:MPV983058 MZK983056:MZR983058 NJG983056:NJN983058 NTC983056:NTJ983058 OCY983056:ODF983058 OMU983056:ONB983058 OWQ983056:OWX983058 PGM983056:PGT983058 PQI983056:PQP983058 QAE983056:QAL983058 QKA983056:QKH983058 QTW983056:QUD983058 RDS983056:RDZ983058 RNO983056:RNV983058 RXK983056:RXR983058 SHG983056:SHN983058 SRC983056:SRJ983058 TAY983056:TBF983058 TKU983056:TLB983058 TUQ983056:TUX983058 UEM983056:UET983058 UOI983056:UOP983058 UYE983056:UYL983058 VIA983056:VIH983058 VRW983056:VSD983058 WBS983056:WBZ983058 WLO983056:WLV983058 WVK983056:WVR983058 C20:E22 IY20:JA22 SU20:SW22 ACQ20:ACS22 AMM20:AMO22 AWI20:AWK22 BGE20:BGG22 BQA20:BQC22 BZW20:BZY22 CJS20:CJU22 CTO20:CTQ22 DDK20:DDM22 DNG20:DNI22 DXC20:DXE22 EGY20:EHA22 EQU20:EQW22 FAQ20:FAS22 FKM20:FKO22 FUI20:FUK22 GEE20:GEG22 GOA20:GOC22 GXW20:GXY22 HHS20:HHU22 HRO20:HRQ22 IBK20:IBM22 ILG20:ILI22 IVC20:IVE22 JEY20:JFA22 JOU20:JOW22 JYQ20:JYS22 KIM20:KIO22 KSI20:KSK22 LCE20:LCG22 LMA20:LMC22 LVW20:LVY22 MFS20:MFU22 MPO20:MPQ22 MZK20:MZM22 NJG20:NJI22 NTC20:NTE22 OCY20:ODA22 OMU20:OMW22 OWQ20:OWS22 PGM20:PGO22 PQI20:PQK22 QAE20:QAG22 QKA20:QKC22 QTW20:QTY22 RDS20:RDU22 RNO20:RNQ22 RXK20:RXM22 SHG20:SHI22 SRC20:SRE22 TAY20:TBA22 TKU20:TKW22 TUQ20:TUS22 UEM20:UEO22 UOI20:UOK22 UYE20:UYG22 VIA20:VIC22 VRW20:VRY22 WBS20:WBU22 WLO20:WLQ22 WVK20:WVM22 C65556:E65558 IY65556:JA65558 SU65556:SW65558 ACQ65556:ACS65558 AMM65556:AMO65558 AWI65556:AWK65558 BGE65556:BGG65558 BQA65556:BQC65558 BZW65556:BZY65558 CJS65556:CJU65558 CTO65556:CTQ65558 DDK65556:DDM65558 DNG65556:DNI65558 DXC65556:DXE65558 EGY65556:EHA65558 EQU65556:EQW65558 FAQ65556:FAS65558 FKM65556:FKO65558 FUI65556:FUK65558 GEE65556:GEG65558 GOA65556:GOC65558 GXW65556:GXY65558 HHS65556:HHU65558 HRO65556:HRQ65558 IBK65556:IBM65558 ILG65556:ILI65558 IVC65556:IVE65558 JEY65556:JFA65558 JOU65556:JOW65558 JYQ65556:JYS65558 KIM65556:KIO65558 KSI65556:KSK65558 LCE65556:LCG65558 LMA65556:LMC65558 LVW65556:LVY65558 MFS65556:MFU65558 MPO65556:MPQ65558 MZK65556:MZM65558 NJG65556:NJI65558 NTC65556:NTE65558 OCY65556:ODA65558 OMU65556:OMW65558 OWQ65556:OWS65558 PGM65556:PGO65558 PQI65556:PQK65558 QAE65556:QAG65558 QKA65556:QKC65558 QTW65556:QTY65558 RDS65556:RDU65558 RNO65556:RNQ65558 RXK65556:RXM65558 SHG65556:SHI65558 SRC65556:SRE65558 TAY65556:TBA65558 TKU65556:TKW65558 TUQ65556:TUS65558 UEM65556:UEO65558 UOI65556:UOK65558 UYE65556:UYG65558 VIA65556:VIC65558 VRW65556:VRY65558 WBS65556:WBU65558 WLO65556:WLQ65558 WVK65556:WVM65558 C131092:E131094 IY131092:JA131094 SU131092:SW131094 ACQ131092:ACS131094 AMM131092:AMO131094 AWI131092:AWK131094 BGE131092:BGG131094 BQA131092:BQC131094 BZW131092:BZY131094 CJS131092:CJU131094 CTO131092:CTQ131094 DDK131092:DDM131094 DNG131092:DNI131094 DXC131092:DXE131094 EGY131092:EHA131094 EQU131092:EQW131094 FAQ131092:FAS131094 FKM131092:FKO131094 FUI131092:FUK131094 GEE131092:GEG131094 GOA131092:GOC131094 GXW131092:GXY131094 HHS131092:HHU131094 HRO131092:HRQ131094 IBK131092:IBM131094 ILG131092:ILI131094 IVC131092:IVE131094 JEY131092:JFA131094 JOU131092:JOW131094 JYQ131092:JYS131094 KIM131092:KIO131094 KSI131092:KSK131094 LCE131092:LCG131094 LMA131092:LMC131094 LVW131092:LVY131094 MFS131092:MFU131094 MPO131092:MPQ131094 MZK131092:MZM131094 NJG131092:NJI131094 NTC131092:NTE131094 OCY131092:ODA131094 OMU131092:OMW131094 OWQ131092:OWS131094 PGM131092:PGO131094 PQI131092:PQK131094 QAE131092:QAG131094 QKA131092:QKC131094 QTW131092:QTY131094 RDS131092:RDU131094 RNO131092:RNQ131094 RXK131092:RXM131094 SHG131092:SHI131094 SRC131092:SRE131094 TAY131092:TBA131094 TKU131092:TKW131094 TUQ131092:TUS131094 UEM131092:UEO131094 UOI131092:UOK131094 UYE131092:UYG131094 VIA131092:VIC131094 VRW131092:VRY131094 WBS131092:WBU131094 WLO131092:WLQ131094 WVK131092:WVM131094 C196628:E196630 IY196628:JA196630 SU196628:SW196630 ACQ196628:ACS196630 AMM196628:AMO196630 AWI196628:AWK196630 BGE196628:BGG196630 BQA196628:BQC196630 BZW196628:BZY196630 CJS196628:CJU196630 CTO196628:CTQ196630 DDK196628:DDM196630 DNG196628:DNI196630 DXC196628:DXE196630 EGY196628:EHA196630 EQU196628:EQW196630 FAQ196628:FAS196630 FKM196628:FKO196630 FUI196628:FUK196630 GEE196628:GEG196630 GOA196628:GOC196630 GXW196628:GXY196630 HHS196628:HHU196630 HRO196628:HRQ196630 IBK196628:IBM196630 ILG196628:ILI196630 IVC196628:IVE196630 JEY196628:JFA196630 JOU196628:JOW196630 JYQ196628:JYS196630 KIM196628:KIO196630 KSI196628:KSK196630 LCE196628:LCG196630 LMA196628:LMC196630 LVW196628:LVY196630 MFS196628:MFU196630 MPO196628:MPQ196630 MZK196628:MZM196630 NJG196628:NJI196630 NTC196628:NTE196630 OCY196628:ODA196630 OMU196628:OMW196630 OWQ196628:OWS196630 PGM196628:PGO196630 PQI196628:PQK196630 QAE196628:QAG196630 QKA196628:QKC196630 QTW196628:QTY196630 RDS196628:RDU196630 RNO196628:RNQ196630 RXK196628:RXM196630 SHG196628:SHI196630 SRC196628:SRE196630 TAY196628:TBA196630 TKU196628:TKW196630 TUQ196628:TUS196630 UEM196628:UEO196630 UOI196628:UOK196630 UYE196628:UYG196630 VIA196628:VIC196630 VRW196628:VRY196630 WBS196628:WBU196630 WLO196628:WLQ196630 WVK196628:WVM196630 C262164:E262166 IY262164:JA262166 SU262164:SW262166 ACQ262164:ACS262166 AMM262164:AMO262166 AWI262164:AWK262166 BGE262164:BGG262166 BQA262164:BQC262166 BZW262164:BZY262166 CJS262164:CJU262166 CTO262164:CTQ262166 DDK262164:DDM262166 DNG262164:DNI262166 DXC262164:DXE262166 EGY262164:EHA262166 EQU262164:EQW262166 FAQ262164:FAS262166 FKM262164:FKO262166 FUI262164:FUK262166 GEE262164:GEG262166 GOA262164:GOC262166 GXW262164:GXY262166 HHS262164:HHU262166 HRO262164:HRQ262166 IBK262164:IBM262166 ILG262164:ILI262166 IVC262164:IVE262166 JEY262164:JFA262166 JOU262164:JOW262166 JYQ262164:JYS262166 KIM262164:KIO262166 KSI262164:KSK262166 LCE262164:LCG262166 LMA262164:LMC262166 LVW262164:LVY262166 MFS262164:MFU262166 MPO262164:MPQ262166 MZK262164:MZM262166 NJG262164:NJI262166 NTC262164:NTE262166 OCY262164:ODA262166 OMU262164:OMW262166 OWQ262164:OWS262166 PGM262164:PGO262166 PQI262164:PQK262166 QAE262164:QAG262166 QKA262164:QKC262166 QTW262164:QTY262166 RDS262164:RDU262166 RNO262164:RNQ262166 RXK262164:RXM262166 SHG262164:SHI262166 SRC262164:SRE262166 TAY262164:TBA262166 TKU262164:TKW262166 TUQ262164:TUS262166 UEM262164:UEO262166 UOI262164:UOK262166 UYE262164:UYG262166 VIA262164:VIC262166 VRW262164:VRY262166 WBS262164:WBU262166 WLO262164:WLQ262166 WVK262164:WVM262166 C327700:E327702 IY327700:JA327702 SU327700:SW327702 ACQ327700:ACS327702 AMM327700:AMO327702 AWI327700:AWK327702 BGE327700:BGG327702 BQA327700:BQC327702 BZW327700:BZY327702 CJS327700:CJU327702 CTO327700:CTQ327702 DDK327700:DDM327702 DNG327700:DNI327702 DXC327700:DXE327702 EGY327700:EHA327702 EQU327700:EQW327702 FAQ327700:FAS327702 FKM327700:FKO327702 FUI327700:FUK327702 GEE327700:GEG327702 GOA327700:GOC327702 GXW327700:GXY327702 HHS327700:HHU327702 HRO327700:HRQ327702 IBK327700:IBM327702 ILG327700:ILI327702 IVC327700:IVE327702 JEY327700:JFA327702 JOU327700:JOW327702 JYQ327700:JYS327702 KIM327700:KIO327702 KSI327700:KSK327702 LCE327700:LCG327702 LMA327700:LMC327702 LVW327700:LVY327702 MFS327700:MFU327702 MPO327700:MPQ327702 MZK327700:MZM327702 NJG327700:NJI327702 NTC327700:NTE327702 OCY327700:ODA327702 OMU327700:OMW327702 OWQ327700:OWS327702 PGM327700:PGO327702 PQI327700:PQK327702 QAE327700:QAG327702 QKA327700:QKC327702 QTW327700:QTY327702 RDS327700:RDU327702 RNO327700:RNQ327702 RXK327700:RXM327702 SHG327700:SHI327702 SRC327700:SRE327702 TAY327700:TBA327702 TKU327700:TKW327702 TUQ327700:TUS327702 UEM327700:UEO327702 UOI327700:UOK327702 UYE327700:UYG327702 VIA327700:VIC327702 VRW327700:VRY327702 WBS327700:WBU327702 WLO327700:WLQ327702 WVK327700:WVM327702 C393236:E393238 IY393236:JA393238 SU393236:SW393238 ACQ393236:ACS393238 AMM393236:AMO393238 AWI393236:AWK393238 BGE393236:BGG393238 BQA393236:BQC393238 BZW393236:BZY393238 CJS393236:CJU393238 CTO393236:CTQ393238 DDK393236:DDM393238 DNG393236:DNI393238 DXC393236:DXE393238 EGY393236:EHA393238 EQU393236:EQW393238 FAQ393236:FAS393238 FKM393236:FKO393238 FUI393236:FUK393238 GEE393236:GEG393238 GOA393236:GOC393238 GXW393236:GXY393238 HHS393236:HHU393238 HRO393236:HRQ393238 IBK393236:IBM393238 ILG393236:ILI393238 IVC393236:IVE393238 JEY393236:JFA393238 JOU393236:JOW393238 JYQ393236:JYS393238 KIM393236:KIO393238 KSI393236:KSK393238 LCE393236:LCG393238 LMA393236:LMC393238 LVW393236:LVY393238 MFS393236:MFU393238 MPO393236:MPQ393238 MZK393236:MZM393238 NJG393236:NJI393238 NTC393236:NTE393238 OCY393236:ODA393238 OMU393236:OMW393238 OWQ393236:OWS393238 PGM393236:PGO393238 PQI393236:PQK393238 QAE393236:QAG393238 QKA393236:QKC393238 QTW393236:QTY393238 RDS393236:RDU393238 RNO393236:RNQ393238 RXK393236:RXM393238 SHG393236:SHI393238 SRC393236:SRE393238 TAY393236:TBA393238 TKU393236:TKW393238 TUQ393236:TUS393238 UEM393236:UEO393238 UOI393236:UOK393238 UYE393236:UYG393238 VIA393236:VIC393238 VRW393236:VRY393238 WBS393236:WBU393238 WLO393236:WLQ393238 WVK393236:WVM393238 C458772:E458774 IY458772:JA458774 SU458772:SW458774 ACQ458772:ACS458774 AMM458772:AMO458774 AWI458772:AWK458774 BGE458772:BGG458774 BQA458772:BQC458774 BZW458772:BZY458774 CJS458772:CJU458774 CTO458772:CTQ458774 DDK458772:DDM458774 DNG458772:DNI458774 DXC458772:DXE458774 EGY458772:EHA458774 EQU458772:EQW458774 FAQ458772:FAS458774 FKM458772:FKO458774 FUI458772:FUK458774 GEE458772:GEG458774 GOA458772:GOC458774 GXW458772:GXY458774 HHS458772:HHU458774 HRO458772:HRQ458774 IBK458772:IBM458774 ILG458772:ILI458774 IVC458772:IVE458774 JEY458772:JFA458774 JOU458772:JOW458774 JYQ458772:JYS458774 KIM458772:KIO458774 KSI458772:KSK458774 LCE458772:LCG458774 LMA458772:LMC458774 LVW458772:LVY458774 MFS458772:MFU458774 MPO458772:MPQ458774 MZK458772:MZM458774 NJG458772:NJI458774 NTC458772:NTE458774 OCY458772:ODA458774 OMU458772:OMW458774 OWQ458772:OWS458774 PGM458772:PGO458774 PQI458772:PQK458774 QAE458772:QAG458774 QKA458772:QKC458774 QTW458772:QTY458774 RDS458772:RDU458774 RNO458772:RNQ458774 RXK458772:RXM458774 SHG458772:SHI458774 SRC458772:SRE458774 TAY458772:TBA458774 TKU458772:TKW458774 TUQ458772:TUS458774 UEM458772:UEO458774 UOI458772:UOK458774 UYE458772:UYG458774 VIA458772:VIC458774 VRW458772:VRY458774 WBS458772:WBU458774 WLO458772:WLQ458774 WVK458772:WVM458774 C524308:E524310 IY524308:JA524310 SU524308:SW524310 ACQ524308:ACS524310 AMM524308:AMO524310 AWI524308:AWK524310 BGE524308:BGG524310 BQA524308:BQC524310 BZW524308:BZY524310 CJS524308:CJU524310 CTO524308:CTQ524310 DDK524308:DDM524310 DNG524308:DNI524310 DXC524308:DXE524310 EGY524308:EHA524310 EQU524308:EQW524310 FAQ524308:FAS524310 FKM524308:FKO524310 FUI524308:FUK524310 GEE524308:GEG524310 GOA524308:GOC524310 GXW524308:GXY524310 HHS524308:HHU524310 HRO524308:HRQ524310 IBK524308:IBM524310 ILG524308:ILI524310 IVC524308:IVE524310 JEY524308:JFA524310 JOU524308:JOW524310 JYQ524308:JYS524310 KIM524308:KIO524310 KSI524308:KSK524310 LCE524308:LCG524310 LMA524308:LMC524310 LVW524308:LVY524310 MFS524308:MFU524310 MPO524308:MPQ524310 MZK524308:MZM524310 NJG524308:NJI524310 NTC524308:NTE524310 OCY524308:ODA524310 OMU524308:OMW524310 OWQ524308:OWS524310 PGM524308:PGO524310 PQI524308:PQK524310 QAE524308:QAG524310 QKA524308:QKC524310 QTW524308:QTY524310 RDS524308:RDU524310 RNO524308:RNQ524310 RXK524308:RXM524310 SHG524308:SHI524310 SRC524308:SRE524310 TAY524308:TBA524310 TKU524308:TKW524310 TUQ524308:TUS524310 UEM524308:UEO524310 UOI524308:UOK524310 UYE524308:UYG524310 VIA524308:VIC524310 VRW524308:VRY524310 WBS524308:WBU524310 WLO524308:WLQ524310 WVK524308:WVM524310 C589844:E589846 IY589844:JA589846 SU589844:SW589846 ACQ589844:ACS589846 AMM589844:AMO589846 AWI589844:AWK589846 BGE589844:BGG589846 BQA589844:BQC589846 BZW589844:BZY589846 CJS589844:CJU589846 CTO589844:CTQ589846 DDK589844:DDM589846 DNG589844:DNI589846 DXC589844:DXE589846 EGY589844:EHA589846 EQU589844:EQW589846 FAQ589844:FAS589846 FKM589844:FKO589846 FUI589844:FUK589846 GEE589844:GEG589846 GOA589844:GOC589846 GXW589844:GXY589846 HHS589844:HHU589846 HRO589844:HRQ589846 IBK589844:IBM589846 ILG589844:ILI589846 IVC589844:IVE589846 JEY589844:JFA589846 JOU589844:JOW589846 JYQ589844:JYS589846 KIM589844:KIO589846 KSI589844:KSK589846 LCE589844:LCG589846 LMA589844:LMC589846 LVW589844:LVY589846 MFS589844:MFU589846 MPO589844:MPQ589846 MZK589844:MZM589846 NJG589844:NJI589846 NTC589844:NTE589846 OCY589844:ODA589846 OMU589844:OMW589846 OWQ589844:OWS589846 PGM589844:PGO589846 PQI589844:PQK589846 QAE589844:QAG589846 QKA589844:QKC589846 QTW589844:QTY589846 RDS589844:RDU589846 RNO589844:RNQ589846 RXK589844:RXM589846 SHG589844:SHI589846 SRC589844:SRE589846 TAY589844:TBA589846 TKU589844:TKW589846 TUQ589844:TUS589846 UEM589844:UEO589846 UOI589844:UOK589846 UYE589844:UYG589846 VIA589844:VIC589846 VRW589844:VRY589846 WBS589844:WBU589846 WLO589844:WLQ589846 WVK589844:WVM589846 C655380:E655382 IY655380:JA655382 SU655380:SW655382 ACQ655380:ACS655382 AMM655380:AMO655382 AWI655380:AWK655382 BGE655380:BGG655382 BQA655380:BQC655382 BZW655380:BZY655382 CJS655380:CJU655382 CTO655380:CTQ655382 DDK655380:DDM655382 DNG655380:DNI655382 DXC655380:DXE655382 EGY655380:EHA655382 EQU655380:EQW655382 FAQ655380:FAS655382 FKM655380:FKO655382 FUI655380:FUK655382 GEE655380:GEG655382 GOA655380:GOC655382 GXW655380:GXY655382 HHS655380:HHU655382 HRO655380:HRQ655382 IBK655380:IBM655382 ILG655380:ILI655382 IVC655380:IVE655382 JEY655380:JFA655382 JOU655380:JOW655382 JYQ655380:JYS655382 KIM655380:KIO655382 KSI655380:KSK655382 LCE655380:LCG655382 LMA655380:LMC655382 LVW655380:LVY655382 MFS655380:MFU655382 MPO655380:MPQ655382 MZK655380:MZM655382 NJG655380:NJI655382 NTC655380:NTE655382 OCY655380:ODA655382 OMU655380:OMW655382 OWQ655380:OWS655382 PGM655380:PGO655382 PQI655380:PQK655382 QAE655380:QAG655382 QKA655380:QKC655382 QTW655380:QTY655382 RDS655380:RDU655382 RNO655380:RNQ655382 RXK655380:RXM655382 SHG655380:SHI655382 SRC655380:SRE655382 TAY655380:TBA655382 TKU655380:TKW655382 TUQ655380:TUS655382 UEM655380:UEO655382 UOI655380:UOK655382 UYE655380:UYG655382 VIA655380:VIC655382 VRW655380:VRY655382 WBS655380:WBU655382 WLO655380:WLQ655382 WVK655380:WVM655382 C720916:E720918 IY720916:JA720918 SU720916:SW720918 ACQ720916:ACS720918 AMM720916:AMO720918 AWI720916:AWK720918 BGE720916:BGG720918 BQA720916:BQC720918 BZW720916:BZY720918 CJS720916:CJU720918 CTO720916:CTQ720918 DDK720916:DDM720918 DNG720916:DNI720918 DXC720916:DXE720918 EGY720916:EHA720918 EQU720916:EQW720918 FAQ720916:FAS720918 FKM720916:FKO720918 FUI720916:FUK720918 GEE720916:GEG720918 GOA720916:GOC720918 GXW720916:GXY720918 HHS720916:HHU720918 HRO720916:HRQ720918 IBK720916:IBM720918 ILG720916:ILI720918 IVC720916:IVE720918 JEY720916:JFA720918 JOU720916:JOW720918 JYQ720916:JYS720918 KIM720916:KIO720918 KSI720916:KSK720918 LCE720916:LCG720918 LMA720916:LMC720918 LVW720916:LVY720918 MFS720916:MFU720918 MPO720916:MPQ720918 MZK720916:MZM720918 NJG720916:NJI720918 NTC720916:NTE720918 OCY720916:ODA720918 OMU720916:OMW720918 OWQ720916:OWS720918 PGM720916:PGO720918 PQI720916:PQK720918 QAE720916:QAG720918 QKA720916:QKC720918 QTW720916:QTY720918 RDS720916:RDU720918 RNO720916:RNQ720918 RXK720916:RXM720918 SHG720916:SHI720918 SRC720916:SRE720918 TAY720916:TBA720918 TKU720916:TKW720918 TUQ720916:TUS720918 UEM720916:UEO720918 UOI720916:UOK720918 UYE720916:UYG720918 VIA720916:VIC720918 VRW720916:VRY720918 WBS720916:WBU720918 WLO720916:WLQ720918 WVK720916:WVM720918 C786452:E786454 IY786452:JA786454 SU786452:SW786454 ACQ786452:ACS786454 AMM786452:AMO786454 AWI786452:AWK786454 BGE786452:BGG786454 BQA786452:BQC786454 BZW786452:BZY786454 CJS786452:CJU786454 CTO786452:CTQ786454 DDK786452:DDM786454 DNG786452:DNI786454 DXC786452:DXE786454 EGY786452:EHA786454 EQU786452:EQW786454 FAQ786452:FAS786454 FKM786452:FKO786454 FUI786452:FUK786454 GEE786452:GEG786454 GOA786452:GOC786454 GXW786452:GXY786454 HHS786452:HHU786454 HRO786452:HRQ786454 IBK786452:IBM786454 ILG786452:ILI786454 IVC786452:IVE786454 JEY786452:JFA786454 JOU786452:JOW786454 JYQ786452:JYS786454 KIM786452:KIO786454 KSI786452:KSK786454 LCE786452:LCG786454 LMA786452:LMC786454 LVW786452:LVY786454 MFS786452:MFU786454 MPO786452:MPQ786454 MZK786452:MZM786454 NJG786452:NJI786454 NTC786452:NTE786454 OCY786452:ODA786454 OMU786452:OMW786454 OWQ786452:OWS786454 PGM786452:PGO786454 PQI786452:PQK786454 QAE786452:QAG786454 QKA786452:QKC786454 QTW786452:QTY786454 RDS786452:RDU786454 RNO786452:RNQ786454 RXK786452:RXM786454 SHG786452:SHI786454 SRC786452:SRE786454 TAY786452:TBA786454 TKU786452:TKW786454 TUQ786452:TUS786454 UEM786452:UEO786454 UOI786452:UOK786454 UYE786452:UYG786454 VIA786452:VIC786454 VRW786452:VRY786454 WBS786452:WBU786454 WLO786452:WLQ786454 WVK786452:WVM786454 C851988:E851990 IY851988:JA851990 SU851988:SW851990 ACQ851988:ACS851990 AMM851988:AMO851990 AWI851988:AWK851990 BGE851988:BGG851990 BQA851988:BQC851990 BZW851988:BZY851990 CJS851988:CJU851990 CTO851988:CTQ851990 DDK851988:DDM851990 DNG851988:DNI851990 DXC851988:DXE851990 EGY851988:EHA851990 EQU851988:EQW851990 FAQ851988:FAS851990 FKM851988:FKO851990 FUI851988:FUK851990 GEE851988:GEG851990 GOA851988:GOC851990 GXW851988:GXY851990 HHS851988:HHU851990 HRO851988:HRQ851990 IBK851988:IBM851990 ILG851988:ILI851990 IVC851988:IVE851990 JEY851988:JFA851990 JOU851988:JOW851990 JYQ851988:JYS851990 KIM851988:KIO851990 KSI851988:KSK851990 LCE851988:LCG851990 LMA851988:LMC851990 LVW851988:LVY851990 MFS851988:MFU851990 MPO851988:MPQ851990 MZK851988:MZM851990 NJG851988:NJI851990 NTC851988:NTE851990 OCY851988:ODA851990 OMU851988:OMW851990 OWQ851988:OWS851990 PGM851988:PGO851990 PQI851988:PQK851990 QAE851988:QAG851990 QKA851988:QKC851990 QTW851988:QTY851990 RDS851988:RDU851990 RNO851988:RNQ851990 RXK851988:RXM851990 SHG851988:SHI851990 SRC851988:SRE851990 TAY851988:TBA851990 TKU851988:TKW851990 TUQ851988:TUS851990 UEM851988:UEO851990 UOI851988:UOK851990 UYE851988:UYG851990 VIA851988:VIC851990 VRW851988:VRY851990 WBS851988:WBU851990 WLO851988:WLQ851990 WVK851988:WVM851990 C917524:E917526 IY917524:JA917526 SU917524:SW917526 ACQ917524:ACS917526 AMM917524:AMO917526 AWI917524:AWK917526 BGE917524:BGG917526 BQA917524:BQC917526 BZW917524:BZY917526 CJS917524:CJU917526 CTO917524:CTQ917526 DDK917524:DDM917526 DNG917524:DNI917526 DXC917524:DXE917526 EGY917524:EHA917526 EQU917524:EQW917526 FAQ917524:FAS917526 FKM917524:FKO917526 FUI917524:FUK917526 GEE917524:GEG917526 GOA917524:GOC917526 GXW917524:GXY917526 HHS917524:HHU917526 HRO917524:HRQ917526 IBK917524:IBM917526 ILG917524:ILI917526 IVC917524:IVE917526 JEY917524:JFA917526 JOU917524:JOW917526 JYQ917524:JYS917526 KIM917524:KIO917526 KSI917524:KSK917526 LCE917524:LCG917526 LMA917524:LMC917526 LVW917524:LVY917526 MFS917524:MFU917526 MPO917524:MPQ917526 MZK917524:MZM917526 NJG917524:NJI917526 NTC917524:NTE917526 OCY917524:ODA917526 OMU917524:OMW917526 OWQ917524:OWS917526 PGM917524:PGO917526 PQI917524:PQK917526 QAE917524:QAG917526 QKA917524:QKC917526 QTW917524:QTY917526 RDS917524:RDU917526 RNO917524:RNQ917526 RXK917524:RXM917526 SHG917524:SHI917526 SRC917524:SRE917526 TAY917524:TBA917526 TKU917524:TKW917526 TUQ917524:TUS917526 UEM917524:UEO917526 UOI917524:UOK917526 UYE917524:UYG917526 VIA917524:VIC917526 VRW917524:VRY917526 WBS917524:WBU917526 WLO917524:WLQ917526 WVK917524:WVM917526 C983060:E983062 IY983060:JA983062 SU983060:SW983062 ACQ983060:ACS983062 AMM983060:AMO983062 AWI983060:AWK983062 BGE983060:BGG983062 BQA983060:BQC983062 BZW983060:BZY983062 CJS983060:CJU983062 CTO983060:CTQ983062 DDK983060:DDM983062 DNG983060:DNI983062 DXC983060:DXE983062 EGY983060:EHA983062 EQU983060:EQW983062 FAQ983060:FAS983062 FKM983060:FKO983062 FUI983060:FUK983062 GEE983060:GEG983062 GOA983060:GOC983062 GXW983060:GXY983062 HHS983060:HHU983062 HRO983060:HRQ983062 IBK983060:IBM983062 ILG983060:ILI983062 IVC983060:IVE983062 JEY983060:JFA983062 JOU983060:JOW983062 JYQ983060:JYS983062 KIM983060:KIO983062 KSI983060:KSK983062 LCE983060:LCG983062 LMA983060:LMC983062 LVW983060:LVY983062 MFS983060:MFU983062 MPO983060:MPQ983062 MZK983060:MZM983062 NJG983060:NJI983062 NTC983060:NTE983062 OCY983060:ODA983062 OMU983060:OMW983062 OWQ983060:OWS983062 PGM983060:PGO983062 PQI983060:PQK983062 QAE983060:QAG983062 QKA983060:QKC983062 QTW983060:QTY983062 RDS983060:RDU983062 RNO983060:RNQ983062 RXK983060:RXM983062 SHG983060:SHI983062 SRC983060:SRE983062 TAY983060:TBA983062 TKU983060:TKW983062 TUQ983060:TUS983062 UEM983060:UEO983062 UOI983060:UOK983062 UYE983060:UYG983062 VIA983060:VIC983062 VRW983060:VRY983062 WBS983060:WBU983062 WLO983060:WLQ983062 WVK983060:WVM983062 C19:M19 IY19:JI19 SU19:TE19 ACQ19:ADA19 AMM19:AMW19 AWI19:AWS19 BGE19:BGO19 BQA19:BQK19 BZW19:CAG19 CJS19:CKC19 CTO19:CTY19 DDK19:DDU19 DNG19:DNQ19 DXC19:DXM19 EGY19:EHI19 EQU19:ERE19 FAQ19:FBA19 FKM19:FKW19 FUI19:FUS19 GEE19:GEO19 GOA19:GOK19 GXW19:GYG19 HHS19:HIC19 HRO19:HRY19 IBK19:IBU19 ILG19:ILQ19 IVC19:IVM19 JEY19:JFI19 JOU19:JPE19 JYQ19:JZA19 KIM19:KIW19 KSI19:KSS19 LCE19:LCO19 LMA19:LMK19 LVW19:LWG19 MFS19:MGC19 MPO19:MPY19 MZK19:MZU19 NJG19:NJQ19 NTC19:NTM19 OCY19:ODI19 OMU19:ONE19 OWQ19:OXA19 PGM19:PGW19 PQI19:PQS19 QAE19:QAO19 QKA19:QKK19 QTW19:QUG19 RDS19:REC19 RNO19:RNY19 RXK19:RXU19 SHG19:SHQ19 SRC19:SRM19 TAY19:TBI19 TKU19:TLE19 TUQ19:TVA19 UEM19:UEW19 UOI19:UOS19 UYE19:UYO19 VIA19:VIK19 VRW19:VSG19 WBS19:WCC19 WLO19:WLY19 WVK19:WVU19 C65555:M65555 IY65555:JI65555 SU65555:TE65555 ACQ65555:ADA65555 AMM65555:AMW65555 AWI65555:AWS65555 BGE65555:BGO65555 BQA65555:BQK65555 BZW65555:CAG65555 CJS65555:CKC65555 CTO65555:CTY65555 DDK65555:DDU65555 DNG65555:DNQ65555 DXC65555:DXM65555 EGY65555:EHI65555 EQU65555:ERE65555 FAQ65555:FBA65555 FKM65555:FKW65555 FUI65555:FUS65555 GEE65555:GEO65555 GOA65555:GOK65555 GXW65555:GYG65555 HHS65555:HIC65555 HRO65555:HRY65555 IBK65555:IBU65555 ILG65555:ILQ65555 IVC65555:IVM65555 JEY65555:JFI65555 JOU65555:JPE65555 JYQ65555:JZA65555 KIM65555:KIW65555 KSI65555:KSS65555 LCE65555:LCO65555 LMA65555:LMK65555 LVW65555:LWG65555 MFS65555:MGC65555 MPO65555:MPY65555 MZK65555:MZU65555 NJG65555:NJQ65555 NTC65555:NTM65555 OCY65555:ODI65555 OMU65555:ONE65555 OWQ65555:OXA65555 PGM65555:PGW65555 PQI65555:PQS65555 QAE65555:QAO65555 QKA65555:QKK65555 QTW65555:QUG65555 RDS65555:REC65555 RNO65555:RNY65555 RXK65555:RXU65555 SHG65555:SHQ65555 SRC65555:SRM65555 TAY65555:TBI65555 TKU65555:TLE65555 TUQ65555:TVA65555 UEM65555:UEW65555 UOI65555:UOS65555 UYE65555:UYO65555 VIA65555:VIK65555 VRW65555:VSG65555 WBS65555:WCC65555 WLO65555:WLY65555 WVK65555:WVU65555 C131091:M131091 IY131091:JI131091 SU131091:TE131091 ACQ131091:ADA131091 AMM131091:AMW131091 AWI131091:AWS131091 BGE131091:BGO131091 BQA131091:BQK131091 BZW131091:CAG131091 CJS131091:CKC131091 CTO131091:CTY131091 DDK131091:DDU131091 DNG131091:DNQ131091 DXC131091:DXM131091 EGY131091:EHI131091 EQU131091:ERE131091 FAQ131091:FBA131091 FKM131091:FKW131091 FUI131091:FUS131091 GEE131091:GEO131091 GOA131091:GOK131091 GXW131091:GYG131091 HHS131091:HIC131091 HRO131091:HRY131091 IBK131091:IBU131091 ILG131091:ILQ131091 IVC131091:IVM131091 JEY131091:JFI131091 JOU131091:JPE131091 JYQ131091:JZA131091 KIM131091:KIW131091 KSI131091:KSS131091 LCE131091:LCO131091 LMA131091:LMK131091 LVW131091:LWG131091 MFS131091:MGC131091 MPO131091:MPY131091 MZK131091:MZU131091 NJG131091:NJQ131091 NTC131091:NTM131091 OCY131091:ODI131091 OMU131091:ONE131091 OWQ131091:OXA131091 PGM131091:PGW131091 PQI131091:PQS131091 QAE131091:QAO131091 QKA131091:QKK131091 QTW131091:QUG131091 RDS131091:REC131091 RNO131091:RNY131091 RXK131091:RXU131091 SHG131091:SHQ131091 SRC131091:SRM131091 TAY131091:TBI131091 TKU131091:TLE131091 TUQ131091:TVA131091 UEM131091:UEW131091 UOI131091:UOS131091 UYE131091:UYO131091 VIA131091:VIK131091 VRW131091:VSG131091 WBS131091:WCC131091 WLO131091:WLY131091 WVK131091:WVU131091 C196627:M196627 IY196627:JI196627 SU196627:TE196627 ACQ196627:ADA196627 AMM196627:AMW196627 AWI196627:AWS196627 BGE196627:BGO196627 BQA196627:BQK196627 BZW196627:CAG196627 CJS196627:CKC196627 CTO196627:CTY196627 DDK196627:DDU196627 DNG196627:DNQ196627 DXC196627:DXM196627 EGY196627:EHI196627 EQU196627:ERE196627 FAQ196627:FBA196627 FKM196627:FKW196627 FUI196627:FUS196627 GEE196627:GEO196627 GOA196627:GOK196627 GXW196627:GYG196627 HHS196627:HIC196627 HRO196627:HRY196627 IBK196627:IBU196627 ILG196627:ILQ196627 IVC196627:IVM196627 JEY196627:JFI196627 JOU196627:JPE196627 JYQ196627:JZA196627 KIM196627:KIW196627 KSI196627:KSS196627 LCE196627:LCO196627 LMA196627:LMK196627 LVW196627:LWG196627 MFS196627:MGC196627 MPO196627:MPY196627 MZK196627:MZU196627 NJG196627:NJQ196627 NTC196627:NTM196627 OCY196627:ODI196627 OMU196627:ONE196627 OWQ196627:OXA196627 PGM196627:PGW196627 PQI196627:PQS196627 QAE196627:QAO196627 QKA196627:QKK196627 QTW196627:QUG196627 RDS196627:REC196627 RNO196627:RNY196627 RXK196627:RXU196627 SHG196627:SHQ196627 SRC196627:SRM196627 TAY196627:TBI196627 TKU196627:TLE196627 TUQ196627:TVA196627 UEM196627:UEW196627 UOI196627:UOS196627 UYE196627:UYO196627 VIA196627:VIK196627 VRW196627:VSG196627 WBS196627:WCC196627 WLO196627:WLY196627 WVK196627:WVU196627 C262163:M262163 IY262163:JI262163 SU262163:TE262163 ACQ262163:ADA262163 AMM262163:AMW262163 AWI262163:AWS262163 BGE262163:BGO262163 BQA262163:BQK262163 BZW262163:CAG262163 CJS262163:CKC262163 CTO262163:CTY262163 DDK262163:DDU262163 DNG262163:DNQ262163 DXC262163:DXM262163 EGY262163:EHI262163 EQU262163:ERE262163 FAQ262163:FBA262163 FKM262163:FKW262163 FUI262163:FUS262163 GEE262163:GEO262163 GOA262163:GOK262163 GXW262163:GYG262163 HHS262163:HIC262163 HRO262163:HRY262163 IBK262163:IBU262163 ILG262163:ILQ262163 IVC262163:IVM262163 JEY262163:JFI262163 JOU262163:JPE262163 JYQ262163:JZA262163 KIM262163:KIW262163 KSI262163:KSS262163 LCE262163:LCO262163 LMA262163:LMK262163 LVW262163:LWG262163 MFS262163:MGC262163 MPO262163:MPY262163 MZK262163:MZU262163 NJG262163:NJQ262163 NTC262163:NTM262163 OCY262163:ODI262163 OMU262163:ONE262163 OWQ262163:OXA262163 PGM262163:PGW262163 PQI262163:PQS262163 QAE262163:QAO262163 QKA262163:QKK262163 QTW262163:QUG262163 RDS262163:REC262163 RNO262163:RNY262163 RXK262163:RXU262163 SHG262163:SHQ262163 SRC262163:SRM262163 TAY262163:TBI262163 TKU262163:TLE262163 TUQ262163:TVA262163 UEM262163:UEW262163 UOI262163:UOS262163 UYE262163:UYO262163 VIA262163:VIK262163 VRW262163:VSG262163 WBS262163:WCC262163 WLO262163:WLY262163 WVK262163:WVU262163 C327699:M327699 IY327699:JI327699 SU327699:TE327699 ACQ327699:ADA327699 AMM327699:AMW327699 AWI327699:AWS327699 BGE327699:BGO327699 BQA327699:BQK327699 BZW327699:CAG327699 CJS327699:CKC327699 CTO327699:CTY327699 DDK327699:DDU327699 DNG327699:DNQ327699 DXC327699:DXM327699 EGY327699:EHI327699 EQU327699:ERE327699 FAQ327699:FBA327699 FKM327699:FKW327699 FUI327699:FUS327699 GEE327699:GEO327699 GOA327699:GOK327699 GXW327699:GYG327699 HHS327699:HIC327699 HRO327699:HRY327699 IBK327699:IBU327699 ILG327699:ILQ327699 IVC327699:IVM327699 JEY327699:JFI327699 JOU327699:JPE327699 JYQ327699:JZA327699 KIM327699:KIW327699 KSI327699:KSS327699 LCE327699:LCO327699 LMA327699:LMK327699 LVW327699:LWG327699 MFS327699:MGC327699 MPO327699:MPY327699 MZK327699:MZU327699 NJG327699:NJQ327699 NTC327699:NTM327699 OCY327699:ODI327699 OMU327699:ONE327699 OWQ327699:OXA327699 PGM327699:PGW327699 PQI327699:PQS327699 QAE327699:QAO327699 QKA327699:QKK327699 QTW327699:QUG327699 RDS327699:REC327699 RNO327699:RNY327699 RXK327699:RXU327699 SHG327699:SHQ327699 SRC327699:SRM327699 TAY327699:TBI327699 TKU327699:TLE327699 TUQ327699:TVA327699 UEM327699:UEW327699 UOI327699:UOS327699 UYE327699:UYO327699 VIA327699:VIK327699 VRW327699:VSG327699 WBS327699:WCC327699 WLO327699:WLY327699 WVK327699:WVU327699 C393235:M393235 IY393235:JI393235 SU393235:TE393235 ACQ393235:ADA393235 AMM393235:AMW393235 AWI393235:AWS393235 BGE393235:BGO393235 BQA393235:BQK393235 BZW393235:CAG393235 CJS393235:CKC393235 CTO393235:CTY393235 DDK393235:DDU393235 DNG393235:DNQ393235 DXC393235:DXM393235 EGY393235:EHI393235 EQU393235:ERE393235 FAQ393235:FBA393235 FKM393235:FKW393235 FUI393235:FUS393235 GEE393235:GEO393235 GOA393235:GOK393235 GXW393235:GYG393235 HHS393235:HIC393235 HRO393235:HRY393235 IBK393235:IBU393235 ILG393235:ILQ393235 IVC393235:IVM393235 JEY393235:JFI393235 JOU393235:JPE393235 JYQ393235:JZA393235 KIM393235:KIW393235 KSI393235:KSS393235 LCE393235:LCO393235 LMA393235:LMK393235 LVW393235:LWG393235 MFS393235:MGC393235 MPO393235:MPY393235 MZK393235:MZU393235 NJG393235:NJQ393235 NTC393235:NTM393235 OCY393235:ODI393235 OMU393235:ONE393235 OWQ393235:OXA393235 PGM393235:PGW393235 PQI393235:PQS393235 QAE393235:QAO393235 QKA393235:QKK393235 QTW393235:QUG393235 RDS393235:REC393235 RNO393235:RNY393235 RXK393235:RXU393235 SHG393235:SHQ393235 SRC393235:SRM393235 TAY393235:TBI393235 TKU393235:TLE393235 TUQ393235:TVA393235 UEM393235:UEW393235 UOI393235:UOS393235 UYE393235:UYO393235 VIA393235:VIK393235 VRW393235:VSG393235 WBS393235:WCC393235 WLO393235:WLY393235 WVK393235:WVU393235 C458771:M458771 IY458771:JI458771 SU458771:TE458771 ACQ458771:ADA458771 AMM458771:AMW458771 AWI458771:AWS458771 BGE458771:BGO458771 BQA458771:BQK458771 BZW458771:CAG458771 CJS458771:CKC458771 CTO458771:CTY458771 DDK458771:DDU458771 DNG458771:DNQ458771 DXC458771:DXM458771 EGY458771:EHI458771 EQU458771:ERE458771 FAQ458771:FBA458771 FKM458771:FKW458771 FUI458771:FUS458771 GEE458771:GEO458771 GOA458771:GOK458771 GXW458771:GYG458771 HHS458771:HIC458771 HRO458771:HRY458771 IBK458771:IBU458771 ILG458771:ILQ458771 IVC458771:IVM458771 JEY458771:JFI458771 JOU458771:JPE458771 JYQ458771:JZA458771 KIM458771:KIW458771 KSI458771:KSS458771 LCE458771:LCO458771 LMA458771:LMK458771 LVW458771:LWG458771 MFS458771:MGC458771 MPO458771:MPY458771 MZK458771:MZU458771 NJG458771:NJQ458771 NTC458771:NTM458771 OCY458771:ODI458771 OMU458771:ONE458771 OWQ458771:OXA458771 PGM458771:PGW458771 PQI458771:PQS458771 QAE458771:QAO458771 QKA458771:QKK458771 QTW458771:QUG458771 RDS458771:REC458771 RNO458771:RNY458771 RXK458771:RXU458771 SHG458771:SHQ458771 SRC458771:SRM458771 TAY458771:TBI458771 TKU458771:TLE458771 TUQ458771:TVA458771 UEM458771:UEW458771 UOI458771:UOS458771 UYE458771:UYO458771 VIA458771:VIK458771 VRW458771:VSG458771 WBS458771:WCC458771 WLO458771:WLY458771 WVK458771:WVU458771 C524307:M524307 IY524307:JI524307 SU524307:TE524307 ACQ524307:ADA524307 AMM524307:AMW524307 AWI524307:AWS524307 BGE524307:BGO524307 BQA524307:BQK524307 BZW524307:CAG524307 CJS524307:CKC524307 CTO524307:CTY524307 DDK524307:DDU524307 DNG524307:DNQ524307 DXC524307:DXM524307 EGY524307:EHI524307 EQU524307:ERE524307 FAQ524307:FBA524307 FKM524307:FKW524307 FUI524307:FUS524307 GEE524307:GEO524307 GOA524307:GOK524307 GXW524307:GYG524307 HHS524307:HIC524307 HRO524307:HRY524307 IBK524307:IBU524307 ILG524307:ILQ524307 IVC524307:IVM524307 JEY524307:JFI524307 JOU524307:JPE524307 JYQ524307:JZA524307 KIM524307:KIW524307 KSI524307:KSS524307 LCE524307:LCO524307 LMA524307:LMK524307 LVW524307:LWG524307 MFS524307:MGC524307 MPO524307:MPY524307 MZK524307:MZU524307 NJG524307:NJQ524307 NTC524307:NTM524307 OCY524307:ODI524307 OMU524307:ONE524307 OWQ524307:OXA524307 PGM524307:PGW524307 PQI524307:PQS524307 QAE524307:QAO524307 QKA524307:QKK524307 QTW524307:QUG524307 RDS524307:REC524307 RNO524307:RNY524307 RXK524307:RXU524307 SHG524307:SHQ524307 SRC524307:SRM524307 TAY524307:TBI524307 TKU524307:TLE524307 TUQ524307:TVA524307 UEM524307:UEW524307 UOI524307:UOS524307 UYE524307:UYO524307 VIA524307:VIK524307 VRW524307:VSG524307 WBS524307:WCC524307 WLO524307:WLY524307 WVK524307:WVU524307 C589843:M589843 IY589843:JI589843 SU589843:TE589843 ACQ589843:ADA589843 AMM589843:AMW589843 AWI589843:AWS589843 BGE589843:BGO589843 BQA589843:BQK589843 BZW589843:CAG589843 CJS589843:CKC589843 CTO589843:CTY589843 DDK589843:DDU589843 DNG589843:DNQ589843 DXC589843:DXM589843 EGY589843:EHI589843 EQU589843:ERE589843 FAQ589843:FBA589843 FKM589843:FKW589843 FUI589843:FUS589843 GEE589843:GEO589843 GOA589843:GOK589843 GXW589843:GYG589843 HHS589843:HIC589843 HRO589843:HRY589843 IBK589843:IBU589843 ILG589843:ILQ589843 IVC589843:IVM589843 JEY589843:JFI589843 JOU589843:JPE589843 JYQ589843:JZA589843 KIM589843:KIW589843 KSI589843:KSS589843 LCE589843:LCO589843 LMA589843:LMK589843 LVW589843:LWG589843 MFS589843:MGC589843 MPO589843:MPY589843 MZK589843:MZU589843 NJG589843:NJQ589843 NTC589843:NTM589843 OCY589843:ODI589843 OMU589843:ONE589843 OWQ589843:OXA589843 PGM589843:PGW589843 PQI589843:PQS589843 QAE589843:QAO589843 QKA589843:QKK589843 QTW589843:QUG589843 RDS589843:REC589843 RNO589843:RNY589843 RXK589843:RXU589843 SHG589843:SHQ589843 SRC589843:SRM589843 TAY589843:TBI589843 TKU589843:TLE589843 TUQ589843:TVA589843 UEM589843:UEW589843 UOI589843:UOS589843 UYE589843:UYO589843 VIA589843:VIK589843 VRW589843:VSG589843 WBS589843:WCC589843 WLO589843:WLY589843 WVK589843:WVU589843 C655379:M655379 IY655379:JI655379 SU655379:TE655379 ACQ655379:ADA655379 AMM655379:AMW655379 AWI655379:AWS655379 BGE655379:BGO655379 BQA655379:BQK655379 BZW655379:CAG655379 CJS655379:CKC655379 CTO655379:CTY655379 DDK655379:DDU655379 DNG655379:DNQ655379 DXC655379:DXM655379 EGY655379:EHI655379 EQU655379:ERE655379 FAQ655379:FBA655379 FKM655379:FKW655379 FUI655379:FUS655379 GEE655379:GEO655379 GOA655379:GOK655379 GXW655379:GYG655379 HHS655379:HIC655379 HRO655379:HRY655379 IBK655379:IBU655379 ILG655379:ILQ655379 IVC655379:IVM655379 JEY655379:JFI655379 JOU655379:JPE655379 JYQ655379:JZA655379 KIM655379:KIW655379 KSI655379:KSS655379 LCE655379:LCO655379 LMA655379:LMK655379 LVW655379:LWG655379 MFS655379:MGC655379 MPO655379:MPY655379 MZK655379:MZU655379 NJG655379:NJQ655379 NTC655379:NTM655379 OCY655379:ODI655379 OMU655379:ONE655379 OWQ655379:OXA655379 PGM655379:PGW655379 PQI655379:PQS655379 QAE655379:QAO655379 QKA655379:QKK655379 QTW655379:QUG655379 RDS655379:REC655379 RNO655379:RNY655379 RXK655379:RXU655379 SHG655379:SHQ655379 SRC655379:SRM655379 TAY655379:TBI655379 TKU655379:TLE655379 TUQ655379:TVA655379 UEM655379:UEW655379 UOI655379:UOS655379 UYE655379:UYO655379 VIA655379:VIK655379 VRW655379:VSG655379 WBS655379:WCC655379 WLO655379:WLY655379 WVK655379:WVU655379 C720915:M720915 IY720915:JI720915 SU720915:TE720915 ACQ720915:ADA720915 AMM720915:AMW720915 AWI720915:AWS720915 BGE720915:BGO720915 BQA720915:BQK720915 BZW720915:CAG720915 CJS720915:CKC720915 CTO720915:CTY720915 DDK720915:DDU720915 DNG720915:DNQ720915 DXC720915:DXM720915 EGY720915:EHI720915 EQU720915:ERE720915 FAQ720915:FBA720915 FKM720915:FKW720915 FUI720915:FUS720915 GEE720915:GEO720915 GOA720915:GOK720915 GXW720915:GYG720915 HHS720915:HIC720915 HRO720915:HRY720915 IBK720915:IBU720915 ILG720915:ILQ720915 IVC720915:IVM720915 JEY720915:JFI720915 JOU720915:JPE720915 JYQ720915:JZA720915 KIM720915:KIW720915 KSI720915:KSS720915 LCE720915:LCO720915 LMA720915:LMK720915 LVW720915:LWG720915 MFS720915:MGC720915 MPO720915:MPY720915 MZK720915:MZU720915 NJG720915:NJQ720915 NTC720915:NTM720915 OCY720915:ODI720915 OMU720915:ONE720915 OWQ720915:OXA720915 PGM720915:PGW720915 PQI720915:PQS720915 QAE720915:QAO720915 QKA720915:QKK720915 QTW720915:QUG720915 RDS720915:REC720915 RNO720915:RNY720915 RXK720915:RXU720915 SHG720915:SHQ720915 SRC720915:SRM720915 TAY720915:TBI720915 TKU720915:TLE720915 TUQ720915:TVA720915 UEM720915:UEW720915 UOI720915:UOS720915 UYE720915:UYO720915 VIA720915:VIK720915 VRW720915:VSG720915 WBS720915:WCC720915 WLO720915:WLY720915 WVK720915:WVU720915 C786451:M786451 IY786451:JI786451 SU786451:TE786451 ACQ786451:ADA786451 AMM786451:AMW786451 AWI786451:AWS786451 BGE786451:BGO786451 BQA786451:BQK786451 BZW786451:CAG786451 CJS786451:CKC786451 CTO786451:CTY786451 DDK786451:DDU786451 DNG786451:DNQ786451 DXC786451:DXM786451 EGY786451:EHI786451 EQU786451:ERE786451 FAQ786451:FBA786451 FKM786451:FKW786451 FUI786451:FUS786451 GEE786451:GEO786451 GOA786451:GOK786451 GXW786451:GYG786451 HHS786451:HIC786451 HRO786451:HRY786451 IBK786451:IBU786451 ILG786451:ILQ786451 IVC786451:IVM786451 JEY786451:JFI786451 JOU786451:JPE786451 JYQ786451:JZA786451 KIM786451:KIW786451 KSI786451:KSS786451 LCE786451:LCO786451 LMA786451:LMK786451 LVW786451:LWG786451 MFS786451:MGC786451 MPO786451:MPY786451 MZK786451:MZU786451 NJG786451:NJQ786451 NTC786451:NTM786451 OCY786451:ODI786451 OMU786451:ONE786451 OWQ786451:OXA786451 PGM786451:PGW786451 PQI786451:PQS786451 QAE786451:QAO786451 QKA786451:QKK786451 QTW786451:QUG786451 RDS786451:REC786451 RNO786451:RNY786451 RXK786451:RXU786451 SHG786451:SHQ786451 SRC786451:SRM786451 TAY786451:TBI786451 TKU786451:TLE786451 TUQ786451:TVA786451 UEM786451:UEW786451 UOI786451:UOS786451 UYE786451:UYO786451 VIA786451:VIK786451 VRW786451:VSG786451 WBS786451:WCC786451 WLO786451:WLY786451 WVK786451:WVU786451 C851987:M851987 IY851987:JI851987 SU851987:TE851987 ACQ851987:ADA851987 AMM851987:AMW851987 AWI851987:AWS851987 BGE851987:BGO851987 BQA851987:BQK851987 BZW851987:CAG851987 CJS851987:CKC851987 CTO851987:CTY851987 DDK851987:DDU851987 DNG851987:DNQ851987 DXC851987:DXM851987 EGY851987:EHI851987 EQU851987:ERE851987 FAQ851987:FBA851987 FKM851987:FKW851987 FUI851987:FUS851987 GEE851987:GEO851987 GOA851987:GOK851987 GXW851987:GYG851987 HHS851987:HIC851987 HRO851987:HRY851987 IBK851987:IBU851987 ILG851987:ILQ851987 IVC851987:IVM851987 JEY851987:JFI851987 JOU851987:JPE851987 JYQ851987:JZA851987 KIM851987:KIW851987 KSI851987:KSS851987 LCE851987:LCO851987 LMA851987:LMK851987 LVW851987:LWG851987 MFS851987:MGC851987 MPO851987:MPY851987 MZK851987:MZU851987 NJG851987:NJQ851987 NTC851987:NTM851987 OCY851987:ODI851987 OMU851987:ONE851987 OWQ851987:OXA851987 PGM851987:PGW851987 PQI851987:PQS851987 QAE851987:QAO851987 QKA851987:QKK851987 QTW851987:QUG851987 RDS851987:REC851987 RNO851987:RNY851987 RXK851987:RXU851987 SHG851987:SHQ851987 SRC851987:SRM851987 TAY851987:TBI851987 TKU851987:TLE851987 TUQ851987:TVA851987 UEM851987:UEW851987 UOI851987:UOS851987 UYE851987:UYO851987 VIA851987:VIK851987 VRW851987:VSG851987 WBS851987:WCC851987 WLO851987:WLY851987 WVK851987:WVU851987 C917523:M917523 IY917523:JI917523 SU917523:TE917523 ACQ917523:ADA917523 AMM917523:AMW917523 AWI917523:AWS917523 BGE917523:BGO917523 BQA917523:BQK917523 BZW917523:CAG917523 CJS917523:CKC917523 CTO917523:CTY917523 DDK917523:DDU917523 DNG917523:DNQ917523 DXC917523:DXM917523 EGY917523:EHI917523 EQU917523:ERE917523 FAQ917523:FBA917523 FKM917523:FKW917523 FUI917523:FUS917523 GEE917523:GEO917523 GOA917523:GOK917523 GXW917523:GYG917523 HHS917523:HIC917523 HRO917523:HRY917523 IBK917523:IBU917523 ILG917523:ILQ917523 IVC917523:IVM917523 JEY917523:JFI917523 JOU917523:JPE917523 JYQ917523:JZA917523 KIM917523:KIW917523 KSI917523:KSS917523 LCE917523:LCO917523 LMA917523:LMK917523 LVW917523:LWG917523 MFS917523:MGC917523 MPO917523:MPY917523 MZK917523:MZU917523 NJG917523:NJQ917523 NTC917523:NTM917523 OCY917523:ODI917523 OMU917523:ONE917523 OWQ917523:OXA917523 PGM917523:PGW917523 PQI917523:PQS917523 QAE917523:QAO917523 QKA917523:QKK917523 QTW917523:QUG917523 RDS917523:REC917523 RNO917523:RNY917523 RXK917523:RXU917523 SHG917523:SHQ917523 SRC917523:SRM917523 TAY917523:TBI917523 TKU917523:TLE917523 TUQ917523:TVA917523 UEM917523:UEW917523 UOI917523:UOS917523 UYE917523:UYO917523 VIA917523:VIK917523 VRW917523:VSG917523 WBS917523:WCC917523 WLO917523:WLY917523 WVK917523:WVU917523 C983059:M983059 IY983059:JI983059 SU983059:TE983059 ACQ983059:ADA983059 AMM983059:AMW983059 AWI983059:AWS983059 BGE983059:BGO983059 BQA983059:BQK983059 BZW983059:CAG983059 CJS983059:CKC983059 CTO983059:CTY983059 DDK983059:DDU983059 DNG983059:DNQ983059 DXC983059:DXM983059 EGY983059:EHI983059 EQU983059:ERE983059 FAQ983059:FBA983059 FKM983059:FKW983059 FUI983059:FUS983059 GEE983059:GEO983059 GOA983059:GOK983059 GXW983059:GYG983059 HHS983059:HIC983059 HRO983059:HRY983059 IBK983059:IBU983059 ILG983059:ILQ983059 IVC983059:IVM983059 JEY983059:JFI983059 JOU983059:JPE983059 JYQ983059:JZA983059 KIM983059:KIW983059 KSI983059:KSS983059 LCE983059:LCO983059 LMA983059:LMK983059 LVW983059:LWG983059 MFS983059:MGC983059 MPO983059:MPY983059 MZK983059:MZU983059 NJG983059:NJQ983059 NTC983059:NTM983059 OCY983059:ODI983059 OMU983059:ONE983059 OWQ983059:OXA983059 PGM983059:PGW983059 PQI983059:PQS983059 QAE983059:QAO983059 QKA983059:QKK983059 QTW983059:QUG983059 RDS983059:REC983059 RNO983059:RNY983059 RXK983059:RXU983059 SHG983059:SHQ983059 SRC983059:SRM983059 TAY983059:TBI983059 TKU983059:TLE983059 TUQ983059:TVA983059 UEM983059:UEW983059 UOI983059:UOS983059 UYE983059:UYO983059 VIA983059:VIK983059 VRW983059:VSG983059 WBS983059:WCC983059 WLO983059:WLY983059 WVK983059:WVU983059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8C067-B57A-4A31-A76F-E0285C4DC6AB}">
  <dimension ref="A1:D55"/>
  <sheetViews>
    <sheetView workbookViewId="0">
      <selection activeCell="B2" sqref="B2"/>
    </sheetView>
  </sheetViews>
  <sheetFormatPr defaultColWidth="9.109375" defaultRowHeight="10.199999999999999" x14ac:dyDescent="0.2"/>
  <cols>
    <col min="1" max="1" width="5" style="3" customWidth="1"/>
    <col min="2" max="2" width="13.5546875" style="3" customWidth="1"/>
    <col min="3" max="3" width="17.44140625" style="3" customWidth="1"/>
    <col min="4" max="4" width="26" style="18" customWidth="1"/>
    <col min="5" max="256" width="9.109375" style="3"/>
    <col min="257" max="257" width="5" style="3" customWidth="1"/>
    <col min="258" max="258" width="13.5546875" style="3" customWidth="1"/>
    <col min="259" max="259" width="17.44140625" style="3" customWidth="1"/>
    <col min="260" max="260" width="26" style="3" customWidth="1"/>
    <col min="261" max="512" width="9.109375" style="3"/>
    <col min="513" max="513" width="5" style="3" customWidth="1"/>
    <col min="514" max="514" width="13.5546875" style="3" customWidth="1"/>
    <col min="515" max="515" width="17.44140625" style="3" customWidth="1"/>
    <col min="516" max="516" width="26" style="3" customWidth="1"/>
    <col min="517" max="768" width="9.109375" style="3"/>
    <col min="769" max="769" width="5" style="3" customWidth="1"/>
    <col min="770" max="770" width="13.5546875" style="3" customWidth="1"/>
    <col min="771" max="771" width="17.44140625" style="3" customWidth="1"/>
    <col min="772" max="772" width="26" style="3" customWidth="1"/>
    <col min="773" max="1024" width="9.109375" style="3"/>
    <col min="1025" max="1025" width="5" style="3" customWidth="1"/>
    <col min="1026" max="1026" width="13.5546875" style="3" customWidth="1"/>
    <col min="1027" max="1027" width="17.44140625" style="3" customWidth="1"/>
    <col min="1028" max="1028" width="26" style="3" customWidth="1"/>
    <col min="1029" max="1280" width="9.109375" style="3"/>
    <col min="1281" max="1281" width="5" style="3" customWidth="1"/>
    <col min="1282" max="1282" width="13.5546875" style="3" customWidth="1"/>
    <col min="1283" max="1283" width="17.44140625" style="3" customWidth="1"/>
    <col min="1284" max="1284" width="26" style="3" customWidth="1"/>
    <col min="1285" max="1536" width="9.109375" style="3"/>
    <col min="1537" max="1537" width="5" style="3" customWidth="1"/>
    <col min="1538" max="1538" width="13.5546875" style="3" customWidth="1"/>
    <col min="1539" max="1539" width="17.44140625" style="3" customWidth="1"/>
    <col min="1540" max="1540" width="26" style="3" customWidth="1"/>
    <col min="1541" max="1792" width="9.109375" style="3"/>
    <col min="1793" max="1793" width="5" style="3" customWidth="1"/>
    <col min="1794" max="1794" width="13.5546875" style="3" customWidth="1"/>
    <col min="1795" max="1795" width="17.44140625" style="3" customWidth="1"/>
    <col min="1796" max="1796" width="26" style="3" customWidth="1"/>
    <col min="1797" max="2048" width="9.109375" style="3"/>
    <col min="2049" max="2049" width="5" style="3" customWidth="1"/>
    <col min="2050" max="2050" width="13.5546875" style="3" customWidth="1"/>
    <col min="2051" max="2051" width="17.44140625" style="3" customWidth="1"/>
    <col min="2052" max="2052" width="26" style="3" customWidth="1"/>
    <col min="2053" max="2304" width="9.109375" style="3"/>
    <col min="2305" max="2305" width="5" style="3" customWidth="1"/>
    <col min="2306" max="2306" width="13.5546875" style="3" customWidth="1"/>
    <col min="2307" max="2307" width="17.44140625" style="3" customWidth="1"/>
    <col min="2308" max="2308" width="26" style="3" customWidth="1"/>
    <col min="2309" max="2560" width="9.109375" style="3"/>
    <col min="2561" max="2561" width="5" style="3" customWidth="1"/>
    <col min="2562" max="2562" width="13.5546875" style="3" customWidth="1"/>
    <col min="2563" max="2563" width="17.44140625" style="3" customWidth="1"/>
    <col min="2564" max="2564" width="26" style="3" customWidth="1"/>
    <col min="2565" max="2816" width="9.109375" style="3"/>
    <col min="2817" max="2817" width="5" style="3" customWidth="1"/>
    <col min="2818" max="2818" width="13.5546875" style="3" customWidth="1"/>
    <col min="2819" max="2819" width="17.44140625" style="3" customWidth="1"/>
    <col min="2820" max="2820" width="26" style="3" customWidth="1"/>
    <col min="2821" max="3072" width="9.109375" style="3"/>
    <col min="3073" max="3073" width="5" style="3" customWidth="1"/>
    <col min="3074" max="3074" width="13.5546875" style="3" customWidth="1"/>
    <col min="3075" max="3075" width="17.44140625" style="3" customWidth="1"/>
    <col min="3076" max="3076" width="26" style="3" customWidth="1"/>
    <col min="3077" max="3328" width="9.109375" style="3"/>
    <col min="3329" max="3329" width="5" style="3" customWidth="1"/>
    <col min="3330" max="3330" width="13.5546875" style="3" customWidth="1"/>
    <col min="3331" max="3331" width="17.44140625" style="3" customWidth="1"/>
    <col min="3332" max="3332" width="26" style="3" customWidth="1"/>
    <col min="3333" max="3584" width="9.109375" style="3"/>
    <col min="3585" max="3585" width="5" style="3" customWidth="1"/>
    <col min="3586" max="3586" width="13.5546875" style="3" customWidth="1"/>
    <col min="3587" max="3587" width="17.44140625" style="3" customWidth="1"/>
    <col min="3588" max="3588" width="26" style="3" customWidth="1"/>
    <col min="3589" max="3840" width="9.109375" style="3"/>
    <col min="3841" max="3841" width="5" style="3" customWidth="1"/>
    <col min="3842" max="3842" width="13.5546875" style="3" customWidth="1"/>
    <col min="3843" max="3843" width="17.44140625" style="3" customWidth="1"/>
    <col min="3844" max="3844" width="26" style="3" customWidth="1"/>
    <col min="3845" max="4096" width="9.109375" style="3"/>
    <col min="4097" max="4097" width="5" style="3" customWidth="1"/>
    <col min="4098" max="4098" width="13.5546875" style="3" customWidth="1"/>
    <col min="4099" max="4099" width="17.44140625" style="3" customWidth="1"/>
    <col min="4100" max="4100" width="26" style="3" customWidth="1"/>
    <col min="4101" max="4352" width="9.109375" style="3"/>
    <col min="4353" max="4353" width="5" style="3" customWidth="1"/>
    <col min="4354" max="4354" width="13.5546875" style="3" customWidth="1"/>
    <col min="4355" max="4355" width="17.44140625" style="3" customWidth="1"/>
    <col min="4356" max="4356" width="26" style="3" customWidth="1"/>
    <col min="4357" max="4608" width="9.109375" style="3"/>
    <col min="4609" max="4609" width="5" style="3" customWidth="1"/>
    <col min="4610" max="4610" width="13.5546875" style="3" customWidth="1"/>
    <col min="4611" max="4611" width="17.44140625" style="3" customWidth="1"/>
    <col min="4612" max="4612" width="26" style="3" customWidth="1"/>
    <col min="4613" max="4864" width="9.109375" style="3"/>
    <col min="4865" max="4865" width="5" style="3" customWidth="1"/>
    <col min="4866" max="4866" width="13.5546875" style="3" customWidth="1"/>
    <col min="4867" max="4867" width="17.44140625" style="3" customWidth="1"/>
    <col min="4868" max="4868" width="26" style="3" customWidth="1"/>
    <col min="4869" max="5120" width="9.109375" style="3"/>
    <col min="5121" max="5121" width="5" style="3" customWidth="1"/>
    <col min="5122" max="5122" width="13.5546875" style="3" customWidth="1"/>
    <col min="5123" max="5123" width="17.44140625" style="3" customWidth="1"/>
    <col min="5124" max="5124" width="26" style="3" customWidth="1"/>
    <col min="5125" max="5376" width="9.109375" style="3"/>
    <col min="5377" max="5377" width="5" style="3" customWidth="1"/>
    <col min="5378" max="5378" width="13.5546875" style="3" customWidth="1"/>
    <col min="5379" max="5379" width="17.44140625" style="3" customWidth="1"/>
    <col min="5380" max="5380" width="26" style="3" customWidth="1"/>
    <col min="5381" max="5632" width="9.109375" style="3"/>
    <col min="5633" max="5633" width="5" style="3" customWidth="1"/>
    <col min="5634" max="5634" width="13.5546875" style="3" customWidth="1"/>
    <col min="5635" max="5635" width="17.44140625" style="3" customWidth="1"/>
    <col min="5636" max="5636" width="26" style="3" customWidth="1"/>
    <col min="5637" max="5888" width="9.109375" style="3"/>
    <col min="5889" max="5889" width="5" style="3" customWidth="1"/>
    <col min="5890" max="5890" width="13.5546875" style="3" customWidth="1"/>
    <col min="5891" max="5891" width="17.44140625" style="3" customWidth="1"/>
    <col min="5892" max="5892" width="26" style="3" customWidth="1"/>
    <col min="5893" max="6144" width="9.109375" style="3"/>
    <col min="6145" max="6145" width="5" style="3" customWidth="1"/>
    <col min="6146" max="6146" width="13.5546875" style="3" customWidth="1"/>
    <col min="6147" max="6147" width="17.44140625" style="3" customWidth="1"/>
    <col min="6148" max="6148" width="26" style="3" customWidth="1"/>
    <col min="6149" max="6400" width="9.109375" style="3"/>
    <col min="6401" max="6401" width="5" style="3" customWidth="1"/>
    <col min="6402" max="6402" width="13.5546875" style="3" customWidth="1"/>
    <col min="6403" max="6403" width="17.44140625" style="3" customWidth="1"/>
    <col min="6404" max="6404" width="26" style="3" customWidth="1"/>
    <col min="6405" max="6656" width="9.109375" style="3"/>
    <col min="6657" max="6657" width="5" style="3" customWidth="1"/>
    <col min="6658" max="6658" width="13.5546875" style="3" customWidth="1"/>
    <col min="6659" max="6659" width="17.44140625" style="3" customWidth="1"/>
    <col min="6660" max="6660" width="26" style="3" customWidth="1"/>
    <col min="6661" max="6912" width="9.109375" style="3"/>
    <col min="6913" max="6913" width="5" style="3" customWidth="1"/>
    <col min="6914" max="6914" width="13.5546875" style="3" customWidth="1"/>
    <col min="6915" max="6915" width="17.44140625" style="3" customWidth="1"/>
    <col min="6916" max="6916" width="26" style="3" customWidth="1"/>
    <col min="6917" max="7168" width="9.109375" style="3"/>
    <col min="7169" max="7169" width="5" style="3" customWidth="1"/>
    <col min="7170" max="7170" width="13.5546875" style="3" customWidth="1"/>
    <col min="7171" max="7171" width="17.44140625" style="3" customWidth="1"/>
    <col min="7172" max="7172" width="26" style="3" customWidth="1"/>
    <col min="7173" max="7424" width="9.109375" style="3"/>
    <col min="7425" max="7425" width="5" style="3" customWidth="1"/>
    <col min="7426" max="7426" width="13.5546875" style="3" customWidth="1"/>
    <col min="7427" max="7427" width="17.44140625" style="3" customWidth="1"/>
    <col min="7428" max="7428" width="26" style="3" customWidth="1"/>
    <col min="7429" max="7680" width="9.109375" style="3"/>
    <col min="7681" max="7681" width="5" style="3" customWidth="1"/>
    <col min="7682" max="7682" width="13.5546875" style="3" customWidth="1"/>
    <col min="7683" max="7683" width="17.44140625" style="3" customWidth="1"/>
    <col min="7684" max="7684" width="26" style="3" customWidth="1"/>
    <col min="7685" max="7936" width="9.109375" style="3"/>
    <col min="7937" max="7937" width="5" style="3" customWidth="1"/>
    <col min="7938" max="7938" width="13.5546875" style="3" customWidth="1"/>
    <col min="7939" max="7939" width="17.44140625" style="3" customWidth="1"/>
    <col min="7940" max="7940" width="26" style="3" customWidth="1"/>
    <col min="7941" max="8192" width="9.109375" style="3"/>
    <col min="8193" max="8193" width="5" style="3" customWidth="1"/>
    <col min="8194" max="8194" width="13.5546875" style="3" customWidth="1"/>
    <col min="8195" max="8195" width="17.44140625" style="3" customWidth="1"/>
    <col min="8196" max="8196" width="26" style="3" customWidth="1"/>
    <col min="8197" max="8448" width="9.109375" style="3"/>
    <col min="8449" max="8449" width="5" style="3" customWidth="1"/>
    <col min="8450" max="8450" width="13.5546875" style="3" customWidth="1"/>
    <col min="8451" max="8451" width="17.44140625" style="3" customWidth="1"/>
    <col min="8452" max="8452" width="26" style="3" customWidth="1"/>
    <col min="8453" max="8704" width="9.109375" style="3"/>
    <col min="8705" max="8705" width="5" style="3" customWidth="1"/>
    <col min="8706" max="8706" width="13.5546875" style="3" customWidth="1"/>
    <col min="8707" max="8707" width="17.44140625" style="3" customWidth="1"/>
    <col min="8708" max="8708" width="26" style="3" customWidth="1"/>
    <col min="8709" max="8960" width="9.109375" style="3"/>
    <col min="8961" max="8961" width="5" style="3" customWidth="1"/>
    <col min="8962" max="8962" width="13.5546875" style="3" customWidth="1"/>
    <col min="8963" max="8963" width="17.44140625" style="3" customWidth="1"/>
    <col min="8964" max="8964" width="26" style="3" customWidth="1"/>
    <col min="8965" max="9216" width="9.109375" style="3"/>
    <col min="9217" max="9217" width="5" style="3" customWidth="1"/>
    <col min="9218" max="9218" width="13.5546875" style="3" customWidth="1"/>
    <col min="9219" max="9219" width="17.44140625" style="3" customWidth="1"/>
    <col min="9220" max="9220" width="26" style="3" customWidth="1"/>
    <col min="9221" max="9472" width="9.109375" style="3"/>
    <col min="9473" max="9473" width="5" style="3" customWidth="1"/>
    <col min="9474" max="9474" width="13.5546875" style="3" customWidth="1"/>
    <col min="9475" max="9475" width="17.44140625" style="3" customWidth="1"/>
    <col min="9476" max="9476" width="26" style="3" customWidth="1"/>
    <col min="9477" max="9728" width="9.109375" style="3"/>
    <col min="9729" max="9729" width="5" style="3" customWidth="1"/>
    <col min="9730" max="9730" width="13.5546875" style="3" customWidth="1"/>
    <col min="9731" max="9731" width="17.44140625" style="3" customWidth="1"/>
    <col min="9732" max="9732" width="26" style="3" customWidth="1"/>
    <col min="9733" max="9984" width="9.109375" style="3"/>
    <col min="9985" max="9985" width="5" style="3" customWidth="1"/>
    <col min="9986" max="9986" width="13.5546875" style="3" customWidth="1"/>
    <col min="9987" max="9987" width="17.44140625" style="3" customWidth="1"/>
    <col min="9988" max="9988" width="26" style="3" customWidth="1"/>
    <col min="9989" max="10240" width="9.109375" style="3"/>
    <col min="10241" max="10241" width="5" style="3" customWidth="1"/>
    <col min="10242" max="10242" width="13.5546875" style="3" customWidth="1"/>
    <col min="10243" max="10243" width="17.44140625" style="3" customWidth="1"/>
    <col min="10244" max="10244" width="26" style="3" customWidth="1"/>
    <col min="10245" max="10496" width="9.109375" style="3"/>
    <col min="10497" max="10497" width="5" style="3" customWidth="1"/>
    <col min="10498" max="10498" width="13.5546875" style="3" customWidth="1"/>
    <col min="10499" max="10499" width="17.44140625" style="3" customWidth="1"/>
    <col min="10500" max="10500" width="26" style="3" customWidth="1"/>
    <col min="10501" max="10752" width="9.109375" style="3"/>
    <col min="10753" max="10753" width="5" style="3" customWidth="1"/>
    <col min="10754" max="10754" width="13.5546875" style="3" customWidth="1"/>
    <col min="10755" max="10755" width="17.44140625" style="3" customWidth="1"/>
    <col min="10756" max="10756" width="26" style="3" customWidth="1"/>
    <col min="10757" max="11008" width="9.109375" style="3"/>
    <col min="11009" max="11009" width="5" style="3" customWidth="1"/>
    <col min="11010" max="11010" width="13.5546875" style="3" customWidth="1"/>
    <col min="11011" max="11011" width="17.44140625" style="3" customWidth="1"/>
    <col min="11012" max="11012" width="26" style="3" customWidth="1"/>
    <col min="11013" max="11264" width="9.109375" style="3"/>
    <col min="11265" max="11265" width="5" style="3" customWidth="1"/>
    <col min="11266" max="11266" width="13.5546875" style="3" customWidth="1"/>
    <col min="11267" max="11267" width="17.44140625" style="3" customWidth="1"/>
    <col min="11268" max="11268" width="26" style="3" customWidth="1"/>
    <col min="11269" max="11520" width="9.109375" style="3"/>
    <col min="11521" max="11521" width="5" style="3" customWidth="1"/>
    <col min="11522" max="11522" width="13.5546875" style="3" customWidth="1"/>
    <col min="11523" max="11523" width="17.44140625" style="3" customWidth="1"/>
    <col min="11524" max="11524" width="26" style="3" customWidth="1"/>
    <col min="11525" max="11776" width="9.109375" style="3"/>
    <col min="11777" max="11777" width="5" style="3" customWidth="1"/>
    <col min="11778" max="11778" width="13.5546875" style="3" customWidth="1"/>
    <col min="11779" max="11779" width="17.44140625" style="3" customWidth="1"/>
    <col min="11780" max="11780" width="26" style="3" customWidth="1"/>
    <col min="11781" max="12032" width="9.109375" style="3"/>
    <col min="12033" max="12033" width="5" style="3" customWidth="1"/>
    <col min="12034" max="12034" width="13.5546875" style="3" customWidth="1"/>
    <col min="12035" max="12035" width="17.44140625" style="3" customWidth="1"/>
    <col min="12036" max="12036" width="26" style="3" customWidth="1"/>
    <col min="12037" max="12288" width="9.109375" style="3"/>
    <col min="12289" max="12289" width="5" style="3" customWidth="1"/>
    <col min="12290" max="12290" width="13.5546875" style="3" customWidth="1"/>
    <col min="12291" max="12291" width="17.44140625" style="3" customWidth="1"/>
    <col min="12292" max="12292" width="26" style="3" customWidth="1"/>
    <col min="12293" max="12544" width="9.109375" style="3"/>
    <col min="12545" max="12545" width="5" style="3" customWidth="1"/>
    <col min="12546" max="12546" width="13.5546875" style="3" customWidth="1"/>
    <col min="12547" max="12547" width="17.44140625" style="3" customWidth="1"/>
    <col min="12548" max="12548" width="26" style="3" customWidth="1"/>
    <col min="12549" max="12800" width="9.109375" style="3"/>
    <col min="12801" max="12801" width="5" style="3" customWidth="1"/>
    <col min="12802" max="12802" width="13.5546875" style="3" customWidth="1"/>
    <col min="12803" max="12803" width="17.44140625" style="3" customWidth="1"/>
    <col min="12804" max="12804" width="26" style="3" customWidth="1"/>
    <col min="12805" max="13056" width="9.109375" style="3"/>
    <col min="13057" max="13057" width="5" style="3" customWidth="1"/>
    <col min="13058" max="13058" width="13.5546875" style="3" customWidth="1"/>
    <col min="13059" max="13059" width="17.44140625" style="3" customWidth="1"/>
    <col min="13060" max="13060" width="26" style="3" customWidth="1"/>
    <col min="13061" max="13312" width="9.109375" style="3"/>
    <col min="13313" max="13313" width="5" style="3" customWidth="1"/>
    <col min="13314" max="13314" width="13.5546875" style="3" customWidth="1"/>
    <col min="13315" max="13315" width="17.44140625" style="3" customWidth="1"/>
    <col min="13316" max="13316" width="26" style="3" customWidth="1"/>
    <col min="13317" max="13568" width="9.109375" style="3"/>
    <col min="13569" max="13569" width="5" style="3" customWidth="1"/>
    <col min="13570" max="13570" width="13.5546875" style="3" customWidth="1"/>
    <col min="13571" max="13571" width="17.44140625" style="3" customWidth="1"/>
    <col min="13572" max="13572" width="26" style="3" customWidth="1"/>
    <col min="13573" max="13824" width="9.109375" style="3"/>
    <col min="13825" max="13825" width="5" style="3" customWidth="1"/>
    <col min="13826" max="13826" width="13.5546875" style="3" customWidth="1"/>
    <col min="13827" max="13827" width="17.44140625" style="3" customWidth="1"/>
    <col min="13828" max="13828" width="26" style="3" customWidth="1"/>
    <col min="13829" max="14080" width="9.109375" style="3"/>
    <col min="14081" max="14081" width="5" style="3" customWidth="1"/>
    <col min="14082" max="14082" width="13.5546875" style="3" customWidth="1"/>
    <col min="14083" max="14083" width="17.44140625" style="3" customWidth="1"/>
    <col min="14084" max="14084" width="26" style="3" customWidth="1"/>
    <col min="14085" max="14336" width="9.109375" style="3"/>
    <col min="14337" max="14337" width="5" style="3" customWidth="1"/>
    <col min="14338" max="14338" width="13.5546875" style="3" customWidth="1"/>
    <col min="14339" max="14339" width="17.44140625" style="3" customWidth="1"/>
    <col min="14340" max="14340" width="26" style="3" customWidth="1"/>
    <col min="14341" max="14592" width="9.109375" style="3"/>
    <col min="14593" max="14593" width="5" style="3" customWidth="1"/>
    <col min="14594" max="14594" width="13.5546875" style="3" customWidth="1"/>
    <col min="14595" max="14595" width="17.44140625" style="3" customWidth="1"/>
    <col min="14596" max="14596" width="26" style="3" customWidth="1"/>
    <col min="14597" max="14848" width="9.109375" style="3"/>
    <col min="14849" max="14849" width="5" style="3" customWidth="1"/>
    <col min="14850" max="14850" width="13.5546875" style="3" customWidth="1"/>
    <col min="14851" max="14851" width="17.44140625" style="3" customWidth="1"/>
    <col min="14852" max="14852" width="26" style="3" customWidth="1"/>
    <col min="14853" max="15104" width="9.109375" style="3"/>
    <col min="15105" max="15105" width="5" style="3" customWidth="1"/>
    <col min="15106" max="15106" width="13.5546875" style="3" customWidth="1"/>
    <col min="15107" max="15107" width="17.44140625" style="3" customWidth="1"/>
    <col min="15108" max="15108" width="26" style="3" customWidth="1"/>
    <col min="15109" max="15360" width="9.109375" style="3"/>
    <col min="15361" max="15361" width="5" style="3" customWidth="1"/>
    <col min="15362" max="15362" width="13.5546875" style="3" customWidth="1"/>
    <col min="15363" max="15363" width="17.44140625" style="3" customWidth="1"/>
    <col min="15364" max="15364" width="26" style="3" customWidth="1"/>
    <col min="15365" max="15616" width="9.109375" style="3"/>
    <col min="15617" max="15617" width="5" style="3" customWidth="1"/>
    <col min="15618" max="15618" width="13.5546875" style="3" customWidth="1"/>
    <col min="15619" max="15619" width="17.44140625" style="3" customWidth="1"/>
    <col min="15620" max="15620" width="26" style="3" customWidth="1"/>
    <col min="15621" max="15872" width="9.109375" style="3"/>
    <col min="15873" max="15873" width="5" style="3" customWidth="1"/>
    <col min="15874" max="15874" width="13.5546875" style="3" customWidth="1"/>
    <col min="15875" max="15875" width="17.44140625" style="3" customWidth="1"/>
    <col min="15876" max="15876" width="26" style="3" customWidth="1"/>
    <col min="15877" max="16128" width="9.109375" style="3"/>
    <col min="16129" max="16129" width="5" style="3" customWidth="1"/>
    <col min="16130" max="16130" width="13.5546875" style="3" customWidth="1"/>
    <col min="16131" max="16131" width="17.44140625" style="3" customWidth="1"/>
    <col min="16132" max="16132" width="26" style="3" customWidth="1"/>
    <col min="16133" max="16384" width="9.109375" style="3"/>
  </cols>
  <sheetData>
    <row r="1" spans="1:4" ht="15.6" x14ac:dyDescent="0.25">
      <c r="A1" s="1" t="s">
        <v>74</v>
      </c>
      <c r="B1" s="1"/>
      <c r="C1" s="1"/>
      <c r="D1" s="2"/>
    </row>
    <row r="2" spans="1:4" ht="16.5" customHeight="1" x14ac:dyDescent="0.2">
      <c r="A2" s="66" t="s">
        <v>75</v>
      </c>
      <c r="B2" s="67"/>
      <c r="C2" s="66"/>
      <c r="D2" s="4"/>
    </row>
    <row r="3" spans="1:4" ht="24" customHeight="1" x14ac:dyDescent="0.25">
      <c r="A3" s="6" t="s">
        <v>76</v>
      </c>
      <c r="B3" s="68"/>
      <c r="C3" s="68"/>
      <c r="D3" s="4"/>
    </row>
    <row r="4" spans="1:4" x14ac:dyDescent="0.2">
      <c r="A4" s="69" t="s">
        <v>77</v>
      </c>
      <c r="B4" s="69"/>
      <c r="C4" s="69"/>
      <c r="D4" s="70">
        <f>SUM(D5:D16)</f>
        <v>0</v>
      </c>
    </row>
    <row r="5" spans="1:4" x14ac:dyDescent="0.2">
      <c r="A5" s="71" t="s">
        <v>78</v>
      </c>
      <c r="B5" s="71"/>
      <c r="C5" s="71"/>
      <c r="D5" s="9"/>
    </row>
    <row r="6" spans="1:4" x14ac:dyDescent="0.2">
      <c r="A6" s="71" t="s">
        <v>79</v>
      </c>
      <c r="B6" s="71"/>
      <c r="C6" s="71"/>
      <c r="D6" s="9"/>
    </row>
    <row r="7" spans="1:4" x14ac:dyDescent="0.2">
      <c r="A7" s="71" t="s">
        <v>80</v>
      </c>
      <c r="B7" s="71"/>
      <c r="C7" s="71"/>
      <c r="D7" s="9"/>
    </row>
    <row r="8" spans="1:4" x14ac:dyDescent="0.2">
      <c r="A8" s="71" t="s">
        <v>81</v>
      </c>
      <c r="B8" s="71"/>
      <c r="C8" s="71"/>
      <c r="D8" s="9"/>
    </row>
    <row r="9" spans="1:4" x14ac:dyDescent="0.2">
      <c r="A9" s="71" t="s">
        <v>82</v>
      </c>
      <c r="B9" s="71"/>
      <c r="C9" s="71"/>
      <c r="D9" s="9"/>
    </row>
    <row r="10" spans="1:4" x14ac:dyDescent="0.2">
      <c r="A10" s="71" t="s">
        <v>83</v>
      </c>
      <c r="B10" s="71"/>
      <c r="C10" s="71"/>
      <c r="D10" s="9"/>
    </row>
    <row r="11" spans="1:4" x14ac:dyDescent="0.2">
      <c r="A11" s="72" t="s">
        <v>84</v>
      </c>
      <c r="B11" s="72"/>
      <c r="C11" s="72"/>
      <c r="D11" s="9"/>
    </row>
    <row r="12" spans="1:4" x14ac:dyDescent="0.2">
      <c r="A12" s="73"/>
      <c r="B12" s="73"/>
      <c r="C12" s="74"/>
      <c r="D12" s="9"/>
    </row>
    <row r="13" spans="1:4" x14ac:dyDescent="0.2">
      <c r="A13" s="73"/>
      <c r="B13" s="73"/>
      <c r="C13" s="74"/>
      <c r="D13" s="9"/>
    </row>
    <row r="14" spans="1:4" x14ac:dyDescent="0.2">
      <c r="A14" s="73"/>
      <c r="B14" s="73"/>
      <c r="C14" s="74"/>
      <c r="D14" s="9"/>
    </row>
    <row r="15" spans="1:4" x14ac:dyDescent="0.2">
      <c r="A15" s="73"/>
      <c r="B15" s="73"/>
      <c r="C15" s="74"/>
      <c r="D15" s="9"/>
    </row>
    <row r="16" spans="1:4" x14ac:dyDescent="0.2">
      <c r="A16" s="73"/>
      <c r="B16" s="73"/>
      <c r="C16" s="74"/>
      <c r="D16" s="9"/>
    </row>
    <row r="17" spans="1:4" x14ac:dyDescent="0.2">
      <c r="A17" s="75" t="s">
        <v>85</v>
      </c>
      <c r="B17" s="75"/>
      <c r="C17" s="75"/>
      <c r="D17" s="76">
        <f>SUM(D18:D28)</f>
        <v>0</v>
      </c>
    </row>
    <row r="18" spans="1:4" x14ac:dyDescent="0.2">
      <c r="A18" s="71" t="s">
        <v>86</v>
      </c>
      <c r="B18" s="71"/>
      <c r="C18" s="71"/>
      <c r="D18" s="9"/>
    </row>
    <row r="19" spans="1:4" x14ac:dyDescent="0.2">
      <c r="A19" s="71" t="s">
        <v>87</v>
      </c>
      <c r="B19" s="71"/>
      <c r="C19" s="71"/>
      <c r="D19" s="9"/>
    </row>
    <row r="20" spans="1:4" x14ac:dyDescent="0.2">
      <c r="A20" s="71" t="s">
        <v>88</v>
      </c>
      <c r="B20" s="71"/>
      <c r="C20" s="71"/>
      <c r="D20" s="9"/>
    </row>
    <row r="21" spans="1:4" x14ac:dyDescent="0.2">
      <c r="A21" s="71" t="s">
        <v>89</v>
      </c>
      <c r="B21" s="71"/>
      <c r="C21" s="71"/>
      <c r="D21" s="9"/>
    </row>
    <row r="22" spans="1:4" x14ac:dyDescent="0.2">
      <c r="A22" s="71" t="s">
        <v>90</v>
      </c>
      <c r="B22" s="71"/>
      <c r="C22" s="71"/>
      <c r="D22" s="9"/>
    </row>
    <row r="23" spans="1:4" x14ac:dyDescent="0.2">
      <c r="A23" s="71" t="s">
        <v>91</v>
      </c>
      <c r="B23" s="71"/>
      <c r="C23" s="71"/>
      <c r="D23" s="9"/>
    </row>
    <row r="24" spans="1:4" x14ac:dyDescent="0.2">
      <c r="A24" s="73"/>
      <c r="B24" s="73"/>
      <c r="C24" s="74"/>
      <c r="D24" s="9"/>
    </row>
    <row r="25" spans="1:4" x14ac:dyDescent="0.2">
      <c r="A25" s="73"/>
      <c r="B25" s="73"/>
      <c r="C25" s="74"/>
      <c r="D25" s="9"/>
    </row>
    <row r="26" spans="1:4" x14ac:dyDescent="0.2">
      <c r="A26" s="73"/>
      <c r="B26" s="73"/>
      <c r="C26" s="74"/>
      <c r="D26" s="9"/>
    </row>
    <row r="27" spans="1:4" x14ac:dyDescent="0.2">
      <c r="A27" s="73"/>
      <c r="B27" s="73"/>
      <c r="C27" s="74"/>
      <c r="D27" s="9"/>
    </row>
    <row r="28" spans="1:4" x14ac:dyDescent="0.2">
      <c r="A28" s="73"/>
      <c r="B28" s="73"/>
      <c r="C28" s="74"/>
      <c r="D28" s="9"/>
    </row>
    <row r="29" spans="1:4" x14ac:dyDescent="0.2">
      <c r="A29" s="77" t="s">
        <v>92</v>
      </c>
      <c r="B29" s="77"/>
      <c r="C29" s="77"/>
      <c r="D29" s="70">
        <f>D4+D17</f>
        <v>0</v>
      </c>
    </row>
    <row r="30" spans="1:4" ht="24" customHeight="1" x14ac:dyDescent="0.25">
      <c r="A30" s="78" t="s">
        <v>93</v>
      </c>
      <c r="B30" s="78"/>
      <c r="C30" s="78"/>
      <c r="D30" s="76"/>
    </row>
    <row r="31" spans="1:4" x14ac:dyDescent="0.2">
      <c r="A31" s="69" t="s">
        <v>94</v>
      </c>
      <c r="B31" s="69"/>
      <c r="C31" s="69"/>
      <c r="D31" s="76">
        <f>SUM(D32:D42)</f>
        <v>0</v>
      </c>
    </row>
    <row r="32" spans="1:4" x14ac:dyDescent="0.2">
      <c r="A32" s="71" t="s">
        <v>95</v>
      </c>
      <c r="B32" s="71"/>
      <c r="C32" s="71"/>
      <c r="D32" s="9"/>
    </row>
    <row r="33" spans="1:4" x14ac:dyDescent="0.2">
      <c r="A33" s="71" t="s">
        <v>96</v>
      </c>
      <c r="B33" s="71"/>
      <c r="C33" s="71"/>
      <c r="D33" s="9"/>
    </row>
    <row r="34" spans="1:4" x14ac:dyDescent="0.2">
      <c r="A34" s="71" t="s">
        <v>97</v>
      </c>
      <c r="B34" s="71"/>
      <c r="C34" s="71"/>
      <c r="D34" s="9"/>
    </row>
    <row r="35" spans="1:4" x14ac:dyDescent="0.2">
      <c r="A35" s="71" t="s">
        <v>98</v>
      </c>
      <c r="B35" s="71"/>
      <c r="C35" s="71"/>
      <c r="D35" s="9"/>
    </row>
    <row r="36" spans="1:4" x14ac:dyDescent="0.2">
      <c r="A36" s="71" t="s">
        <v>99</v>
      </c>
      <c r="B36" s="71"/>
      <c r="C36" s="71"/>
      <c r="D36" s="9"/>
    </row>
    <row r="37" spans="1:4" x14ac:dyDescent="0.2">
      <c r="A37" s="71" t="s">
        <v>100</v>
      </c>
      <c r="B37" s="72"/>
      <c r="C37" s="72"/>
      <c r="D37" s="9"/>
    </row>
    <row r="38" spans="1:4" x14ac:dyDescent="0.2">
      <c r="A38" s="73"/>
      <c r="B38" s="73"/>
      <c r="C38" s="74"/>
      <c r="D38" s="9"/>
    </row>
    <row r="39" spans="1:4" x14ac:dyDescent="0.2">
      <c r="A39" s="73"/>
      <c r="B39" s="73"/>
      <c r="C39" s="74"/>
      <c r="D39" s="9"/>
    </row>
    <row r="40" spans="1:4" x14ac:dyDescent="0.2">
      <c r="A40" s="73"/>
      <c r="B40" s="73"/>
      <c r="C40" s="74"/>
      <c r="D40" s="9"/>
    </row>
    <row r="41" spans="1:4" x14ac:dyDescent="0.2">
      <c r="A41" s="73"/>
      <c r="B41" s="73"/>
      <c r="C41" s="74"/>
      <c r="D41" s="9"/>
    </row>
    <row r="42" spans="1:4" x14ac:dyDescent="0.2">
      <c r="A42" s="73"/>
      <c r="B42" s="73"/>
      <c r="C42" s="74"/>
      <c r="D42" s="9"/>
    </row>
    <row r="43" spans="1:4" x14ac:dyDescent="0.2">
      <c r="A43" s="79" t="s">
        <v>101</v>
      </c>
      <c r="B43" s="79"/>
      <c r="C43" s="79"/>
      <c r="D43" s="80">
        <f>SUM(D44:D49)</f>
        <v>0</v>
      </c>
    </row>
    <row r="44" spans="1:4" x14ac:dyDescent="0.2">
      <c r="A44" s="72" t="s">
        <v>25</v>
      </c>
      <c r="B44" s="81"/>
      <c r="C44" s="81"/>
      <c r="D44" s="9"/>
    </row>
    <row r="45" spans="1:4" x14ac:dyDescent="0.2">
      <c r="A45" s="73"/>
      <c r="B45" s="73"/>
      <c r="C45" s="74"/>
      <c r="D45" s="9"/>
    </row>
    <row r="46" spans="1:4" x14ac:dyDescent="0.2">
      <c r="A46" s="73"/>
      <c r="B46" s="73"/>
      <c r="C46" s="74"/>
      <c r="D46" s="9"/>
    </row>
    <row r="47" spans="1:4" x14ac:dyDescent="0.2">
      <c r="A47" s="73"/>
      <c r="B47" s="73"/>
      <c r="C47" s="74"/>
      <c r="D47" s="9"/>
    </row>
    <row r="48" spans="1:4" x14ac:dyDescent="0.2">
      <c r="A48" s="73"/>
      <c r="B48" s="73"/>
      <c r="C48" s="74"/>
      <c r="D48" s="9"/>
    </row>
    <row r="49" spans="1:4" x14ac:dyDescent="0.2">
      <c r="A49" s="73"/>
      <c r="B49" s="73"/>
      <c r="C49" s="74"/>
      <c r="D49" s="9"/>
    </row>
    <row r="50" spans="1:4" x14ac:dyDescent="0.2">
      <c r="A50" s="82" t="s">
        <v>102</v>
      </c>
      <c r="B50" s="82"/>
      <c r="C50" s="82"/>
      <c r="D50" s="83">
        <f>D31+D43</f>
        <v>0</v>
      </c>
    </row>
    <row r="51" spans="1:4" x14ac:dyDescent="0.2">
      <c r="A51" s="82" t="s">
        <v>103</v>
      </c>
      <c r="B51" s="82"/>
      <c r="C51" s="82"/>
      <c r="D51" s="83">
        <f>D29-D50</f>
        <v>0</v>
      </c>
    </row>
    <row r="52" spans="1:4" ht="24" customHeight="1" x14ac:dyDescent="0.25">
      <c r="A52" s="78" t="s">
        <v>104</v>
      </c>
      <c r="B52" s="78"/>
      <c r="C52" s="78"/>
      <c r="D52" s="84" t="str">
        <f>IF(D51=D55," ","Does not balance by " &amp; DOLLAR(D55-D51,0))</f>
        <v xml:space="preserve"> </v>
      </c>
    </row>
    <row r="53" spans="1:4" x14ac:dyDescent="0.2">
      <c r="A53" s="69" t="s">
        <v>105</v>
      </c>
      <c r="B53" s="69"/>
      <c r="C53" s="69"/>
      <c r="D53" s="85"/>
    </row>
    <row r="54" spans="1:4" x14ac:dyDescent="0.2">
      <c r="A54" s="69" t="s">
        <v>106</v>
      </c>
      <c r="B54" s="69"/>
      <c r="C54" s="69"/>
      <c r="D54" s="80">
        <f>'[1]Profit and loss forecast'!N40</f>
        <v>0</v>
      </c>
    </row>
    <row r="55" spans="1:4" x14ac:dyDescent="0.2">
      <c r="A55" s="82" t="s">
        <v>107</v>
      </c>
      <c r="B55" s="82"/>
      <c r="C55" s="82"/>
      <c r="D55" s="80">
        <f>SUM(D53:D54)</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B53B5-4156-47DF-82FA-039FA6E13307}">
  <dimension ref="A1:B8"/>
  <sheetViews>
    <sheetView tabSelected="1" workbookViewId="0">
      <selection activeCell="B7" sqref="B7"/>
    </sheetView>
  </sheetViews>
  <sheetFormatPr defaultColWidth="9.109375" defaultRowHeight="10.199999999999999" x14ac:dyDescent="0.2"/>
  <cols>
    <col min="1" max="1" width="32.88671875" style="3" customWidth="1"/>
    <col min="2" max="2" width="20.6640625" style="18" customWidth="1"/>
    <col min="3" max="256" width="9.109375" style="3"/>
    <col min="257" max="257" width="32.88671875" style="3" customWidth="1"/>
    <col min="258" max="258" width="20.6640625" style="3" customWidth="1"/>
    <col min="259" max="512" width="9.109375" style="3"/>
    <col min="513" max="513" width="32.88671875" style="3" customWidth="1"/>
    <col min="514" max="514" width="20.6640625" style="3" customWidth="1"/>
    <col min="515" max="768" width="9.109375" style="3"/>
    <col min="769" max="769" width="32.88671875" style="3" customWidth="1"/>
    <col min="770" max="770" width="20.6640625" style="3" customWidth="1"/>
    <col min="771" max="1024" width="9.109375" style="3"/>
    <col min="1025" max="1025" width="32.88671875" style="3" customWidth="1"/>
    <col min="1026" max="1026" width="20.6640625" style="3" customWidth="1"/>
    <col min="1027" max="1280" width="9.109375" style="3"/>
    <col min="1281" max="1281" width="32.88671875" style="3" customWidth="1"/>
    <col min="1282" max="1282" width="20.6640625" style="3" customWidth="1"/>
    <col min="1283" max="1536" width="9.109375" style="3"/>
    <col min="1537" max="1537" width="32.88671875" style="3" customWidth="1"/>
    <col min="1538" max="1538" width="20.6640625" style="3" customWidth="1"/>
    <col min="1539" max="1792" width="9.109375" style="3"/>
    <col min="1793" max="1793" width="32.88671875" style="3" customWidth="1"/>
    <col min="1794" max="1794" width="20.6640625" style="3" customWidth="1"/>
    <col min="1795" max="2048" width="9.109375" style="3"/>
    <col min="2049" max="2049" width="32.88671875" style="3" customWidth="1"/>
    <col min="2050" max="2050" width="20.6640625" style="3" customWidth="1"/>
    <col min="2051" max="2304" width="9.109375" style="3"/>
    <col min="2305" max="2305" width="32.88671875" style="3" customWidth="1"/>
    <col min="2306" max="2306" width="20.6640625" style="3" customWidth="1"/>
    <col min="2307" max="2560" width="9.109375" style="3"/>
    <col min="2561" max="2561" width="32.88671875" style="3" customWidth="1"/>
    <col min="2562" max="2562" width="20.6640625" style="3" customWidth="1"/>
    <col min="2563" max="2816" width="9.109375" style="3"/>
    <col min="2817" max="2817" width="32.88671875" style="3" customWidth="1"/>
    <col min="2818" max="2818" width="20.6640625" style="3" customWidth="1"/>
    <col min="2819" max="3072" width="9.109375" style="3"/>
    <col min="3073" max="3073" width="32.88671875" style="3" customWidth="1"/>
    <col min="3074" max="3074" width="20.6640625" style="3" customWidth="1"/>
    <col min="3075" max="3328" width="9.109375" style="3"/>
    <col min="3329" max="3329" width="32.88671875" style="3" customWidth="1"/>
    <col min="3330" max="3330" width="20.6640625" style="3" customWidth="1"/>
    <col min="3331" max="3584" width="9.109375" style="3"/>
    <col min="3585" max="3585" width="32.88671875" style="3" customWidth="1"/>
    <col min="3586" max="3586" width="20.6640625" style="3" customWidth="1"/>
    <col min="3587" max="3840" width="9.109375" style="3"/>
    <col min="3841" max="3841" width="32.88671875" style="3" customWidth="1"/>
    <col min="3842" max="3842" width="20.6640625" style="3" customWidth="1"/>
    <col min="3843" max="4096" width="9.109375" style="3"/>
    <col min="4097" max="4097" width="32.88671875" style="3" customWidth="1"/>
    <col min="4098" max="4098" width="20.6640625" style="3" customWidth="1"/>
    <col min="4099" max="4352" width="9.109375" style="3"/>
    <col min="4353" max="4353" width="32.88671875" style="3" customWidth="1"/>
    <col min="4354" max="4354" width="20.6640625" style="3" customWidth="1"/>
    <col min="4355" max="4608" width="9.109375" style="3"/>
    <col min="4609" max="4609" width="32.88671875" style="3" customWidth="1"/>
    <col min="4610" max="4610" width="20.6640625" style="3" customWidth="1"/>
    <col min="4611" max="4864" width="9.109375" style="3"/>
    <col min="4865" max="4865" width="32.88671875" style="3" customWidth="1"/>
    <col min="4866" max="4866" width="20.6640625" style="3" customWidth="1"/>
    <col min="4867" max="5120" width="9.109375" style="3"/>
    <col min="5121" max="5121" width="32.88671875" style="3" customWidth="1"/>
    <col min="5122" max="5122" width="20.6640625" style="3" customWidth="1"/>
    <col min="5123" max="5376" width="9.109375" style="3"/>
    <col min="5377" max="5377" width="32.88671875" style="3" customWidth="1"/>
    <col min="5378" max="5378" width="20.6640625" style="3" customWidth="1"/>
    <col min="5379" max="5632" width="9.109375" style="3"/>
    <col min="5633" max="5633" width="32.88671875" style="3" customWidth="1"/>
    <col min="5634" max="5634" width="20.6640625" style="3" customWidth="1"/>
    <col min="5635" max="5888" width="9.109375" style="3"/>
    <col min="5889" max="5889" width="32.88671875" style="3" customWidth="1"/>
    <col min="5890" max="5890" width="20.6640625" style="3" customWidth="1"/>
    <col min="5891" max="6144" width="9.109375" style="3"/>
    <col min="6145" max="6145" width="32.88671875" style="3" customWidth="1"/>
    <col min="6146" max="6146" width="20.6640625" style="3" customWidth="1"/>
    <col min="6147" max="6400" width="9.109375" style="3"/>
    <col min="6401" max="6401" width="32.88671875" style="3" customWidth="1"/>
    <col min="6402" max="6402" width="20.6640625" style="3" customWidth="1"/>
    <col min="6403" max="6656" width="9.109375" style="3"/>
    <col min="6657" max="6657" width="32.88671875" style="3" customWidth="1"/>
    <col min="6658" max="6658" width="20.6640625" style="3" customWidth="1"/>
    <col min="6659" max="6912" width="9.109375" style="3"/>
    <col min="6913" max="6913" width="32.88671875" style="3" customWidth="1"/>
    <col min="6914" max="6914" width="20.6640625" style="3" customWidth="1"/>
    <col min="6915" max="7168" width="9.109375" style="3"/>
    <col min="7169" max="7169" width="32.88671875" style="3" customWidth="1"/>
    <col min="7170" max="7170" width="20.6640625" style="3" customWidth="1"/>
    <col min="7171" max="7424" width="9.109375" style="3"/>
    <col min="7425" max="7425" width="32.88671875" style="3" customWidth="1"/>
    <col min="7426" max="7426" width="20.6640625" style="3" customWidth="1"/>
    <col min="7427" max="7680" width="9.109375" style="3"/>
    <col min="7681" max="7681" width="32.88671875" style="3" customWidth="1"/>
    <col min="7682" max="7682" width="20.6640625" style="3" customWidth="1"/>
    <col min="7683" max="7936" width="9.109375" style="3"/>
    <col min="7937" max="7937" width="32.88671875" style="3" customWidth="1"/>
    <col min="7938" max="7938" width="20.6640625" style="3" customWidth="1"/>
    <col min="7939" max="8192" width="9.109375" style="3"/>
    <col min="8193" max="8193" width="32.88671875" style="3" customWidth="1"/>
    <col min="8194" max="8194" width="20.6640625" style="3" customWidth="1"/>
    <col min="8195" max="8448" width="9.109375" style="3"/>
    <col min="8449" max="8449" width="32.88671875" style="3" customWidth="1"/>
    <col min="8450" max="8450" width="20.6640625" style="3" customWidth="1"/>
    <col min="8451" max="8704" width="9.109375" style="3"/>
    <col min="8705" max="8705" width="32.88671875" style="3" customWidth="1"/>
    <col min="8706" max="8706" width="20.6640625" style="3" customWidth="1"/>
    <col min="8707" max="8960" width="9.109375" style="3"/>
    <col min="8961" max="8961" width="32.88671875" style="3" customWidth="1"/>
    <col min="8962" max="8962" width="20.6640625" style="3" customWidth="1"/>
    <col min="8963" max="9216" width="9.109375" style="3"/>
    <col min="9217" max="9217" width="32.88671875" style="3" customWidth="1"/>
    <col min="9218" max="9218" width="20.6640625" style="3" customWidth="1"/>
    <col min="9219" max="9472" width="9.109375" style="3"/>
    <col min="9473" max="9473" width="32.88671875" style="3" customWidth="1"/>
    <col min="9474" max="9474" width="20.6640625" style="3" customWidth="1"/>
    <col min="9475" max="9728" width="9.109375" style="3"/>
    <col min="9729" max="9729" width="32.88671875" style="3" customWidth="1"/>
    <col min="9730" max="9730" width="20.6640625" style="3" customWidth="1"/>
    <col min="9731" max="9984" width="9.109375" style="3"/>
    <col min="9985" max="9985" width="32.88671875" style="3" customWidth="1"/>
    <col min="9986" max="9986" width="20.6640625" style="3" customWidth="1"/>
    <col min="9987" max="10240" width="9.109375" style="3"/>
    <col min="10241" max="10241" width="32.88671875" style="3" customWidth="1"/>
    <col min="10242" max="10242" width="20.6640625" style="3" customWidth="1"/>
    <col min="10243" max="10496" width="9.109375" style="3"/>
    <col min="10497" max="10497" width="32.88671875" style="3" customWidth="1"/>
    <col min="10498" max="10498" width="20.6640625" style="3" customWidth="1"/>
    <col min="10499" max="10752" width="9.109375" style="3"/>
    <col min="10753" max="10753" width="32.88671875" style="3" customWidth="1"/>
    <col min="10754" max="10754" width="20.6640625" style="3" customWidth="1"/>
    <col min="10755" max="11008" width="9.109375" style="3"/>
    <col min="11009" max="11009" width="32.88671875" style="3" customWidth="1"/>
    <col min="11010" max="11010" width="20.6640625" style="3" customWidth="1"/>
    <col min="11011" max="11264" width="9.109375" style="3"/>
    <col min="11265" max="11265" width="32.88671875" style="3" customWidth="1"/>
    <col min="11266" max="11266" width="20.6640625" style="3" customWidth="1"/>
    <col min="11267" max="11520" width="9.109375" style="3"/>
    <col min="11521" max="11521" width="32.88671875" style="3" customWidth="1"/>
    <col min="11522" max="11522" width="20.6640625" style="3" customWidth="1"/>
    <col min="11523" max="11776" width="9.109375" style="3"/>
    <col min="11777" max="11777" width="32.88671875" style="3" customWidth="1"/>
    <col min="11778" max="11778" width="20.6640625" style="3" customWidth="1"/>
    <col min="11779" max="12032" width="9.109375" style="3"/>
    <col min="12033" max="12033" width="32.88671875" style="3" customWidth="1"/>
    <col min="12034" max="12034" width="20.6640625" style="3" customWidth="1"/>
    <col min="12035" max="12288" width="9.109375" style="3"/>
    <col min="12289" max="12289" width="32.88671875" style="3" customWidth="1"/>
    <col min="12290" max="12290" width="20.6640625" style="3" customWidth="1"/>
    <col min="12291" max="12544" width="9.109375" style="3"/>
    <col min="12545" max="12545" width="32.88671875" style="3" customWidth="1"/>
    <col min="12546" max="12546" width="20.6640625" style="3" customWidth="1"/>
    <col min="12547" max="12800" width="9.109375" style="3"/>
    <col min="12801" max="12801" width="32.88671875" style="3" customWidth="1"/>
    <col min="12802" max="12802" width="20.6640625" style="3" customWidth="1"/>
    <col min="12803" max="13056" width="9.109375" style="3"/>
    <col min="13057" max="13057" width="32.88671875" style="3" customWidth="1"/>
    <col min="13058" max="13058" width="20.6640625" style="3" customWidth="1"/>
    <col min="13059" max="13312" width="9.109375" style="3"/>
    <col min="13313" max="13313" width="32.88671875" style="3" customWidth="1"/>
    <col min="13314" max="13314" width="20.6640625" style="3" customWidth="1"/>
    <col min="13315" max="13568" width="9.109375" style="3"/>
    <col min="13569" max="13569" width="32.88671875" style="3" customWidth="1"/>
    <col min="13570" max="13570" width="20.6640625" style="3" customWidth="1"/>
    <col min="13571" max="13824" width="9.109375" style="3"/>
    <col min="13825" max="13825" width="32.88671875" style="3" customWidth="1"/>
    <col min="13826" max="13826" width="20.6640625" style="3" customWidth="1"/>
    <col min="13827" max="14080" width="9.109375" style="3"/>
    <col min="14081" max="14081" width="32.88671875" style="3" customWidth="1"/>
    <col min="14082" max="14082" width="20.6640625" style="3" customWidth="1"/>
    <col min="14083" max="14336" width="9.109375" style="3"/>
    <col min="14337" max="14337" width="32.88671875" style="3" customWidth="1"/>
    <col min="14338" max="14338" width="20.6640625" style="3" customWidth="1"/>
    <col min="14339" max="14592" width="9.109375" style="3"/>
    <col min="14593" max="14593" width="32.88671875" style="3" customWidth="1"/>
    <col min="14594" max="14594" width="20.6640625" style="3" customWidth="1"/>
    <col min="14595" max="14848" width="9.109375" style="3"/>
    <col min="14849" max="14849" width="32.88671875" style="3" customWidth="1"/>
    <col min="14850" max="14850" width="20.6640625" style="3" customWidth="1"/>
    <col min="14851" max="15104" width="9.109375" style="3"/>
    <col min="15105" max="15105" width="32.88671875" style="3" customWidth="1"/>
    <col min="15106" max="15106" width="20.6640625" style="3" customWidth="1"/>
    <col min="15107" max="15360" width="9.109375" style="3"/>
    <col min="15361" max="15361" width="32.88671875" style="3" customWidth="1"/>
    <col min="15362" max="15362" width="20.6640625" style="3" customWidth="1"/>
    <col min="15363" max="15616" width="9.109375" style="3"/>
    <col min="15617" max="15617" width="32.88671875" style="3" customWidth="1"/>
    <col min="15618" max="15618" width="20.6640625" style="3" customWidth="1"/>
    <col min="15619" max="15872" width="9.109375" style="3"/>
    <col min="15873" max="15873" width="32.88671875" style="3" customWidth="1"/>
    <col min="15874" max="15874" width="20.6640625" style="3" customWidth="1"/>
    <col min="15875" max="16128" width="9.109375" style="3"/>
    <col min="16129" max="16129" width="32.88671875" style="3" customWidth="1"/>
    <col min="16130" max="16130" width="20.6640625" style="3" customWidth="1"/>
    <col min="16131" max="16384" width="9.109375" style="3"/>
  </cols>
  <sheetData>
    <row r="1" spans="1:2" ht="15.6" x14ac:dyDescent="0.25">
      <c r="A1" s="1" t="s">
        <v>108</v>
      </c>
      <c r="B1" s="2"/>
    </row>
    <row r="2" spans="1:2" x14ac:dyDescent="0.2">
      <c r="A2" s="4"/>
      <c r="B2" s="5"/>
    </row>
    <row r="3" spans="1:2" x14ac:dyDescent="0.2">
      <c r="A3" s="14" t="s">
        <v>109</v>
      </c>
      <c r="B3" s="86"/>
    </row>
    <row r="4" spans="1:2" x14ac:dyDescent="0.2">
      <c r="A4" s="87" t="s">
        <v>110</v>
      </c>
      <c r="B4" s="88"/>
    </row>
    <row r="5" spans="1:2" x14ac:dyDescent="0.2">
      <c r="A5" s="69" t="s">
        <v>58</v>
      </c>
      <c r="B5" s="89" t="str">
        <f>IF(ISERROR((B3-B4)/B3)," ",(B3-B4)/B3)</f>
        <v xml:space="preserve"> </v>
      </c>
    </row>
    <row r="6" spans="1:2" x14ac:dyDescent="0.2">
      <c r="A6" s="69" t="s">
        <v>67</v>
      </c>
      <c r="B6" s="83">
        <f>Sheet2!N36</f>
        <v>0</v>
      </c>
    </row>
    <row r="7" spans="1:2" x14ac:dyDescent="0.2">
      <c r="A7" s="69" t="s">
        <v>111</v>
      </c>
      <c r="B7" s="83" t="str">
        <f>IF(ISERROR(B6/B5), " ",B6/B5)</f>
        <v xml:space="preserve"> </v>
      </c>
    </row>
    <row r="8" spans="1:2" x14ac:dyDescent="0.2">
      <c r="A8" s="69" t="s">
        <v>112</v>
      </c>
      <c r="B8" s="90" t="str">
        <f>IF(ISERROR(B7/B3)," ",B7/B3)</f>
        <v xml:space="preserve">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Azzam</dc:creator>
  <cp:lastModifiedBy>A. Azzam</cp:lastModifiedBy>
  <dcterms:created xsi:type="dcterms:W3CDTF">2025-11-12T00:28:35Z</dcterms:created>
  <dcterms:modified xsi:type="dcterms:W3CDTF">2025-11-12T00:34:08Z</dcterms:modified>
</cp:coreProperties>
</file>