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 tabRatio="977.3250664304693"/>
  </bookViews>
  <sheets>
    <sheet r:id="rId1" name="Cover_Assumptions" sheetId="1"/>
    <sheet r:id="rId2" name="Income_Statement" sheetId="2"/>
    <sheet r:id="rId3" name="Balance_Sheet" sheetId="3"/>
    <sheet r:id="rId4" name="Cash_Flow" sheetId="4"/>
    <sheet r:id="rId5" name="Working_Capital" sheetId="5"/>
    <sheet r:id="rId6" name="Depreciation_Capex" sheetId="6"/>
    <sheet r:id="rId7" name="Debt_Schedule" sheetId="7"/>
    <sheet r:id="rId8" name="Tax_Schedule" sheetId="8"/>
    <sheet r:id="rId9" name="FCFF" sheetId="9"/>
    <sheet r:id="rId10" name="WACC_Valuation" sheetId="10"/>
    <sheet r:id="rId11" name="Sensitivity" sheetId="11"/>
    <sheet r:id="rId12" name="Audit_Checks" sheetId="1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<sst xmlns="http://schemas.openxmlformats.org/spreadsheetml/2006/main" count="175" uniqueCount="175">
  <si>
    <t>DCF VALUATION MODEL</t>
  </si>
  <si>
    <t>Mid-Cap SaaS Company</t>
  </si>
  <si>
    <t>As of 2025-11-19</t>
  </si>
  <si>
    <t>OPERATING ASSUMPTIONS</t>
  </si>
  <si>
    <t>Revenue Growth Rate (Historical)</t>
  </si>
  <si>
    <t>Revenue Growth Rate (Forecast)</t>
  </si>
  <si>
    <t>EBITDA Margin</t>
  </si>
  <si>
    <t>D&amp;A % of Revenue</t>
  </si>
  <si>
    <t>Capex % of Revenue</t>
  </si>
  <si>
    <t>NWC % of Revenue</t>
  </si>
  <si>
    <t>WACC COMPONENTS</t>
  </si>
  <si>
    <t>Risk-Free Rate</t>
  </si>
  <si>
    <t>Beta</t>
  </si>
  <si>
    <t>Market Return</t>
  </si>
  <si>
    <t>Size Premium</t>
  </si>
  <si>
    <t>Country Risk Premium</t>
  </si>
  <si>
    <t>TERMINAL VALUE ASSUMPTIONS</t>
  </si>
  <si>
    <t>Terminal Growth Rate</t>
  </si>
  <si>
    <t>Exit EBITDA Multiple</t>
  </si>
  <si>
    <t>CAPITAL STRUCTURE &amp; TAX</t>
  </si>
  <si>
    <t>Tax Rate</t>
  </si>
  <si>
    <t>Interest Rate on Debt</t>
  </si>
  <si>
    <t>Shares Outstanding (mm)</t>
  </si>
  <si>
    <t>BASE YEAR (2024)</t>
  </si>
  <si>
    <t>Revenue ($ millions)</t>
  </si>
  <si>
    <t>INCOME STATEMENT</t>
  </si>
  <si>
    <t>($ millions)</t>
  </si>
  <si>
    <t>Revenue</t>
  </si>
  <si>
    <t xml:space="preserve">  Growth Rate %</t>
  </si>
  <si>
    <t>EBITDA</t>
  </si>
  <si>
    <t xml:space="preserve">  EBITDA Margin %</t>
  </si>
  <si>
    <t>Depreciation &amp; Amortization</t>
  </si>
  <si>
    <t>EBIT</t>
  </si>
  <si>
    <t>Interest Expense</t>
  </si>
  <si>
    <t>EBT</t>
  </si>
  <si>
    <t>Tax Expense</t>
  </si>
  <si>
    <t>Net Income</t>
  </si>
  <si>
    <t>BALANCE SHEET</t>
  </si>
  <si>
    <t>ASSETS</t>
  </si>
  <si>
    <t>Cash</t>
  </si>
  <si>
    <t>Accounts Receivable</t>
  </si>
  <si>
    <t>Inventory</t>
  </si>
  <si>
    <t>PP&amp;E, Net</t>
  </si>
  <si>
    <t>Total Assets</t>
  </si>
  <si>
    <t>LIABILITIES</t>
  </si>
  <si>
    <t>Accounts Payable</t>
  </si>
  <si>
    <t>Debt</t>
  </si>
  <si>
    <t>Total Liabilities</t>
  </si>
  <si>
    <t>EQUITY</t>
  </si>
  <si>
    <t>Shareholders' Equity</t>
  </si>
  <si>
    <t>Balance Check (Assets - Liabilities - Equity)</t>
  </si>
  <si>
    <t>CASH FLOW STATEMENT (Indirect Method)</t>
  </si>
  <si>
    <t>OPERATING ACTIVITIES</t>
  </si>
  <si>
    <t>(+) Depreciation &amp; Amortization</t>
  </si>
  <si>
    <t>(-) Change in Net Working Capital</t>
  </si>
  <si>
    <t>Cash from Operations</t>
  </si>
  <si>
    <t>INVESTING ACTIVITIES</t>
  </si>
  <si>
    <t>(-) Capital Expenditures</t>
  </si>
  <si>
    <t>Cash from Investing</t>
  </si>
  <si>
    <t>FINANCING ACTIVITIES</t>
  </si>
  <si>
    <t>(+) Debt Issuance</t>
  </si>
  <si>
    <t>(-) Debt Repayment</t>
  </si>
  <si>
    <t>(-) Dividends</t>
  </si>
  <si>
    <t>Cash from Financing</t>
  </si>
  <si>
    <t>Net Change in Cash</t>
  </si>
  <si>
    <t>Cash, Beginning</t>
  </si>
  <si>
    <t>Cash, Ending</t>
  </si>
  <si>
    <t>Check: Ending Cash from Balance Sheet</t>
  </si>
  <si>
    <t>Cash Flow Check (CF - BS Change)</t>
  </si>
  <si>
    <t>WORKING CAPITAL SCHEDULE</t>
  </si>
  <si>
    <t>Revenue (reference)</t>
  </si>
  <si>
    <t>Net Working Capital</t>
  </si>
  <si>
    <t xml:space="preserve">  NWC % of Revenue</t>
  </si>
  <si>
    <t>Change in NWC</t>
  </si>
  <si>
    <t>DEPRECIATION &amp; CAPEX SCHEDULE</t>
  </si>
  <si>
    <t>PP&amp;E, Beginning</t>
  </si>
  <si>
    <t>(+) Capex</t>
  </si>
  <si>
    <t>(-) Depreciation &amp; Amortization</t>
  </si>
  <si>
    <t>PP&amp;E, Ending</t>
  </si>
  <si>
    <t>Check: Beginning + Capex - D&amp;A</t>
  </si>
  <si>
    <t>DEBT SCHEDULE</t>
  </si>
  <si>
    <t>Debt, Beginning</t>
  </si>
  <si>
    <t>Debt, Ending</t>
  </si>
  <si>
    <t>Average Debt Balance</t>
  </si>
  <si>
    <t>Interest Rate</t>
  </si>
  <si>
    <t>TAX SCHEDULE</t>
  </si>
  <si>
    <t>FREE CASH FLOW TO FIRM (FCFF)</t>
  </si>
  <si>
    <t>NOPAT (EBIT × (1 - Tax Rate))</t>
  </si>
  <si>
    <t>(-) Change in NWC</t>
  </si>
  <si>
    <t>Unlevered Free Cash Flow</t>
  </si>
  <si>
    <t>Discount Period</t>
  </si>
  <si>
    <t>WACC (from WACC_Valuation)</t>
  </si>
  <si>
    <t>Discount Factor</t>
  </si>
  <si>
    <t>Present Value of FCF</t>
  </si>
  <si>
    <t>WACC &amp; VALUATION</t>
  </si>
  <si>
    <t>COST OF EQUITY (CAPM)</t>
  </si>
  <si>
    <t>Market Risk Premium</t>
  </si>
  <si>
    <t>WACC (for FCFF reference)</t>
  </si>
  <si>
    <t>Cost of Equity</t>
  </si>
  <si>
    <t>COST OF DEBT</t>
  </si>
  <si>
    <t>Interest Expense (2024)</t>
  </si>
  <si>
    <t>Average Debt (2024)</t>
  </si>
  <si>
    <t>Pre-tax Cost of Debt</t>
  </si>
  <si>
    <t>After-tax Cost of Debt</t>
  </si>
  <si>
    <t>CAPITAL STRUCTURE</t>
  </si>
  <si>
    <t>Market Value of Equity (assumed)</t>
  </si>
  <si>
    <t>Market Value of Debt</t>
  </si>
  <si>
    <t>Total Capital (Enterprise Value)</t>
  </si>
  <si>
    <t>Weight of Equity (E/V)</t>
  </si>
  <si>
    <t>Weight of Debt (D/V)</t>
  </si>
  <si>
    <t>WEIGHTED AVERAGE COST OF CAPITAL</t>
  </si>
  <si>
    <t>WACC</t>
  </si>
  <si>
    <t>VALUATION</t>
  </si>
  <si>
    <t>Sum of PV of FCF (2025-2034)</t>
  </si>
  <si>
    <t>TERMINAL VALUE - GORDON GROWTH</t>
  </si>
  <si>
    <t>Terminal Year FCF (2034)</t>
  </si>
  <si>
    <t>Terminal Value (Gordon Growth)</t>
  </si>
  <si>
    <t>PV of Terminal Value</t>
  </si>
  <si>
    <t>TERMINAL VALUE - EXIT MULTIPLE</t>
  </si>
  <si>
    <t>Terminal Year EBITDA (2034)</t>
  </si>
  <si>
    <t>Terminal Value (Exit Multiple)</t>
  </si>
  <si>
    <t>ENTERPRISE VALUE (Gordon Growth)</t>
  </si>
  <si>
    <t>Less: Net Debt (2024)</t>
  </si>
  <si>
    <t>Equity Value</t>
  </si>
  <si>
    <t>Price per Share</t>
  </si>
  <si>
    <t>ENTERPRISE VALUE (Exit Multiple)</t>
  </si>
  <si>
    <t>SENSITIVITY ANALYSIS</t>
  </si>
  <si>
    <t>EQUITY VALUE PER SHARE: WACC vs Terminal Growth Rate</t>
  </si>
  <si>
    <t>1.5%</t>
  </si>
  <si>
    <t>2.0%</t>
  </si>
  <si>
    <t>2.5%</t>
  </si>
  <si>
    <t>3.0%</t>
  </si>
  <si>
    <t>3.5%</t>
  </si>
  <si>
    <t>6.0%</t>
  </si>
  <si>
    <t>7.0%</t>
  </si>
  <si>
    <t>8.0%</t>
  </si>
  <si>
    <t>9.0%</t>
  </si>
  <si>
    <t>10.0%</t>
  </si>
  <si>
    <t>11.0%</t>
  </si>
  <si>
    <t>12.0%</t>
  </si>
  <si>
    <t>Sensitivity Inputs:</t>
  </si>
  <si>
    <t>WACC Input</t>
  </si>
  <si>
    <t>Terminal Growth Input</t>
  </si>
  <si>
    <t>Helper Calculations:</t>
  </si>
  <si>
    <t>Sum PV FCF</t>
  </si>
  <si>
    <t>Terminal FCF</t>
  </si>
  <si>
    <t>Net Debt</t>
  </si>
  <si>
    <t>Shares Outstanding</t>
  </si>
  <si>
    <t>EQUITY VALUE PER SHARE: WACC vs Exit EBITDA Multiple</t>
  </si>
  <si>
    <t>Terminal EBITDA</t>
  </si>
  <si>
    <t>AUDIT CHECKS</t>
  </si>
  <si>
    <t>All checks should equal 0 for model to pass</t>
  </si>
  <si>
    <t>CHECK 1: BALANCE SHEET</t>
  </si>
  <si>
    <t>Balance Check (2020)</t>
  </si>
  <si>
    <t>PASS</t>
  </si>
  <si>
    <t>Balance Check (2024)</t>
  </si>
  <si>
    <t>Balance Check (2034)</t>
  </si>
  <si>
    <t>CHECK 2: CASH FLOW STATEMENT</t>
  </si>
  <si>
    <t>CF Check (2020)</t>
  </si>
  <si>
    <t>CF Check (2024)</t>
  </si>
  <si>
    <t>CF Check (2034)</t>
  </si>
  <si>
    <t>CHECK 3: PP&amp;E ROLL-FORWARD</t>
  </si>
  <si>
    <t>PP&amp;E Check (2024)</t>
  </si>
  <si>
    <t>PP&amp;E Check (2034)</t>
  </si>
  <si>
    <t>CHECK 4: EBITDA MARGIN</t>
  </si>
  <si>
    <t>EBITDA Margin vs Assumption (2024)</t>
  </si>
  <si>
    <t>EBITDA Margin vs Assumption (2034)</t>
  </si>
  <si>
    <t>ERROR SUMMARY DASHBOARD</t>
  </si>
  <si>
    <t>Total Errors</t>
  </si>
  <si>
    <t>✓ MODEL PASS</t>
  </si>
  <si>
    <t>Individual Check Results:</t>
  </si>
  <si>
    <t>Balance Sheet Checks</t>
  </si>
  <si>
    <t>Cash Flow Checks</t>
  </si>
  <si>
    <t>PP&amp;E Roll-forward Checks</t>
  </si>
  <si>
    <t>EBITDA Margin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</si>
</sst>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759" formatCode="0.0%"/>
    <numFmt numFmtId="4779" formatCode="0.0"/>
    <numFmt numFmtId="4784" formatCode="0.0x"/>
    <numFmt numFmtId="4787" formatCode="#,##0.0"/>
    <numFmt numFmtId="5739" formatCode="0.000"/>
    <numFmt numFmtId="5792" formatCode="$#,##0.00"/>
    <numFmt numFmtId="5839" formatCode="0x"/>
  </numFmts>
  <fonts count="6">
    <font>
      <b val="0"/>
      <i val="0"/>
      <sz val="12"/>
      <color theme="1"/>
      <name val="Aptos Narrow"/>
      <scheme val="minor"/>
    </font>
    <font>
      <b/>
      <name val="Calibri"/>
    </font>
    <font>
      <name val="Calibri"/>
      <scheme val="minor"/>
    </font>
    <font>
      <color rgb="FF008000"/>
      <name val="Calibri"/>
      <scheme val="minor"/>
    </font>
    <font>
      <color rgb="FF000000"/>
      <name val="Calibri"/>
      <scheme val="minor"/>
    </font>
    <font>
      <color rgb="FF0000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0070C0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1"/>
  </cellStyleXfs>
  <cellXfs count="39">
    <xf numFmtId="0" fontId="0" fillId="0" borderId="1" xfId="0"/>
    <xf numFmtId="0" fontId="1" fillId="0" borderId="0" xfId="0">
      <alignment vertical="top"/>
    </xf>
    <xf numFmtId="4759" fontId="2" fillId="2" borderId="0" xfId="0">
      <alignment vertical="top"/>
    </xf>
    <xf numFmtId="4779" fontId="2" fillId="2" borderId="0" xfId="0">
      <alignment vertical="top"/>
    </xf>
    <xf numFmtId="4784" fontId="2" fillId="2" borderId="0" xfId="0">
      <alignment vertical="top"/>
    </xf>
    <xf numFmtId="4787" fontId="2" fillId="2" borderId="0" xfId="0">
      <alignment vertical="top"/>
    </xf>
    <xf numFmtId="0" fontId="1" fillId="2" borderId="0" xfId="0">
      <alignment vertical="top"/>
    </xf>
    <xf numFmtId="0" fontId="2" fillId="0" borderId="2" xfId="0">
      <alignment vertical="top"/>
    </xf>
    <xf numFmtId="4787" fontId="3" fillId="3" borderId="2" xfId="0">
      <alignment vertical="top"/>
    </xf>
    <xf numFmtId="4759" fontId="3" fillId="3" borderId="2" xfId="0">
      <alignment vertical="top"/>
    </xf>
    <xf numFmtId="0" fontId="2" fillId="3" borderId="2" xfId="0">
      <alignment vertical="top"/>
    </xf>
    <xf numFmtId="4759" fontId="4" fillId="3" borderId="2" xfId="0">
      <alignment vertical="top"/>
    </xf>
    <xf numFmtId="4787" fontId="4" fillId="3" borderId="2" xfId="0">
      <alignment vertical="top"/>
    </xf>
    <xf numFmtId="0" fontId="2" fillId="0" borderId="3" xfId="0">
      <alignment vertical="top"/>
    </xf>
    <xf numFmtId="4787" fontId="4" fillId="3" borderId="3" xfId="0">
      <alignment vertical="top"/>
    </xf>
    <xf numFmtId="4787" fontId="5" fillId="2" borderId="2" xfId="0">
      <alignment vertical="top"/>
    </xf>
    <xf numFmtId="4787" fontId="3" fillId="0" borderId="2" xfId="0">
      <alignment vertical="top"/>
    </xf>
    <xf numFmtId="4787" fontId="4" fillId="0" borderId="3" xfId="0">
      <alignment vertical="top"/>
    </xf>
    <xf numFmtId="4787" fontId="4" fillId="0" borderId="2" xfId="0">
      <alignment vertical="top"/>
    </xf>
    <xf numFmtId="4787" fontId="2" fillId="2" borderId="2" xfId="0">
      <alignment vertical="top"/>
    </xf>
    <xf numFmtId="4787" fontId="3" fillId="3" borderId="0" xfId="0">
      <alignment vertical="top"/>
    </xf>
    <xf numFmtId="0" fontId="2" fillId="3" borderId="0" xfId="0">
      <alignment vertical="top"/>
    </xf>
    <xf numFmtId="4787" fontId="4" fillId="3" borderId="0" xfId="0">
      <alignment vertical="top"/>
    </xf>
    <xf numFmtId="4759" fontId="4" fillId="3" borderId="0" xfId="0">
      <alignment vertical="top"/>
    </xf>
    <xf numFmtId="4787" fontId="5" fillId="2" borderId="0" xfId="0">
      <alignment vertical="top"/>
    </xf>
    <xf numFmtId="4759" fontId="3" fillId="3" borderId="0" xfId="0">
      <alignment vertical="top"/>
    </xf>
    <xf numFmtId="1" fontId="5" fillId="2" borderId="2" xfId="0">
      <alignment vertical="top"/>
    </xf>
    <xf numFmtId="5739" fontId="4" fillId="3" borderId="2" xfId="0">
      <alignment vertical="top"/>
    </xf>
    <xf numFmtId="4779" fontId="3" fillId="3" borderId="2" xfId="0">
      <alignment vertical="top"/>
    </xf>
    <xf numFmtId="4759" fontId="2" fillId="0" borderId="0" xfId="0">
      <alignment vertical="top"/>
    </xf>
    <xf numFmtId="4784" fontId="3" fillId="3" borderId="2" xfId="0">
      <alignment vertical="top"/>
    </xf>
    <xf numFmtId="5792" fontId="4" fillId="3" borderId="3" xfId="0">
      <alignment vertical="top"/>
    </xf>
    <xf numFmtId="0" fontId="2" fillId="2" borderId="2" xfId="0">
      <alignment vertical="top"/>
    </xf>
    <xf numFmtId="5792" fontId="2" fillId="3" borderId="2" xfId="0">
      <alignment vertical="top"/>
    </xf>
    <xf numFmtId="4759" fontId="2" fillId="3" borderId="0" xfId="0">
      <alignment vertical="top"/>
    </xf>
    <xf numFmtId="4787" fontId="2" fillId="3" borderId="0" xfId="0">
      <alignment vertical="top"/>
    </xf>
    <xf numFmtId="5839" fontId="2" fillId="2" borderId="2" xfId="0">
      <alignment vertical="top"/>
    </xf>
    <xf numFmtId="4787" fontId="2" fillId="0" borderId="0" xfId="0">
      <alignment vertical="top"/>
    </xf>
    <xf numFmtId="1" fontId="2" fillId="3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theme" Target="theme/theme1.xml"/><Relationship Id="rId15" Type="http://schemas.openxmlformats.org/officeDocument/2006/relationships/sharedStrings" Target="sharedString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A3F6265-0668-C1B3-3738-6E97D2218A0E}" mc:Ignorable="x14ac xr xr2 xr3">
  <dimension ref="A1:GR50000"/>
  <sheetViews>
    <sheetView showGridLines="0" topLeftCell="A28" workbookViewId="0">
      <selection activeCell="B4" sqref="B4"/>
    </sheetView>
  </sheetViews>
  <sheetFormatPr defaultRowHeight="15" defaultColWidth="7.75390625" customHeight="1"/>
  <cols>
    <col min="2" max="2" width="26.125" customWidth="1"/>
  </cols>
  <sheetData>
    <row r="2" ht="15.75" customHeight="1">
      <c r="B2" s="1" t="s">
        <v>0</v>
      </c>
    </row>
    <row r="3" ht="15.75" customHeight="1">
      <c r="B3" t="s">
        <v>1</v>
      </c>
    </row>
    <row r="4" ht="15.75" customHeight="1">
      <c r="B4" t="s">
        <v>2</v>
      </c>
    </row>
    <row r="6" ht="15.75" customHeight="1">
      <c r="B6" t="s">
        <v>3</v>
      </c>
    </row>
    <row r="7" ht="15.75" customHeight="1">
      <c r="B7" t="s">
        <v>4</v>
      </c>
    </row>
    <row r="8" ht="15.75" customHeight="1">
      <c r="C8">
        <v>2020</v>
      </c>
      <c r="D8">
        <v>2021</v>
      </c>
      <c r="E8">
        <v>2022</v>
      </c>
      <c r="F8">
        <v>2023</v>
      </c>
      <c r="G8">
        <v>2024</v>
      </c>
    </row>
    <row r="9" ht="15.75" customHeight="1">
      <c r="C9" s="2">
        <v>0.2</v>
      </c>
      <c r="D9" s="2">
        <v>0.19</v>
      </c>
      <c r="E9" s="2">
        <v>0.17</v>
      </c>
      <c r="F9" s="2">
        <v>0.15</v>
      </c>
      <c r="G9" s="2">
        <v>0.14</v>
      </c>
    </row>
    <row r="11" ht="15.75" customHeight="1">
      <c r="B11" t="s">
        <v>5</v>
      </c>
    </row>
    <row r="12" ht="15.75" customHeight="1">
      <c r="C12">
        <v>2025</v>
      </c>
      <c r="D12">
        <v>2026</v>
      </c>
      <c r="E12">
        <v>2027</v>
      </c>
      <c r="F12">
        <v>2028</v>
      </c>
      <c r="G12">
        <v>2029</v>
      </c>
      <c r="H12">
        <v>2030</v>
      </c>
      <c r="I12">
        <v>2031</v>
      </c>
      <c r="J12">
        <v>2032</v>
      </c>
      <c r="K12">
        <v>2033</v>
      </c>
      <c r="L12">
        <v>2034</v>
      </c>
    </row>
    <row r="13" ht="15.75" customHeight="1">
      <c r="C13" s="2">
        <v>0.18</v>
      </c>
      <c r="D13" s="2">
        <v>0.16</v>
      </c>
      <c r="E13" s="2">
        <v>0.14</v>
      </c>
      <c r="F13" s="2">
        <v>0.12</v>
      </c>
      <c r="G13" s="2">
        <v>0.1</v>
      </c>
      <c r="H13" s="2">
        <v>0.09</v>
      </c>
      <c r="I13" s="2">
        <v>0.08</v>
      </c>
      <c r="J13" s="2">
        <v>0.07</v>
      </c>
      <c r="K13" s="2">
        <v>0.06</v>
      </c>
      <c r="L13" s="2">
        <v>0.05</v>
      </c>
    </row>
    <row r="15" ht="15.75" customHeight="1">
      <c r="B15" t="s">
        <v>6</v>
      </c>
      <c r="C15" s="2">
        <v>0.3</v>
      </c>
    </row>
    <row r="16" ht="15.75" customHeight="1">
      <c r="B16" t="s">
        <v>7</v>
      </c>
      <c r="C16" s="2">
        <v>0.02</v>
      </c>
    </row>
    <row r="17" ht="15.75" customHeight="1">
      <c r="B17" t="s">
        <v>8</v>
      </c>
      <c r="C17" s="2">
        <v>0.03</v>
      </c>
    </row>
    <row r="18" ht="15.75" customHeight="1">
      <c r="B18" t="s">
        <v>9</v>
      </c>
      <c r="C18" s="2">
        <v>0.01</v>
      </c>
    </row>
    <row r="20" ht="15.75" customHeight="1">
      <c r="B20" t="s">
        <v>10</v>
      </c>
    </row>
    <row r="21" ht="15.75" customHeight="1">
      <c r="B21" t="s">
        <v>11</v>
      </c>
      <c r="C21" s="2">
        <v>0.04</v>
      </c>
    </row>
    <row r="22" ht="15.75" customHeight="1">
      <c r="B22" t="s">
        <v>12</v>
      </c>
      <c r="C22" s="3">
        <v>1.2</v>
      </c>
    </row>
    <row r="23" ht="15.75" customHeight="1">
      <c r="B23" t="s">
        <v>13</v>
      </c>
      <c r="C23" s="2">
        <v>0.1</v>
      </c>
    </row>
    <row r="24" ht="15.75" customHeight="1">
      <c r="B24" t="s">
        <v>14</v>
      </c>
      <c r="C24" s="2">
        <v>0.02</v>
      </c>
    </row>
    <row r="25" ht="15.75" customHeight="1">
      <c r="B25" t="s">
        <v>15</v>
      </c>
      <c r="C25" s="2">
        <v>0</v>
      </c>
    </row>
    <row r="27" ht="15.75" customHeight="1">
      <c r="B27" t="s">
        <v>16</v>
      </c>
    </row>
    <row r="28" ht="15.75" customHeight="1">
      <c r="B28" t="s">
        <v>17</v>
      </c>
      <c r="C28" s="2">
        <v>0.025</v>
      </c>
    </row>
    <row r="29" ht="15.75" customHeight="1">
      <c r="B29" t="s">
        <v>18</v>
      </c>
      <c r="C29" s="4">
        <v>15</v>
      </c>
    </row>
    <row r="31" ht="15.75" customHeight="1">
      <c r="B31" t="s">
        <v>19</v>
      </c>
    </row>
    <row r="32" ht="15.75" customHeight="1">
      <c r="B32" t="s">
        <v>20</v>
      </c>
      <c r="C32" s="2">
        <v>0.25</v>
      </c>
    </row>
    <row r="33" ht="15.75" customHeight="1">
      <c r="B33" t="s">
        <v>21</v>
      </c>
      <c r="C33" s="2">
        <v>0.05</v>
      </c>
    </row>
    <row r="34" ht="15.75" customHeight="1">
      <c r="B34" t="s">
        <v>22</v>
      </c>
      <c r="C34" s="5">
        <v>50</v>
      </c>
    </row>
    <row r="36" ht="15.75" customHeight="1">
      <c r="B36" t="s">
        <v>23</v>
      </c>
    </row>
    <row r="37" ht="15.75" customHeight="1">
      <c r="B37" t="s">
        <v>24</v>
      </c>
      <c r="C37" s="5">
        <v>250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A53D81-8768-A094-4B48-17550822CE65}" mc:Ignorable="x14ac xr xr2 xr3">
  <dimension ref="A1:GR50000"/>
  <sheetViews>
    <sheetView showGridLines="0" workbookViewId="0" tabSelected="1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sheetData>
    <row r="2" ht="15.75" customHeight="1">
      <c r="B2" s="1" t="s">
        <v>25</v>
      </c>
    </row>
    <row r="3" ht="15.75" customHeight="1">
      <c r="B3" t="s">
        <v>26</v>
      </c>
    </row>
    <row r="5" ht="15.75" customHeight="1">
      <c r="C5" s="6">
        <v>2020</v>
      </c>
      <c r="D5" s="6">
        <v>2021</v>
      </c>
      <c r="E5" s="6">
        <v>2022</v>
      </c>
      <c r="F5" s="6">
        <v>2023</v>
      </c>
      <c r="G5" s="6">
        <v>2024</v>
      </c>
      <c r="H5" s="6">
        <v>2025</v>
      </c>
      <c r="I5" s="6">
        <v>2026</v>
      </c>
      <c r="J5" s="6">
        <v>2027</v>
      </c>
      <c r="K5" s="6">
        <v>2028</v>
      </c>
      <c r="L5" s="6">
        <v>2029</v>
      </c>
      <c r="M5" s="6">
        <v>2030</v>
      </c>
      <c r="N5" s="6">
        <v>2031</v>
      </c>
      <c r="O5" s="6">
        <v>2032</v>
      </c>
      <c r="P5" s="6">
        <v>2033</v>
      </c>
      <c r="Q5" s="6">
        <v>2034</v>
      </c>
    </row>
    <row r="7" ht="15.75" customHeight="1">
      <c r="B7" s="7" t="s">
        <v>27</v>
      </c>
      <c r="C7" s="8">
        <f>D7/(1+Cover_Assumptions!C9)</f>
        <v>130.115219629287</v>
      </c>
      <c r="D7" s="8">
        <f>E7/(1+Cover_Assumptions!D9)</f>
        <v>156.138263555144</v>
      </c>
      <c r="E7" s="8">
        <f>F7/(1+Cover_Assumptions!E9)</f>
        <v>185.804533630621</v>
      </c>
      <c r="F7" s="8">
        <f>G7/(1+Cover_Assumptions!F9)</f>
        <v>217.391304347826</v>
      </c>
      <c r="G7" s="8" cm="1">
        <f t="array" ref="G7">Cover_Assumptions!C37</f>
        <v>250</v>
      </c>
      <c r="H7" s="8">
        <f>G7*(1+Cover_Assumptions!C13)</f>
        <v>295</v>
      </c>
      <c r="I7" s="8">
        <f>H7*(1+Cover_Assumptions!D13)</f>
        <v>342.2</v>
      </c>
      <c r="J7" s="8">
        <f>I7*(1+Cover_Assumptions!E13)</f>
        <v>390.108</v>
      </c>
      <c r="K7" s="8">
        <f>J7*(1+Cover_Assumptions!F13)</f>
        <v>436.92096</v>
      </c>
      <c r="L7" s="8">
        <f>K7*(1+Cover_Assumptions!G13)</f>
        <v>480.613056</v>
      </c>
      <c r="M7" s="8">
        <f>L7*(1+Cover_Assumptions!H13)</f>
        <v>523.86823104</v>
      </c>
      <c r="N7" s="8">
        <f>M7*(1+Cover_Assumptions!I13)</f>
        <v>565.7776895232</v>
      </c>
      <c r="O7" s="8">
        <f>N7*(1+Cover_Assumptions!J13)</f>
        <v>605.382127789824</v>
      </c>
      <c r="P7" s="8">
        <f>O7*(1+Cover_Assumptions!K13)</f>
        <v>641.705055457213</v>
      </c>
      <c r="Q7" s="8">
        <f>P7*(1+Cover_Assumptions!L13)</f>
        <v>673.790308230074</v>
      </c>
    </row>
    <row r="8" ht="15.75" customHeight="1">
      <c r="B8" s="7" t="s">
        <v>28</v>
      </c>
      <c r="C8" s="9" cm="1">
        <f t="array" ref="C8">Cover_Assumptions!C9</f>
        <v>0.2</v>
      </c>
      <c r="D8" s="9" cm="1">
        <f t="array" ref="D8">Cover_Assumptions!D9</f>
        <v>0.19</v>
      </c>
      <c r="E8" s="9" cm="1">
        <f t="array" ref="E8">Cover_Assumptions!E9</f>
        <v>0.17</v>
      </c>
      <c r="F8" s="9" cm="1">
        <f t="array" ref="F8">Cover_Assumptions!F9</f>
        <v>0.15</v>
      </c>
      <c r="G8" s="9" cm="1">
        <f t="array" ref="G8">Cover_Assumptions!G9</f>
        <v>0.14</v>
      </c>
      <c r="H8" s="9" cm="1">
        <f t="array" ref="H8">Cover_Assumptions!C13</f>
        <v>0.18</v>
      </c>
      <c r="I8" s="9" cm="1">
        <f t="array" ref="I8">Cover_Assumptions!D13</f>
        <v>0.16</v>
      </c>
      <c r="J8" s="9" cm="1">
        <f t="array" ref="J8">Cover_Assumptions!E13</f>
        <v>0.14</v>
      </c>
      <c r="K8" s="9" cm="1">
        <f t="array" ref="K8">Cover_Assumptions!F13</f>
        <v>0.12</v>
      </c>
      <c r="L8" s="9" cm="1">
        <f t="array" ref="L8">Cover_Assumptions!G13</f>
        <v>0.1</v>
      </c>
      <c r="M8" s="9" cm="1">
        <f t="array" ref="M8">Cover_Assumptions!H13</f>
        <v>0.09</v>
      </c>
      <c r="N8" s="9" cm="1">
        <f t="array" ref="N8">Cover_Assumptions!I13</f>
        <v>0.08</v>
      </c>
      <c r="O8" s="9" cm="1">
        <f t="array" ref="O8">Cover_Assumptions!J13</f>
        <v>0.07</v>
      </c>
      <c r="P8" s="9" cm="1">
        <f t="array" ref="P8">Cover_Assumptions!K13</f>
        <v>0.06</v>
      </c>
      <c r="Q8" s="9" cm="1">
        <f t="array" ref="Q8">Cover_Assumptions!L13</f>
        <v>0.05</v>
      </c>
    </row>
    <row r="9" ht="15" customHeight="1"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ht="15.75" customHeight="1">
      <c r="B10" s="7" t="s">
        <v>29</v>
      </c>
      <c r="C10" s="8">
        <f>C7*Cover_Assumptions!$C$15</f>
        <v>39.0345658887861</v>
      </c>
      <c r="D10" s="8">
        <f>D7*Cover_Assumptions!$C$15</f>
        <v>46.8414790665432</v>
      </c>
      <c r="E10" s="8">
        <f>E7*Cover_Assumptions!$C$15</f>
        <v>55.7413600891863</v>
      </c>
      <c r="F10" s="8">
        <f>F7*Cover_Assumptions!$C$15</f>
        <v>65.2173913043478</v>
      </c>
      <c r="G10" s="8">
        <f>G7*Cover_Assumptions!$C$15</f>
        <v>75</v>
      </c>
      <c r="H10" s="8">
        <f>H7*Cover_Assumptions!$C$15</f>
        <v>88.5</v>
      </c>
      <c r="I10" s="8">
        <f>I7*Cover_Assumptions!$C$15</f>
        <v>102.66</v>
      </c>
      <c r="J10" s="8">
        <f>J7*Cover_Assumptions!$C$15</f>
        <v>117.0324</v>
      </c>
      <c r="K10" s="8">
        <f>K7*Cover_Assumptions!$C$15</f>
        <v>131.076288</v>
      </c>
      <c r="L10" s="8">
        <f>L7*Cover_Assumptions!$C$15</f>
        <v>144.1839168</v>
      </c>
      <c r="M10" s="8">
        <f>M7*Cover_Assumptions!$C$15</f>
        <v>157.160469312</v>
      </c>
      <c r="N10" s="8">
        <f>N7*Cover_Assumptions!$C$15</f>
        <v>169.73330685696</v>
      </c>
      <c r="O10" s="8">
        <f>O7*Cover_Assumptions!$C$15</f>
        <v>181.614638336947</v>
      </c>
      <c r="P10" s="8">
        <f>P7*Cover_Assumptions!$C$15</f>
        <v>192.511516637164</v>
      </c>
      <c r="Q10" s="8">
        <f>Q7*Cover_Assumptions!$C$15</f>
        <v>202.137092469022</v>
      </c>
    </row>
    <row r="11" ht="15.75" customHeight="1">
      <c r="B11" s="7" t="s">
        <v>30</v>
      </c>
      <c r="C11" s="11">
        <f t="shared" si="0" ref="C11:Q11">C10/C7</f>
        <v>0.3</v>
      </c>
      <c r="D11" s="11">
        <f t="shared" si="0"/>
        <v>0.3</v>
      </c>
      <c r="E11" s="11">
        <f t="shared" si="0"/>
        <v>0.3</v>
      </c>
      <c r="F11" s="11">
        <f t="shared" si="0"/>
        <v>0.3</v>
      </c>
      <c r="G11" s="11">
        <f t="shared" si="0"/>
        <v>0.3</v>
      </c>
      <c r="H11" s="11">
        <f t="shared" si="0"/>
        <v>0.3</v>
      </c>
      <c r="I11" s="11">
        <f t="shared" si="0"/>
        <v>0.3</v>
      </c>
      <c r="J11" s="11">
        <f t="shared" si="0"/>
        <v>0.3</v>
      </c>
      <c r="K11" s="11">
        <f t="shared" si="0"/>
        <v>0.3</v>
      </c>
      <c r="L11" s="11">
        <f t="shared" si="0"/>
        <v>0.3</v>
      </c>
      <c r="M11" s="11">
        <f t="shared" si="0"/>
        <v>0.3</v>
      </c>
      <c r="N11" s="11">
        <f t="shared" si="0"/>
        <v>0.3</v>
      </c>
      <c r="O11" s="11">
        <f t="shared" si="0"/>
        <v>0.3</v>
      </c>
      <c r="P11" s="11">
        <f t="shared" si="0"/>
        <v>0.3</v>
      </c>
      <c r="Q11" s="11">
        <f t="shared" si="0"/>
        <v>0.3</v>
      </c>
    </row>
    <row r="12" ht="15" customHeight="1">
      <c r="B12" s="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ht="15.75" customHeight="1">
      <c r="B13" s="7" t="s">
        <v>31</v>
      </c>
      <c r="C13" s="8">
        <f>C7*Cover_Assumptions!$C$16</f>
        <v>2.60230439258574</v>
      </c>
      <c r="D13" s="8">
        <f>D7*Cover_Assumptions!$C$16</f>
        <v>3.12276527110288</v>
      </c>
      <c r="E13" s="8">
        <f>E7*Cover_Assumptions!$C$16</f>
        <v>3.71609067261242</v>
      </c>
      <c r="F13" s="8">
        <f>F7*Cover_Assumptions!$C$16</f>
        <v>4.34782608695652</v>
      </c>
      <c r="G13" s="8">
        <f>G7*Cover_Assumptions!$C$16</f>
        <v>5</v>
      </c>
      <c r="H13" s="8">
        <f>H7*Cover_Assumptions!$C$16</f>
        <v>5.9</v>
      </c>
      <c r="I13" s="8">
        <f>I7*Cover_Assumptions!$C$16</f>
        <v>6.844</v>
      </c>
      <c r="J13" s="8">
        <f>J7*Cover_Assumptions!$C$16</f>
        <v>7.80216</v>
      </c>
      <c r="K13" s="8">
        <f>K7*Cover_Assumptions!$C$16</f>
        <v>8.7384192</v>
      </c>
      <c r="L13" s="8">
        <f>L7*Cover_Assumptions!$C$16</f>
        <v>9.61226112</v>
      </c>
      <c r="M13" s="8">
        <f>M7*Cover_Assumptions!$C$16</f>
        <v>10.4773646208</v>
      </c>
      <c r="N13" s="8">
        <f>N7*Cover_Assumptions!$C$16</f>
        <v>11.315553790464</v>
      </c>
      <c r="O13" s="8">
        <f>O7*Cover_Assumptions!$C$16</f>
        <v>12.1076425557965</v>
      </c>
      <c r="P13" s="8">
        <f>P7*Cover_Assumptions!$C$16</f>
        <v>12.8341011091443</v>
      </c>
      <c r="Q13" s="8">
        <f>Q7*Cover_Assumptions!$C$16</f>
        <v>13.4758061646015</v>
      </c>
    </row>
    <row r="14" ht="15" customHeight="1">
      <c r="B14" s="7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ht="15.75" customHeight="1">
      <c r="B15" s="7" t="s">
        <v>32</v>
      </c>
      <c r="C15" s="12">
        <f t="shared" si="1" ref="C15:Q15">C10-C13</f>
        <v>36.4322614962004</v>
      </c>
      <c r="D15" s="12">
        <f t="shared" si="1"/>
        <v>43.7187137954403</v>
      </c>
      <c r="E15" s="12">
        <f t="shared" si="1"/>
        <v>52.0252694165739</v>
      </c>
      <c r="F15" s="12">
        <f t="shared" si="1"/>
        <v>60.8695652173913</v>
      </c>
      <c r="G15" s="12">
        <f t="shared" si="1"/>
        <v>70</v>
      </c>
      <c r="H15" s="12">
        <f t="shared" si="1"/>
        <v>82.6</v>
      </c>
      <c r="I15" s="12">
        <f t="shared" si="1"/>
        <v>95.816</v>
      </c>
      <c r="J15" s="12">
        <f t="shared" si="1"/>
        <v>109.23024</v>
      </c>
      <c r="K15" s="12">
        <f t="shared" si="1"/>
        <v>122.3378688</v>
      </c>
      <c r="L15" s="12">
        <f t="shared" si="1"/>
        <v>134.57165568</v>
      </c>
      <c r="M15" s="12">
        <f t="shared" si="1"/>
        <v>146.6831046912</v>
      </c>
      <c r="N15" s="12">
        <f t="shared" si="1"/>
        <v>158.417753066496</v>
      </c>
      <c r="O15" s="12">
        <f t="shared" si="1"/>
        <v>169.50699578115</v>
      </c>
      <c r="P15" s="12">
        <f t="shared" si="1"/>
        <v>179.67741552802</v>
      </c>
      <c r="Q15" s="12">
        <f t="shared" si="1"/>
        <v>188.661286304421</v>
      </c>
    </row>
    <row r="16" ht="15" customHeight="1">
      <c r="B16" s="7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ht="15.75" customHeight="1">
      <c r="B17" s="7" t="s">
        <v>33</v>
      </c>
      <c r="C17" s="8" cm="1">
        <f t="array" ref="C17">Debt_Schedule!C14</f>
        <v>2.5</v>
      </c>
      <c r="D17" s="8" cm="1">
        <f t="array" ref="D17">Debt_Schedule!D14</f>
        <v>2.5</v>
      </c>
      <c r="E17" s="8" cm="1">
        <f t="array" ref="E17">Debt_Schedule!E14</f>
        <v>2.5</v>
      </c>
      <c r="F17" s="8" cm="1">
        <f t="array" ref="F17">Debt_Schedule!F14</f>
        <v>2.5</v>
      </c>
      <c r="G17" s="8" cm="1">
        <f t="array" ref="G17">Debt_Schedule!G14</f>
        <v>2.5</v>
      </c>
      <c r="H17" s="8" cm="1">
        <f t="array" ref="H17">Debt_Schedule!H14</f>
        <v>2.5</v>
      </c>
      <c r="I17" s="8" cm="1">
        <f t="array" ref="I17">Debt_Schedule!I14</f>
        <v>2.5</v>
      </c>
      <c r="J17" s="8" cm="1">
        <f t="array" ref="J17">Debt_Schedule!J14</f>
        <v>2.5</v>
      </c>
      <c r="K17" s="8" cm="1">
        <f t="array" ref="K17">Debt_Schedule!K14</f>
        <v>2.5</v>
      </c>
      <c r="L17" s="8" cm="1">
        <f t="array" ref="L17">Debt_Schedule!L14</f>
        <v>2.5</v>
      </c>
      <c r="M17" s="8" cm="1">
        <f t="array" ref="M17">Debt_Schedule!M14</f>
        <v>2.5</v>
      </c>
      <c r="N17" s="8" cm="1">
        <f t="array" ref="N17">Debt_Schedule!N14</f>
        <v>2.5</v>
      </c>
      <c r="O17" s="8" cm="1">
        <f t="array" ref="O17">Debt_Schedule!O14</f>
        <v>2.5</v>
      </c>
      <c r="P17" s="8" cm="1">
        <f t="array" ref="P17">Debt_Schedule!P14</f>
        <v>2.5</v>
      </c>
      <c r="Q17" s="8" cm="1">
        <f t="array" ref="Q17">Debt_Schedule!Q14</f>
        <v>2.5</v>
      </c>
    </row>
    <row r="18" ht="15" customHeight="1">
      <c r="B18" s="7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ht="15.75" customHeight="1">
      <c r="B19" s="7" t="s">
        <v>34</v>
      </c>
      <c r="C19" s="12">
        <f t="shared" si="2" ref="C19:Q23">C15-C17</f>
        <v>33.9322614962004</v>
      </c>
      <c r="D19" s="12">
        <f t="shared" si="2"/>
        <v>41.2187137954403</v>
      </c>
      <c r="E19" s="12">
        <f t="shared" si="2"/>
        <v>49.5252694165739</v>
      </c>
      <c r="F19" s="12">
        <f t="shared" si="2"/>
        <v>58.3695652173913</v>
      </c>
      <c r="G19" s="12">
        <f t="shared" si="2"/>
        <v>67.5</v>
      </c>
      <c r="H19" s="12">
        <f t="shared" si="2"/>
        <v>80.1</v>
      </c>
      <c r="I19" s="12">
        <f t="shared" si="2"/>
        <v>93.316</v>
      </c>
      <c r="J19" s="12">
        <f t="shared" si="2"/>
        <v>106.73024</v>
      </c>
      <c r="K19" s="12">
        <f t="shared" si="2"/>
        <v>119.8378688</v>
      </c>
      <c r="L19" s="12">
        <f t="shared" si="2"/>
        <v>132.07165568</v>
      </c>
      <c r="M19" s="12">
        <f t="shared" si="2"/>
        <v>144.1831046912</v>
      </c>
      <c r="N19" s="12">
        <f t="shared" si="2"/>
        <v>155.917753066496</v>
      </c>
      <c r="O19" s="12">
        <f t="shared" si="2"/>
        <v>167.00699578115</v>
      </c>
      <c r="P19" s="12">
        <f t="shared" si="2"/>
        <v>177.17741552802</v>
      </c>
      <c r="Q19" s="12">
        <f t="shared" si="2"/>
        <v>186.161286304421</v>
      </c>
    </row>
    <row r="20" ht="15" customHeight="1">
      <c r="B20" s="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ht="15.75" customHeight="1">
      <c r="B21" s="7" t="s">
        <v>35</v>
      </c>
      <c r="C21" s="8" cm="1">
        <f t="array" ref="C21">Tax_Schedule!C9</f>
        <v>8.4830653740501</v>
      </c>
      <c r="D21" s="8" cm="1">
        <f t="array" ref="D21">Tax_Schedule!D9</f>
        <v>10.3046784488601</v>
      </c>
      <c r="E21" s="8" cm="1">
        <f t="array" ref="E21">Tax_Schedule!E9</f>
        <v>12.3813173541435</v>
      </c>
      <c r="F21" s="8" cm="1">
        <f t="array" ref="F21">Tax_Schedule!F9</f>
        <v>14.5923913043478</v>
      </c>
      <c r="G21" s="8" cm="1">
        <f t="array" ref="G21">Tax_Schedule!G9</f>
        <v>16.875</v>
      </c>
      <c r="H21" s="8" cm="1">
        <f t="array" ref="H21">Tax_Schedule!H9</f>
        <v>20.025</v>
      </c>
      <c r="I21" s="8" cm="1">
        <f t="array" ref="I21">Tax_Schedule!I9</f>
        <v>23.329</v>
      </c>
      <c r="J21" s="8" cm="1">
        <f t="array" ref="J21">Tax_Schedule!J9</f>
        <v>26.68256</v>
      </c>
      <c r="K21" s="8" cm="1">
        <f t="array" ref="K21">Tax_Schedule!K9</f>
        <v>29.9594672</v>
      </c>
      <c r="L21" s="8" cm="1">
        <f t="array" ref="L21">Tax_Schedule!L9</f>
        <v>33.01791392</v>
      </c>
      <c r="M21" s="8" cm="1">
        <f t="array" ref="M21">Tax_Schedule!M9</f>
        <v>36.0457761728</v>
      </c>
      <c r="N21" s="8" cm="1">
        <f t="array" ref="N21">Tax_Schedule!N9</f>
        <v>38.979438266624</v>
      </c>
      <c r="O21" s="8" cm="1">
        <f t="array" ref="O21">Tax_Schedule!O9</f>
        <v>41.7517489452875</v>
      </c>
      <c r="P21" s="8" cm="1">
        <f t="array" ref="P21">Tax_Schedule!P9</f>
        <v>44.294353882005</v>
      </c>
      <c r="Q21" s="8" cm="1">
        <f t="array" ref="Q21">Tax_Schedule!Q9</f>
        <v>46.5403215761052</v>
      </c>
    </row>
    <row r="22" ht="15" customHeight="1">
      <c r="B22" s="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ht="15.75" customHeight="1">
      <c r="B23" s="13" t="s">
        <v>36</v>
      </c>
      <c r="C23" s="14">
        <f t="shared" si="2"/>
        <v>25.4491961221503</v>
      </c>
      <c r="D23" s="14">
        <f t="shared" si="2"/>
        <v>30.9140353465802</v>
      </c>
      <c r="E23" s="14">
        <f t="shared" si="2"/>
        <v>37.1439520624304</v>
      </c>
      <c r="F23" s="14">
        <f t="shared" si="2"/>
        <v>43.7771739130435</v>
      </c>
      <c r="G23" s="14">
        <f t="shared" si="2"/>
        <v>50.625</v>
      </c>
      <c r="H23" s="14">
        <f t="shared" si="2"/>
        <v>60.075</v>
      </c>
      <c r="I23" s="14">
        <f t="shared" si="2"/>
        <v>69.987</v>
      </c>
      <c r="J23" s="14">
        <f t="shared" si="2"/>
        <v>80.04768</v>
      </c>
      <c r="K23" s="14">
        <f t="shared" si="2"/>
        <v>89.8784016</v>
      </c>
      <c r="L23" s="14">
        <f t="shared" si="2"/>
        <v>99.05374176</v>
      </c>
      <c r="M23" s="14">
        <f t="shared" si="2"/>
        <v>108.1373285184</v>
      </c>
      <c r="N23" s="14">
        <f t="shared" si="2"/>
        <v>116.938314799872</v>
      </c>
      <c r="O23" s="14">
        <f t="shared" si="2"/>
        <v>125.255246835863</v>
      </c>
      <c r="P23" s="14">
        <f t="shared" si="2"/>
        <v>132.883061646015</v>
      </c>
      <c r="Q23" s="14">
        <f t="shared" si="2"/>
        <v>139.620964728316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3C93F38-A07B-2B98-1ED8-DA8AF84DF8E8}" mc:Ignorable="x14ac xr xr2 xr3">
  <dimension ref="A1:GR50000"/>
  <sheetViews>
    <sheetView showGridLines="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sheetData>
    <row r="2" ht="15.75" customHeight="1">
      <c r="B2" s="1" t="s">
        <v>37</v>
      </c>
    </row>
    <row r="3" ht="15.75" customHeight="1">
      <c r="B3" t="s">
        <v>26</v>
      </c>
    </row>
    <row r="5" ht="15.75" customHeight="1">
      <c r="C5" s="6">
        <v>2020</v>
      </c>
      <c r="D5" s="6">
        <v>2021</v>
      </c>
      <c r="E5" s="6">
        <v>2022</v>
      </c>
      <c r="F5" s="6">
        <v>2023</v>
      </c>
      <c r="G5" s="6">
        <v>2024</v>
      </c>
      <c r="H5" s="6">
        <v>2025</v>
      </c>
      <c r="I5" s="6">
        <v>2026</v>
      </c>
      <c r="J5" s="6">
        <v>2027</v>
      </c>
      <c r="K5" s="6">
        <v>2028</v>
      </c>
      <c r="L5" s="6">
        <v>2029</v>
      </c>
      <c r="M5" s="6">
        <v>2030</v>
      </c>
      <c r="N5" s="6">
        <v>2031</v>
      </c>
      <c r="O5" s="6">
        <v>2032</v>
      </c>
      <c r="P5" s="6">
        <v>2033</v>
      </c>
      <c r="Q5" s="6">
        <v>2034</v>
      </c>
    </row>
    <row r="7" ht="15.75" customHeight="1">
      <c r="B7" s="7" t="s">
        <v>38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15.75" customHeight="1">
      <c r="B8" s="7" t="s">
        <v>39</v>
      </c>
      <c r="C8" s="15">
        <v>104</v>
      </c>
      <c r="D8" s="8">
        <f>C8+Cash_Flow!D23</f>
        <v>133.09242227177</v>
      </c>
      <c r="E8" s="8">
        <f>D8+Cash_Flow!E23</f>
        <v>168.081666297139</v>
      </c>
      <c r="F8" s="8">
        <f>E8+Cash_Flow!F23</f>
        <v>209.369059459532</v>
      </c>
      <c r="G8" s="8">
        <f>F8+Cash_Flow!G23</f>
        <v>257.16797250301</v>
      </c>
      <c r="H8" s="8">
        <f>G8+Cash_Flow!H23</f>
        <v>313.84297250301</v>
      </c>
      <c r="I8" s="8">
        <f>H8+Cash_Flow!I23</f>
        <v>379.93597250301</v>
      </c>
      <c r="J8" s="8">
        <f>I8+Cash_Flow!J23</f>
        <v>455.60349250301</v>
      </c>
      <c r="K8" s="8">
        <f>J8+Cash_Flow!K23</f>
        <v>540.64455490301</v>
      </c>
      <c r="L8" s="8">
        <f>K8+Cash_Flow!L23</f>
        <v>634.45524514301</v>
      </c>
      <c r="M8" s="8">
        <f>L8+Cash_Flow!M23</f>
        <v>736.92133960061</v>
      </c>
      <c r="N8" s="8">
        <f>M8+Cash_Flow!N23</f>
        <v>847.782782920418</v>
      </c>
      <c r="O8" s="8">
        <f>N8+Cash_Flow!O23</f>
        <v>966.588164095716</v>
      </c>
      <c r="P8" s="8">
        <f>O8+Cash_Flow!P23</f>
        <v>1092.69094591048</v>
      </c>
      <c r="Q8" s="8">
        <f>P8+Cash_Flow!Q23</f>
        <v>1225.25315502877</v>
      </c>
    </row>
    <row r="9" ht="15.75" customHeight="1">
      <c r="B9" s="7" t="s">
        <v>40</v>
      </c>
      <c r="C9" s="16" cm="1">
        <f t="array" ref="C9">Working_Capital!C9</f>
        <v>0.650576098146435</v>
      </c>
      <c r="D9" s="8" cm="1">
        <f t="array" ref="D9">Working_Capital!D9</f>
        <v>0.78069131777572</v>
      </c>
      <c r="E9" s="8" cm="1">
        <f t="array" ref="E9">Working_Capital!E9</f>
        <v>0.929022668153105</v>
      </c>
      <c r="F9" s="8" cm="1">
        <f t="array" ref="F9">Working_Capital!F9</f>
        <v>1.08695652173913</v>
      </c>
      <c r="G9" s="8" cm="1">
        <f t="array" ref="G9">Working_Capital!G9</f>
        <v>1.25</v>
      </c>
      <c r="H9" s="8" cm="1">
        <f t="array" ref="H9">Working_Capital!H9</f>
        <v>1.475</v>
      </c>
      <c r="I9" s="8" cm="1">
        <f t="array" ref="I9">Working_Capital!I9</f>
        <v>1.711</v>
      </c>
      <c r="J9" s="8" cm="1">
        <f t="array" ref="J9">Working_Capital!J9</f>
        <v>1.95054</v>
      </c>
      <c r="K9" s="8" cm="1">
        <f t="array" ref="K9">Working_Capital!K9</f>
        <v>2.1846048</v>
      </c>
      <c r="L9" s="8" cm="1">
        <f t="array" ref="L9">Working_Capital!L9</f>
        <v>2.40306528</v>
      </c>
      <c r="M9" s="8" cm="1">
        <f t="array" ref="M9">Working_Capital!M9</f>
        <v>2.6193411552</v>
      </c>
      <c r="N9" s="8" cm="1">
        <f t="array" ref="N9">Working_Capital!N9</f>
        <v>2.828888447616</v>
      </c>
      <c r="O9" s="8" cm="1">
        <f t="array" ref="O9">Working_Capital!O9</f>
        <v>3.02691063894912</v>
      </c>
      <c r="P9" s="8" cm="1">
        <f t="array" ref="P9">Working_Capital!P9</f>
        <v>3.20852527728607</v>
      </c>
      <c r="Q9" s="8" cm="1">
        <f t="array" ref="Q9">Working_Capital!Q9</f>
        <v>3.36895154115037</v>
      </c>
    </row>
    <row r="10" ht="15.75" customHeight="1">
      <c r="B10" s="7" t="s">
        <v>41</v>
      </c>
      <c r="C10" s="16" cm="1">
        <f t="array" ref="C10">Working_Capital!C10</f>
        <v>0.390345658887861</v>
      </c>
      <c r="D10" s="8" cm="1">
        <f t="array" ref="D10">Working_Capital!D10</f>
        <v>0.468414790665432</v>
      </c>
      <c r="E10" s="8" cm="1">
        <f t="array" ref="E10">Working_Capital!E10</f>
        <v>0.557413600891863</v>
      </c>
      <c r="F10" s="8" cm="1">
        <f t="array" ref="F10">Working_Capital!F10</f>
        <v>0.652173913043478</v>
      </c>
      <c r="G10" s="8" cm="1">
        <f t="array" ref="G10">Working_Capital!G10</f>
        <v>0.75</v>
      </c>
      <c r="H10" s="8" cm="1">
        <f t="array" ref="H10">Working_Capital!H10</f>
        <v>0.885</v>
      </c>
      <c r="I10" s="8" cm="1">
        <f t="array" ref="I10">Working_Capital!I10</f>
        <v>1.0266</v>
      </c>
      <c r="J10" s="8" cm="1">
        <f t="array" ref="J10">Working_Capital!J10</f>
        <v>1.170324</v>
      </c>
      <c r="K10" s="8" cm="1">
        <f t="array" ref="K10">Working_Capital!K10</f>
        <v>1.31076288</v>
      </c>
      <c r="L10" s="8" cm="1">
        <f t="array" ref="L10">Working_Capital!L10</f>
        <v>1.441839168</v>
      </c>
      <c r="M10" s="8" cm="1">
        <f t="array" ref="M10">Working_Capital!M10</f>
        <v>1.57160469312</v>
      </c>
      <c r="N10" s="8" cm="1">
        <f t="array" ref="N10">Working_Capital!N10</f>
        <v>1.6973330685696</v>
      </c>
      <c r="O10" s="8" cm="1">
        <f t="array" ref="O10">Working_Capital!O10</f>
        <v>1.81614638336947</v>
      </c>
      <c r="P10" s="8" cm="1">
        <f t="array" ref="P10">Working_Capital!P10</f>
        <v>1.92511516637164</v>
      </c>
      <c r="Q10" s="8" cm="1">
        <f t="array" ref="Q10">Working_Capital!Q10</f>
        <v>2.02137092469022</v>
      </c>
    </row>
    <row r="11" ht="15.75" customHeight="1">
      <c r="B11" s="7" t="s">
        <v>42</v>
      </c>
      <c r="C11" s="16" cm="1">
        <f t="array" ref="C11">Depreciation_Capex!C10</f>
        <v>20.818435140686</v>
      </c>
      <c r="D11" s="8" cm="1">
        <f t="array" ref="D11">Depreciation_Capex!D10</f>
        <v>22.3798177762374</v>
      </c>
      <c r="E11" s="8" cm="1">
        <f t="array" ref="E11">Depreciation_Capex!E10</f>
        <v>24.2378631125436</v>
      </c>
      <c r="F11" s="8" cm="1">
        <f t="array" ref="F11">Depreciation_Capex!F10</f>
        <v>26.4117761560219</v>
      </c>
      <c r="G11" s="8" cm="1">
        <f t="array" ref="G11">Depreciation_Capex!G10</f>
        <v>28.9117761560219</v>
      </c>
      <c r="H11" s="8" cm="1">
        <f t="array" ref="H11">Depreciation_Capex!H10</f>
        <v>31.8617761560219</v>
      </c>
      <c r="I11" s="8" cm="1">
        <f t="array" ref="I11">Depreciation_Capex!I10</f>
        <v>35.2837761560219</v>
      </c>
      <c r="J11" s="8" cm="1">
        <f t="array" ref="J11">Depreciation_Capex!J10</f>
        <v>39.1848561560219</v>
      </c>
      <c r="K11" s="8" cm="1">
        <f t="array" ref="K11">Depreciation_Capex!K10</f>
        <v>43.5540657560219</v>
      </c>
      <c r="L11" s="8" cm="1">
        <f t="array" ref="L11">Depreciation_Capex!L10</f>
        <v>48.3601963160219</v>
      </c>
      <c r="M11" s="8" cm="1">
        <f t="array" ref="M11">Depreciation_Capex!M10</f>
        <v>53.5988786264219</v>
      </c>
      <c r="N11" s="8" cm="1">
        <f t="array" ref="N11">Depreciation_Capex!N10</f>
        <v>59.2566555216539</v>
      </c>
      <c r="O11" s="8" cm="1">
        <f t="array" ref="O11">Depreciation_Capex!O10</f>
        <v>65.3104767995521</v>
      </c>
      <c r="P11" s="8" cm="1">
        <f t="array" ref="P11">Depreciation_Capex!P10</f>
        <v>71.7275273541242</v>
      </c>
      <c r="Q11" s="8" cm="1">
        <f t="array" ref="Q11">Depreciation_Capex!Q10</f>
        <v>78.4654304364249</v>
      </c>
    </row>
    <row r="12" ht="15.75" customHeight="1">
      <c r="B12" s="13" t="s">
        <v>43</v>
      </c>
      <c r="C12" s="17">
        <f t="shared" si="0" ref="C12:Q12">C8+C9+C10+C11</f>
        <v>125.85935689772</v>
      </c>
      <c r="D12" s="14">
        <f t="shared" si="0"/>
        <v>156.721346156449</v>
      </c>
      <c r="E12" s="14">
        <f t="shared" si="0"/>
        <v>193.805965678728</v>
      </c>
      <c r="F12" s="14">
        <f t="shared" si="0"/>
        <v>237.519966050337</v>
      </c>
      <c r="G12" s="14">
        <f t="shared" si="0"/>
        <v>288.079748659032</v>
      </c>
      <c r="H12" s="14">
        <f t="shared" si="0"/>
        <v>348.064748659032</v>
      </c>
      <c r="I12" s="14">
        <f t="shared" si="0"/>
        <v>417.957348659032</v>
      </c>
      <c r="J12" s="14">
        <f t="shared" si="0"/>
        <v>497.909212659032</v>
      </c>
      <c r="K12" s="14">
        <f t="shared" si="0"/>
        <v>587.693988339032</v>
      </c>
      <c r="L12" s="14">
        <f t="shared" si="0"/>
        <v>686.660345907032</v>
      </c>
      <c r="M12" s="14">
        <f t="shared" si="0"/>
        <v>794.711164075352</v>
      </c>
      <c r="N12" s="14">
        <f t="shared" si="0"/>
        <v>911.565659958257</v>
      </c>
      <c r="O12" s="14">
        <f t="shared" si="0"/>
        <v>1036.74169791759</v>
      </c>
      <c r="P12" s="14">
        <f t="shared" si="0"/>
        <v>1169.55211370826</v>
      </c>
      <c r="Q12" s="14">
        <f t="shared" si="0"/>
        <v>1309.10890793104</v>
      </c>
    </row>
    <row r="13" ht="15" customHeight="1">
      <c r="B13" s="7"/>
      <c r="C13" s="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ht="15.75" customHeight="1">
      <c r="B14" s="7" t="s">
        <v>44</v>
      </c>
      <c r="C14" s="7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ht="15.75" customHeight="1">
      <c r="B15" s="7" t="s">
        <v>45</v>
      </c>
      <c r="C15" s="16" cm="1">
        <f t="array" ref="C15">Working_Capital!C11</f>
        <v>-0.260230439258574</v>
      </c>
      <c r="D15" s="8" cm="1">
        <f t="array" ref="D15">Working_Capital!D11</f>
        <v>-0.312276527110288</v>
      </c>
      <c r="E15" s="8" cm="1">
        <f t="array" ref="E15">Working_Capital!E11</f>
        <v>-0.371609067261242</v>
      </c>
      <c r="F15" s="8" cm="1">
        <f t="array" ref="F15">Working_Capital!F11</f>
        <v>-0.434782608695652</v>
      </c>
      <c r="G15" s="8" cm="1">
        <f t="array" ref="G15">Working_Capital!G11</f>
        <v>-0.5</v>
      </c>
      <c r="H15" s="8" cm="1">
        <f t="array" ref="H15">Working_Capital!H11</f>
        <v>-0.59</v>
      </c>
      <c r="I15" s="8" cm="1">
        <f t="array" ref="I15">Working_Capital!I11</f>
        <v>-0.6844</v>
      </c>
      <c r="J15" s="8" cm="1">
        <f t="array" ref="J15">Working_Capital!J11</f>
        <v>-0.780216</v>
      </c>
      <c r="K15" s="8" cm="1">
        <f t="array" ref="K15">Working_Capital!K11</f>
        <v>-0.87384192</v>
      </c>
      <c r="L15" s="8" cm="1">
        <f t="array" ref="L15">Working_Capital!L11</f>
        <v>-0.961226112</v>
      </c>
      <c r="M15" s="8" cm="1">
        <f t="array" ref="M15">Working_Capital!M11</f>
        <v>-1.04773646208</v>
      </c>
      <c r="N15" s="8" cm="1">
        <f t="array" ref="N15">Working_Capital!N11</f>
        <v>-1.1315553790464</v>
      </c>
      <c r="O15" s="8" cm="1">
        <f t="array" ref="O15">Working_Capital!O11</f>
        <v>-1.21076425557965</v>
      </c>
      <c r="P15" s="8" cm="1">
        <f t="array" ref="P15">Working_Capital!P11</f>
        <v>-1.28341011091443</v>
      </c>
      <c r="Q15" s="8" cm="1">
        <f t="array" ref="Q15">Working_Capital!Q11</f>
        <v>-1.34758061646015</v>
      </c>
    </row>
    <row r="16" ht="15.75" customHeight="1">
      <c r="B16" s="7" t="s">
        <v>46</v>
      </c>
      <c r="C16" s="16" cm="1">
        <f t="array" ref="C16">Debt_Schedule!C10</f>
        <v>50</v>
      </c>
      <c r="D16" s="8" cm="1">
        <f t="array" ref="D16">Debt_Schedule!D10</f>
        <v>50</v>
      </c>
      <c r="E16" s="8" cm="1">
        <f t="array" ref="E16">Debt_Schedule!E10</f>
        <v>50</v>
      </c>
      <c r="F16" s="8" cm="1">
        <f t="array" ref="F16">Debt_Schedule!F10</f>
        <v>50</v>
      </c>
      <c r="G16" s="8" cm="1">
        <f t="array" ref="G16">Debt_Schedule!G10</f>
        <v>50</v>
      </c>
      <c r="H16" s="8" cm="1">
        <f t="array" ref="H16">Debt_Schedule!H10</f>
        <v>50</v>
      </c>
      <c r="I16" s="8" cm="1">
        <f t="array" ref="I16">Debt_Schedule!I10</f>
        <v>50</v>
      </c>
      <c r="J16" s="8" cm="1">
        <f t="array" ref="J16">Debt_Schedule!J10</f>
        <v>50</v>
      </c>
      <c r="K16" s="8" cm="1">
        <f t="array" ref="K16">Debt_Schedule!K10</f>
        <v>50</v>
      </c>
      <c r="L16" s="8" cm="1">
        <f t="array" ref="L16">Debt_Schedule!L10</f>
        <v>50</v>
      </c>
      <c r="M16" s="8" cm="1">
        <f t="array" ref="M16">Debt_Schedule!M10</f>
        <v>50</v>
      </c>
      <c r="N16" s="8" cm="1">
        <f t="array" ref="N16">Debt_Schedule!N10</f>
        <v>50</v>
      </c>
      <c r="O16" s="8" cm="1">
        <f t="array" ref="O16">Debt_Schedule!O10</f>
        <v>50</v>
      </c>
      <c r="P16" s="8" cm="1">
        <f t="array" ref="P16">Debt_Schedule!P10</f>
        <v>50</v>
      </c>
      <c r="Q16" s="8" cm="1">
        <f t="array" ref="Q16">Debt_Schedule!Q10</f>
        <v>50</v>
      </c>
    </row>
    <row r="17" ht="15.75" customHeight="1">
      <c r="B17" s="13" t="s">
        <v>47</v>
      </c>
      <c r="C17" s="17">
        <f t="shared" si="1" ref="C17:Q17">C15+C16</f>
        <v>49.7397695607414</v>
      </c>
      <c r="D17" s="14">
        <f t="shared" si="1"/>
        <v>49.6877234728897</v>
      </c>
      <c r="E17" s="14">
        <f t="shared" si="1"/>
        <v>49.6283909327388</v>
      </c>
      <c r="F17" s="14">
        <f t="shared" si="1"/>
        <v>49.5652173913044</v>
      </c>
      <c r="G17" s="14">
        <f t="shared" si="1"/>
        <v>49.5</v>
      </c>
      <c r="H17" s="14">
        <f t="shared" si="1"/>
        <v>49.41</v>
      </c>
      <c r="I17" s="14">
        <f t="shared" si="1"/>
        <v>49.3156</v>
      </c>
      <c r="J17" s="14">
        <f t="shared" si="1"/>
        <v>49.219784</v>
      </c>
      <c r="K17" s="14">
        <f t="shared" si="1"/>
        <v>49.12615808</v>
      </c>
      <c r="L17" s="14">
        <f t="shared" si="1"/>
        <v>49.038773888</v>
      </c>
      <c r="M17" s="14">
        <f t="shared" si="1"/>
        <v>48.95226353792</v>
      </c>
      <c r="N17" s="14">
        <f t="shared" si="1"/>
        <v>48.8684446209536</v>
      </c>
      <c r="O17" s="14">
        <f t="shared" si="1"/>
        <v>48.7892357444204</v>
      </c>
      <c r="P17" s="14">
        <f t="shared" si="1"/>
        <v>48.7165898890856</v>
      </c>
      <c r="Q17" s="14">
        <f t="shared" si="1"/>
        <v>48.6524193835399</v>
      </c>
    </row>
    <row r="18" ht="15" customHeight="1">
      <c r="B18" s="7"/>
      <c r="C18" s="7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ht="15.75" customHeight="1">
      <c r="B19" s="7" t="s">
        <v>48</v>
      </c>
      <c r="C19" s="7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ht="15.75" customHeight="1">
      <c r="B20" s="13" t="s">
        <v>49</v>
      </c>
      <c r="C20" s="17">
        <f t="shared" si="2" ref="C20:Q20">C12-C17</f>
        <v>76.1195873369786</v>
      </c>
      <c r="D20" s="14">
        <f t="shared" si="2"/>
        <v>107.033622683559</v>
      </c>
      <c r="E20" s="14">
        <f t="shared" si="2"/>
        <v>144.177574745989</v>
      </c>
      <c r="F20" s="14">
        <f t="shared" si="2"/>
        <v>187.954748659033</v>
      </c>
      <c r="G20" s="14">
        <f t="shared" si="2"/>
        <v>238.579748659032</v>
      </c>
      <c r="H20" s="14">
        <f t="shared" si="2"/>
        <v>298.654748659032</v>
      </c>
      <c r="I20" s="14">
        <f t="shared" si="2"/>
        <v>368.641748659032</v>
      </c>
      <c r="J20" s="14">
        <f t="shared" si="2"/>
        <v>448.689428659032</v>
      </c>
      <c r="K20" s="14">
        <f t="shared" si="2"/>
        <v>538.567830259032</v>
      </c>
      <c r="L20" s="14">
        <f t="shared" si="2"/>
        <v>637.621572019032</v>
      </c>
      <c r="M20" s="14">
        <f t="shared" si="2"/>
        <v>745.758900537432</v>
      </c>
      <c r="N20" s="14">
        <f t="shared" si="2"/>
        <v>862.697215337303</v>
      </c>
      <c r="O20" s="14">
        <f t="shared" si="2"/>
        <v>987.95246217317</v>
      </c>
      <c r="P20" s="14">
        <f t="shared" si="2"/>
        <v>1120.83552381917</v>
      </c>
      <c r="Q20" s="14">
        <f t="shared" si="2"/>
        <v>1260.4564885475</v>
      </c>
    </row>
    <row r="21" ht="15" customHeight="1">
      <c r="B21" s="7"/>
      <c r="C21" s="7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ht="15.75" customHeight="1">
      <c r="B22" s="7" t="s">
        <v>50</v>
      </c>
      <c r="C22" s="18">
        <f t="shared" si="3" ref="C22:Q22">C12-C17-C20</f>
        <v>0</v>
      </c>
      <c r="D22" s="12">
        <f t="shared" si="3"/>
        <v>0</v>
      </c>
      <c r="E22" s="12">
        <f t="shared" si="3"/>
        <v>0</v>
      </c>
      <c r="F22" s="12">
        <f t="shared" si="3"/>
        <v>0</v>
      </c>
      <c r="G22" s="12">
        <f t="shared" si="3"/>
        <v>0</v>
      </c>
      <c r="H22" s="12">
        <f t="shared" si="3"/>
        <v>0</v>
      </c>
      <c r="I22" s="12">
        <f t="shared" si="3"/>
        <v>0</v>
      </c>
      <c r="J22" s="12">
        <f t="shared" si="3"/>
        <v>0</v>
      </c>
      <c r="K22" s="12">
        <f t="shared" si="3"/>
        <v>0</v>
      </c>
      <c r="L22" s="12">
        <f t="shared" si="3"/>
        <v>0</v>
      </c>
      <c r="M22" s="12">
        <f t="shared" si="3"/>
        <v>0</v>
      </c>
      <c r="N22" s="12">
        <f t="shared" si="3"/>
        <v>0</v>
      </c>
      <c r="O22" s="12">
        <f t="shared" si="3"/>
        <v>0</v>
      </c>
      <c r="P22" s="12">
        <f t="shared" si="3"/>
        <v>0</v>
      </c>
      <c r="Q22" s="12">
        <f t="shared" si="3"/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A92038-0387-3648-21B8-35DC7B4A7FA8}" mc:Ignorable="x14ac xr xr2 xr3">
  <dimension ref="A1:GR50000"/>
  <sheetViews>
    <sheetView showGridLines="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sheetData>
    <row r="2" ht="15.75" customHeight="1">
      <c r="B2" s="1" t="s">
        <v>51</v>
      </c>
    </row>
    <row r="3" ht="15.75" customHeight="1">
      <c r="B3" t="s">
        <v>26</v>
      </c>
    </row>
    <row r="5" ht="15.75" customHeight="1">
      <c r="C5" s="6">
        <v>2020</v>
      </c>
      <c r="D5" s="6">
        <v>2021</v>
      </c>
      <c r="E5" s="6">
        <v>2022</v>
      </c>
      <c r="F5" s="6">
        <v>2023</v>
      </c>
      <c r="G5" s="6">
        <v>2024</v>
      </c>
      <c r="H5" s="6">
        <v>2025</v>
      </c>
      <c r="I5" s="6">
        <v>2026</v>
      </c>
      <c r="J5" s="6">
        <v>2027</v>
      </c>
      <c r="K5" s="6">
        <v>2028</v>
      </c>
      <c r="L5" s="6">
        <v>2029</v>
      </c>
      <c r="M5" s="6">
        <v>2030</v>
      </c>
      <c r="N5" s="6">
        <v>2031</v>
      </c>
      <c r="O5" s="6">
        <v>2032</v>
      </c>
      <c r="P5" s="6">
        <v>2033</v>
      </c>
      <c r="Q5" s="6">
        <v>2034</v>
      </c>
    </row>
    <row r="7" ht="15.75" customHeight="1">
      <c r="B7" s="7" t="s">
        <v>52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ht="15.75" customHeight="1">
      <c r="B8" s="7" t="s">
        <v>36</v>
      </c>
      <c r="C8" s="8" cm="1">
        <f t="array" ref="C8">Income_Statement!C23</f>
        <v>25.4491961221503</v>
      </c>
      <c r="D8" s="8" cm="1">
        <f t="array" ref="D8">Income_Statement!D23</f>
        <v>30.9140353465802</v>
      </c>
      <c r="E8" s="8" cm="1">
        <f t="array" ref="E8">Income_Statement!E23</f>
        <v>37.1439520624304</v>
      </c>
      <c r="F8" s="8" cm="1">
        <f t="array" ref="F8">Income_Statement!F23</f>
        <v>43.7771739130435</v>
      </c>
      <c r="G8" s="8" cm="1">
        <f t="array" ref="G8">Income_Statement!G23</f>
        <v>50.625</v>
      </c>
      <c r="H8" s="8" cm="1">
        <f t="array" ref="H8">Income_Statement!H23</f>
        <v>60.075</v>
      </c>
      <c r="I8" s="8" cm="1">
        <f t="array" ref="I8">Income_Statement!I23</f>
        <v>69.987</v>
      </c>
      <c r="J8" s="8" cm="1">
        <f t="array" ref="J8">Income_Statement!J23</f>
        <v>80.04768</v>
      </c>
      <c r="K8" s="8" cm="1">
        <f t="array" ref="K8">Income_Statement!K23</f>
        <v>89.8784016</v>
      </c>
      <c r="L8" s="8" cm="1">
        <f t="array" ref="L8">Income_Statement!L23</f>
        <v>99.05374176</v>
      </c>
      <c r="M8" s="8" cm="1">
        <f t="array" ref="M8">Income_Statement!M23</f>
        <v>108.1373285184</v>
      </c>
      <c r="N8" s="8" cm="1">
        <f t="array" ref="N8">Income_Statement!N23</f>
        <v>116.938314799872</v>
      </c>
      <c r="O8" s="8" cm="1">
        <f t="array" ref="O8">Income_Statement!O23</f>
        <v>125.255246835863</v>
      </c>
      <c r="P8" s="8" cm="1">
        <f t="array" ref="P8">Income_Statement!P23</f>
        <v>132.883061646015</v>
      </c>
      <c r="Q8" s="8" cm="1">
        <f t="array" ref="Q8">Income_Statement!Q23</f>
        <v>139.620964728316</v>
      </c>
    </row>
    <row r="9" ht="15.75" customHeight="1">
      <c r="B9" s="7" t="s">
        <v>53</v>
      </c>
      <c r="C9" s="8" cm="1">
        <f t="array" ref="C9">Depreciation_Capex!C9</f>
        <v>2.60230439258574</v>
      </c>
      <c r="D9" s="8" cm="1">
        <f t="array" ref="D9">Depreciation_Capex!D9</f>
        <v>3.12276527110288</v>
      </c>
      <c r="E9" s="8" cm="1">
        <f t="array" ref="E9">Depreciation_Capex!E9</f>
        <v>3.71609067261242</v>
      </c>
      <c r="F9" s="8" cm="1">
        <f t="array" ref="F9">Depreciation_Capex!F9</f>
        <v>4.34782608695652</v>
      </c>
      <c r="G9" s="8" cm="1">
        <f t="array" ref="G9">Depreciation_Capex!G9</f>
        <v>5</v>
      </c>
      <c r="H9" s="8" cm="1">
        <f t="array" ref="H9">Depreciation_Capex!H9</f>
        <v>5.9</v>
      </c>
      <c r="I9" s="8" cm="1">
        <f t="array" ref="I9">Depreciation_Capex!I9</f>
        <v>6.844</v>
      </c>
      <c r="J9" s="8" cm="1">
        <f t="array" ref="J9">Depreciation_Capex!J9</f>
        <v>7.80216</v>
      </c>
      <c r="K9" s="8" cm="1">
        <f t="array" ref="K9">Depreciation_Capex!K9</f>
        <v>8.7384192</v>
      </c>
      <c r="L9" s="8" cm="1">
        <f t="array" ref="L9">Depreciation_Capex!L9</f>
        <v>9.61226112</v>
      </c>
      <c r="M9" s="8" cm="1">
        <f t="array" ref="M9">Depreciation_Capex!M9</f>
        <v>10.4773646208</v>
      </c>
      <c r="N9" s="8" cm="1">
        <f t="array" ref="N9">Depreciation_Capex!N9</f>
        <v>11.315553790464</v>
      </c>
      <c r="O9" s="8" cm="1">
        <f t="array" ref="O9">Depreciation_Capex!O9</f>
        <v>12.1076425557965</v>
      </c>
      <c r="P9" s="8" cm="1">
        <f t="array" ref="P9">Depreciation_Capex!P9</f>
        <v>12.8341011091443</v>
      </c>
      <c r="Q9" s="8" cm="1">
        <f t="array" ref="Q9">Depreciation_Capex!Q9</f>
        <v>13.4758061646015</v>
      </c>
    </row>
    <row r="10" ht="15.75" customHeight="1">
      <c r="B10" s="7" t="s">
        <v>54</v>
      </c>
      <c r="C10" s="8" cm="1">
        <f t="array" ref="C10">Working_Capital!C16</f>
        <v>0</v>
      </c>
      <c r="D10" s="8" cm="1">
        <f t="array" ref="D10">Working_Capital!D16</f>
        <v>0.26023043925857</v>
      </c>
      <c r="E10" s="8" cm="1">
        <f t="array" ref="E10">Working_Capital!E16</f>
        <v>0.29666270075477</v>
      </c>
      <c r="F10" s="8" cm="1">
        <f t="array" ref="F10">Working_Capital!F16</f>
        <v>0.31586770717205</v>
      </c>
      <c r="G10" s="8" cm="1">
        <f t="array" ref="G10">Working_Capital!G16</f>
        <v>0.32608695652174</v>
      </c>
      <c r="H10" s="8" cm="1">
        <f t="array" ref="H10">Working_Capital!H16</f>
        <v>0.45</v>
      </c>
      <c r="I10" s="8" cm="1">
        <f t="array" ref="I10">Working_Capital!I16</f>
        <v>0.472</v>
      </c>
      <c r="J10" s="8" cm="1">
        <f t="array" ref="J10">Working_Capital!J16</f>
        <v>0.47908</v>
      </c>
      <c r="K10" s="8" cm="1">
        <f t="array" ref="K10">Working_Capital!K16</f>
        <v>0.4681296</v>
      </c>
      <c r="L10" s="8" cm="1">
        <f t="array" ref="L10">Working_Capital!L16</f>
        <v>0.43692096</v>
      </c>
      <c r="M10" s="8" cm="1">
        <f t="array" ref="M10">Working_Capital!M16</f>
        <v>0.4325517504</v>
      </c>
      <c r="N10" s="8" cm="1">
        <f t="array" ref="N10">Working_Capital!N16</f>
        <v>0.419094584832</v>
      </c>
      <c r="O10" s="8" cm="1">
        <f t="array" ref="O10">Working_Capital!O16</f>
        <v>0.39604438266624</v>
      </c>
      <c r="P10" s="8" cm="1">
        <f t="array" ref="P10">Working_Capital!P16</f>
        <v>0.36322927667389</v>
      </c>
      <c r="Q10" s="8" cm="1">
        <f t="array" ref="Q10">Working_Capital!Q16</f>
        <v>0.32085252772861</v>
      </c>
    </row>
    <row r="11" ht="15.75" customHeight="1">
      <c r="B11" s="7" t="s">
        <v>55</v>
      </c>
      <c r="C11" s="12">
        <f t="shared" si="0" ref="C11:Q11">C8+C9-C10</f>
        <v>28.051500514736</v>
      </c>
      <c r="D11" s="12">
        <f t="shared" si="0"/>
        <v>33.7765701784245</v>
      </c>
      <c r="E11" s="12">
        <f t="shared" si="0"/>
        <v>40.563380034288</v>
      </c>
      <c r="F11" s="12">
        <f t="shared" si="0"/>
        <v>47.809132292828</v>
      </c>
      <c r="G11" s="12">
        <f t="shared" si="0"/>
        <v>55.2989130434783</v>
      </c>
      <c r="H11" s="12">
        <f t="shared" si="0"/>
        <v>65.525</v>
      </c>
      <c r="I11" s="12">
        <f t="shared" si="0"/>
        <v>76.359</v>
      </c>
      <c r="J11" s="12">
        <f t="shared" si="0"/>
        <v>87.37076</v>
      </c>
      <c r="K11" s="12">
        <f t="shared" si="0"/>
        <v>98.1486912</v>
      </c>
      <c r="L11" s="12">
        <f t="shared" si="0"/>
        <v>108.22908192</v>
      </c>
      <c r="M11" s="12">
        <f t="shared" si="0"/>
        <v>118.1821413888</v>
      </c>
      <c r="N11" s="12">
        <f t="shared" si="0"/>
        <v>127.834774005504</v>
      </c>
      <c r="O11" s="12">
        <f t="shared" si="0"/>
        <v>136.966845008993</v>
      </c>
      <c r="P11" s="12">
        <f t="shared" si="0"/>
        <v>145.353933478485</v>
      </c>
      <c r="Q11" s="12">
        <f t="shared" si="0"/>
        <v>152.775918365189</v>
      </c>
    </row>
    <row r="12" ht="15" customHeight="1">
      <c r="B12" s="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ht="15.75" customHeight="1">
      <c r="B13" s="7" t="s">
        <v>56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ht="15.75" customHeight="1">
      <c r="B14" s="7" t="s">
        <v>57</v>
      </c>
      <c r="C14" s="8">
        <f>-Depreciation_Capex!C8</f>
        <v>-3.90345658887861</v>
      </c>
      <c r="D14" s="8">
        <f>-Depreciation_Capex!D8</f>
        <v>-4.68414790665432</v>
      </c>
      <c r="E14" s="8">
        <f>-Depreciation_Capex!E8</f>
        <v>-5.57413600891863</v>
      </c>
      <c r="F14" s="8">
        <f>-Depreciation_Capex!F8</f>
        <v>-6.52173913043478</v>
      </c>
      <c r="G14" s="8">
        <f>-Depreciation_Capex!G8</f>
        <v>-7.5</v>
      </c>
      <c r="H14" s="8">
        <f>-Depreciation_Capex!H8</f>
        <v>-8.85</v>
      </c>
      <c r="I14" s="8">
        <f>-Depreciation_Capex!I8</f>
        <v>-10.266</v>
      </c>
      <c r="J14" s="8">
        <f>-Depreciation_Capex!J8</f>
        <v>-11.70324</v>
      </c>
      <c r="K14" s="8">
        <f>-Depreciation_Capex!K8</f>
        <v>-13.1076288</v>
      </c>
      <c r="L14" s="8">
        <f>-Depreciation_Capex!L8</f>
        <v>-14.41839168</v>
      </c>
      <c r="M14" s="8">
        <f>-Depreciation_Capex!M8</f>
        <v>-15.7160469312</v>
      </c>
      <c r="N14" s="8">
        <f>-Depreciation_Capex!N8</f>
        <v>-16.973330685696</v>
      </c>
      <c r="O14" s="8">
        <f>-Depreciation_Capex!O8</f>
        <v>-18.1614638336947</v>
      </c>
      <c r="P14" s="8">
        <f>-Depreciation_Capex!P8</f>
        <v>-19.2511516637164</v>
      </c>
      <c r="Q14" s="8">
        <f>-Depreciation_Capex!Q8</f>
        <v>-20.2137092469022</v>
      </c>
    </row>
    <row r="15" ht="15.75" customHeight="1">
      <c r="B15" s="7" t="s">
        <v>58</v>
      </c>
      <c r="C15" s="12" cm="1">
        <f t="array" ref="C15">C14</f>
        <v>-3.90345658887861</v>
      </c>
      <c r="D15" s="12" cm="1">
        <f t="array" ref="D15">D14</f>
        <v>-4.68414790665432</v>
      </c>
      <c r="E15" s="12" cm="1">
        <f t="array" ref="E15">E14</f>
        <v>-5.57413600891863</v>
      </c>
      <c r="F15" s="12" cm="1">
        <f t="array" ref="F15">F14</f>
        <v>-6.52173913043478</v>
      </c>
      <c r="G15" s="12" cm="1">
        <f t="array" ref="G15">G14</f>
        <v>-7.5</v>
      </c>
      <c r="H15" s="12" cm="1">
        <f t="array" ref="H15">H14</f>
        <v>-8.85</v>
      </c>
      <c r="I15" s="12" cm="1">
        <f t="array" ref="I15">I14</f>
        <v>-10.266</v>
      </c>
      <c r="J15" s="12" cm="1">
        <f t="array" ref="J15">J14</f>
        <v>-11.70324</v>
      </c>
      <c r="K15" s="12" cm="1">
        <f t="array" ref="K15">K14</f>
        <v>-13.1076288</v>
      </c>
      <c r="L15" s="12" cm="1">
        <f t="array" ref="L15">L14</f>
        <v>-14.41839168</v>
      </c>
      <c r="M15" s="12" cm="1">
        <f t="array" ref="M15">M14</f>
        <v>-15.7160469312</v>
      </c>
      <c r="N15" s="12" cm="1">
        <f t="array" ref="N15">N14</f>
        <v>-16.973330685696</v>
      </c>
      <c r="O15" s="12" cm="1">
        <f t="array" ref="O15">O14</f>
        <v>-18.1614638336947</v>
      </c>
      <c r="P15" s="12" cm="1">
        <f t="array" ref="P15">P14</f>
        <v>-19.2511516637164</v>
      </c>
      <c r="Q15" s="12" cm="1">
        <f t="array" ref="Q15">Q14</f>
        <v>-20.2137092469022</v>
      </c>
    </row>
    <row r="16" ht="15" customHeight="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ht="15.75" customHeight="1">
      <c r="B17" s="7" t="s">
        <v>59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ht="15.75" customHeight="1">
      <c r="B18" s="7" t="s">
        <v>60</v>
      </c>
      <c r="C18" s="8" cm="1">
        <f t="array" ref="C18">Debt_Schedule!C8</f>
        <v>0</v>
      </c>
      <c r="D18" s="8" cm="1">
        <f t="array" ref="D18">Debt_Schedule!D8</f>
        <v>0</v>
      </c>
      <c r="E18" s="8" cm="1">
        <f t="array" ref="E18">Debt_Schedule!E8</f>
        <v>0</v>
      </c>
      <c r="F18" s="8" cm="1">
        <f t="array" ref="F18">Debt_Schedule!F8</f>
        <v>0</v>
      </c>
      <c r="G18" s="8" cm="1">
        <f t="array" ref="G18">Debt_Schedule!G8</f>
        <v>0</v>
      </c>
      <c r="H18" s="8" cm="1">
        <f t="array" ref="H18">Debt_Schedule!H8</f>
        <v>0</v>
      </c>
      <c r="I18" s="8" cm="1">
        <f t="array" ref="I18">Debt_Schedule!I8</f>
        <v>0</v>
      </c>
      <c r="J18" s="8" cm="1">
        <f t="array" ref="J18">Debt_Schedule!J8</f>
        <v>0</v>
      </c>
      <c r="K18" s="8" cm="1">
        <f t="array" ref="K18">Debt_Schedule!K8</f>
        <v>0</v>
      </c>
      <c r="L18" s="8" cm="1">
        <f t="array" ref="L18">Debt_Schedule!L8</f>
        <v>0</v>
      </c>
      <c r="M18" s="8" cm="1">
        <f t="array" ref="M18">Debt_Schedule!M8</f>
        <v>0</v>
      </c>
      <c r="N18" s="8" cm="1">
        <f t="array" ref="N18">Debt_Schedule!N8</f>
        <v>0</v>
      </c>
      <c r="O18" s="8" cm="1">
        <f t="array" ref="O18">Debt_Schedule!O8</f>
        <v>0</v>
      </c>
      <c r="P18" s="8" cm="1">
        <f t="array" ref="P18">Debt_Schedule!P8</f>
        <v>0</v>
      </c>
      <c r="Q18" s="8" cm="1">
        <f t="array" ref="Q18">Debt_Schedule!Q8</f>
        <v>0</v>
      </c>
    </row>
    <row r="19" ht="15.75" customHeight="1">
      <c r="B19" s="7" t="s">
        <v>61</v>
      </c>
      <c r="C19" s="8">
        <f>-Debt_Schedule!C9</f>
        <v>0</v>
      </c>
      <c r="D19" s="8">
        <f>-Debt_Schedule!D9</f>
        <v>0</v>
      </c>
      <c r="E19" s="8">
        <f>-Debt_Schedule!E9</f>
        <v>0</v>
      </c>
      <c r="F19" s="8">
        <f>-Debt_Schedule!F9</f>
        <v>0</v>
      </c>
      <c r="G19" s="8">
        <f>-Debt_Schedule!G9</f>
        <v>0</v>
      </c>
      <c r="H19" s="8">
        <f>-Debt_Schedule!H9</f>
        <v>0</v>
      </c>
      <c r="I19" s="8">
        <f>-Debt_Schedule!I9</f>
        <v>0</v>
      </c>
      <c r="J19" s="8">
        <f>-Debt_Schedule!J9</f>
        <v>0</v>
      </c>
      <c r="K19" s="8">
        <f>-Debt_Schedule!K9</f>
        <v>0</v>
      </c>
      <c r="L19" s="8">
        <f>-Debt_Schedule!L9</f>
        <v>0</v>
      </c>
      <c r="M19" s="8">
        <f>-Debt_Schedule!M9</f>
        <v>0</v>
      </c>
      <c r="N19" s="8">
        <f>-Debt_Schedule!N9</f>
        <v>0</v>
      </c>
      <c r="O19" s="8">
        <f>-Debt_Schedule!O9</f>
        <v>0</v>
      </c>
      <c r="P19" s="8">
        <f>-Debt_Schedule!P9</f>
        <v>0</v>
      </c>
      <c r="Q19" s="8">
        <f>-Debt_Schedule!Q9</f>
        <v>0</v>
      </c>
    </row>
    <row r="20" ht="15.75" customHeight="1">
      <c r="B20" s="7" t="s">
        <v>62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</row>
    <row r="21" ht="15.75" customHeight="1">
      <c r="B21" s="7" t="s">
        <v>63</v>
      </c>
      <c r="C21" s="12">
        <f t="shared" si="1" ref="C21:Q21">C18+C19+C20</f>
        <v>0</v>
      </c>
      <c r="D21" s="12">
        <f t="shared" si="1"/>
        <v>0</v>
      </c>
      <c r="E21" s="12">
        <f t="shared" si="1"/>
        <v>0</v>
      </c>
      <c r="F21" s="12">
        <f t="shared" si="1"/>
        <v>0</v>
      </c>
      <c r="G21" s="12">
        <f t="shared" si="1"/>
        <v>0</v>
      </c>
      <c r="H21" s="12">
        <f t="shared" si="1"/>
        <v>0</v>
      </c>
      <c r="I21" s="12">
        <f t="shared" si="1"/>
        <v>0</v>
      </c>
      <c r="J21" s="12">
        <f t="shared" si="1"/>
        <v>0</v>
      </c>
      <c r="K21" s="12">
        <f t="shared" si="1"/>
        <v>0</v>
      </c>
      <c r="L21" s="12">
        <f t="shared" si="1"/>
        <v>0</v>
      </c>
      <c r="M21" s="12">
        <f t="shared" si="1"/>
        <v>0</v>
      </c>
      <c r="N21" s="12">
        <f t="shared" si="1"/>
        <v>0</v>
      </c>
      <c r="O21" s="12">
        <f t="shared" si="1"/>
        <v>0</v>
      </c>
      <c r="P21" s="12">
        <f t="shared" si="1"/>
        <v>0</v>
      </c>
      <c r="Q21" s="12">
        <f t="shared" si="1"/>
        <v>0</v>
      </c>
    </row>
    <row r="22" ht="15" customHeight="1">
      <c r="B22" s="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ht="15.75" customHeight="1">
      <c r="B23" s="7" t="s">
        <v>64</v>
      </c>
      <c r="C23" s="12">
        <f t="shared" si="2" ref="C23:Q23">C11+C15+C21</f>
        <v>24.1480439258574</v>
      </c>
      <c r="D23" s="12">
        <f t="shared" si="2"/>
        <v>29.0924222717702</v>
      </c>
      <c r="E23" s="12">
        <f t="shared" si="2"/>
        <v>34.9892440253694</v>
      </c>
      <c r="F23" s="12">
        <f t="shared" si="2"/>
        <v>41.2873931623932</v>
      </c>
      <c r="G23" s="12">
        <f t="shared" si="2"/>
        <v>47.7989130434783</v>
      </c>
      <c r="H23" s="12">
        <f t="shared" si="2"/>
        <v>56.675</v>
      </c>
      <c r="I23" s="12">
        <f t="shared" si="2"/>
        <v>66.093</v>
      </c>
      <c r="J23" s="12">
        <f t="shared" si="2"/>
        <v>75.66752</v>
      </c>
      <c r="K23" s="12">
        <f t="shared" si="2"/>
        <v>85.0410624</v>
      </c>
      <c r="L23" s="12">
        <f t="shared" si="2"/>
        <v>93.81069024</v>
      </c>
      <c r="M23" s="12">
        <f t="shared" si="2"/>
        <v>102.4660944576</v>
      </c>
      <c r="N23" s="12">
        <f t="shared" si="2"/>
        <v>110.861443319808</v>
      </c>
      <c r="O23" s="12">
        <f t="shared" si="2"/>
        <v>118.805381175298</v>
      </c>
      <c r="P23" s="12">
        <f t="shared" si="2"/>
        <v>126.102781814769</v>
      </c>
      <c r="Q23" s="12">
        <f t="shared" si="2"/>
        <v>132.562209118287</v>
      </c>
    </row>
    <row r="24" ht="15.75" customHeight="1">
      <c r="B24" s="7" t="s">
        <v>65</v>
      </c>
      <c r="C24" s="12">
        <f>C27-C23</f>
        <v>79.8519560741426</v>
      </c>
      <c r="D24" s="12" cm="1">
        <f t="array" ref="D24">C25</f>
        <v>104</v>
      </c>
      <c r="E24" s="12" cm="1">
        <f t="array" ref="E24">D25</f>
        <v>133.09242227177</v>
      </c>
      <c r="F24" s="12" cm="1">
        <f t="array" ref="F24">E25</f>
        <v>168.081666297139</v>
      </c>
      <c r="G24" s="12" cm="1">
        <f t="array" ref="G24">F25</f>
        <v>209.369059459532</v>
      </c>
      <c r="H24" s="12" cm="1">
        <f t="array" ref="H24">G25</f>
        <v>257.16797250301</v>
      </c>
      <c r="I24" s="12" cm="1">
        <f t="array" ref="I24">H25</f>
        <v>313.84297250301</v>
      </c>
      <c r="J24" s="12" cm="1">
        <f t="array" ref="J24">I25</f>
        <v>379.93597250301</v>
      </c>
      <c r="K24" s="12" cm="1">
        <f t="array" ref="K24">J25</f>
        <v>455.60349250301</v>
      </c>
      <c r="L24" s="12" cm="1">
        <f t="array" ref="L24">K25</f>
        <v>540.64455490301</v>
      </c>
      <c r="M24" s="12" cm="1">
        <f t="array" ref="M24">L25</f>
        <v>634.45524514301</v>
      </c>
      <c r="N24" s="12" cm="1">
        <f t="array" ref="N24">M25</f>
        <v>736.92133960061</v>
      </c>
      <c r="O24" s="12" cm="1">
        <f t="array" ref="O24">N25</f>
        <v>847.782782920418</v>
      </c>
      <c r="P24" s="12" cm="1">
        <f t="array" ref="P24">O25</f>
        <v>966.588164095716</v>
      </c>
      <c r="Q24" s="12" cm="1">
        <f t="array" ref="Q24">P25</f>
        <v>1092.69094591048</v>
      </c>
    </row>
    <row r="25" ht="15.75" customHeight="1">
      <c r="B25" s="13" t="s">
        <v>66</v>
      </c>
      <c r="C25" s="14">
        <f t="shared" si="3" ref="C25:Q25">C24+C23</f>
        <v>104</v>
      </c>
      <c r="D25" s="14">
        <f t="shared" si="3"/>
        <v>133.09242227177</v>
      </c>
      <c r="E25" s="14">
        <f t="shared" si="3"/>
        <v>168.081666297139</v>
      </c>
      <c r="F25" s="14">
        <f t="shared" si="3"/>
        <v>209.369059459532</v>
      </c>
      <c r="G25" s="14">
        <f t="shared" si="3"/>
        <v>257.16797250301</v>
      </c>
      <c r="H25" s="14">
        <f t="shared" si="3"/>
        <v>313.84297250301</v>
      </c>
      <c r="I25" s="14">
        <f t="shared" si="3"/>
        <v>379.93597250301</v>
      </c>
      <c r="J25" s="14">
        <f t="shared" si="3"/>
        <v>455.60349250301</v>
      </c>
      <c r="K25" s="14">
        <f t="shared" si="3"/>
        <v>540.64455490301</v>
      </c>
      <c r="L25" s="14">
        <f t="shared" si="3"/>
        <v>634.45524514301</v>
      </c>
      <c r="M25" s="14">
        <f t="shared" si="3"/>
        <v>736.92133960061</v>
      </c>
      <c r="N25" s="14">
        <f t="shared" si="3"/>
        <v>847.782782920418</v>
      </c>
      <c r="O25" s="14">
        <f t="shared" si="3"/>
        <v>966.588164095716</v>
      </c>
      <c r="P25" s="14">
        <f t="shared" si="3"/>
        <v>1092.69094591048</v>
      </c>
      <c r="Q25" s="14">
        <f t="shared" si="3"/>
        <v>1225.25315502877</v>
      </c>
    </row>
    <row r="26" ht="15" customHeight="1">
      <c r="B26" s="7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ht="15.75" customHeight="1">
      <c r="B27" s="7" t="s">
        <v>67</v>
      </c>
      <c r="C27" s="8" cm="1">
        <f t="array" ref="C27">Balance_Sheet!C8</f>
        <v>104</v>
      </c>
      <c r="D27" s="8" cm="1">
        <f t="array" ref="D27">Balance_Sheet!D8</f>
        <v>133.09242227177</v>
      </c>
      <c r="E27" s="8" cm="1">
        <f t="array" ref="E27">Balance_Sheet!E8</f>
        <v>168.081666297139</v>
      </c>
      <c r="F27" s="8" cm="1">
        <f t="array" ref="F27">Balance_Sheet!F8</f>
        <v>209.369059459532</v>
      </c>
      <c r="G27" s="8" cm="1">
        <f t="array" ref="G27">Balance_Sheet!G8</f>
        <v>257.16797250301</v>
      </c>
      <c r="H27" s="8" cm="1">
        <f t="array" ref="H27">Balance_Sheet!H8</f>
        <v>313.84297250301</v>
      </c>
      <c r="I27" s="8" cm="1">
        <f t="array" ref="I27">Balance_Sheet!I8</f>
        <v>379.93597250301</v>
      </c>
      <c r="J27" s="8" cm="1">
        <f t="array" ref="J27">Balance_Sheet!J8</f>
        <v>455.60349250301</v>
      </c>
      <c r="K27" s="8" cm="1">
        <f t="array" ref="K27">Balance_Sheet!K8</f>
        <v>540.64455490301</v>
      </c>
      <c r="L27" s="8" cm="1">
        <f t="array" ref="L27">Balance_Sheet!L8</f>
        <v>634.45524514301</v>
      </c>
      <c r="M27" s="8" cm="1">
        <f t="array" ref="M27">Balance_Sheet!M8</f>
        <v>736.92133960061</v>
      </c>
      <c r="N27" s="8" cm="1">
        <f t="array" ref="N27">Balance_Sheet!N8</f>
        <v>847.782782920418</v>
      </c>
      <c r="O27" s="8" cm="1">
        <f t="array" ref="O27">Balance_Sheet!O8</f>
        <v>966.588164095716</v>
      </c>
      <c r="P27" s="8" cm="1">
        <f t="array" ref="P27">Balance_Sheet!P8</f>
        <v>1092.69094591048</v>
      </c>
      <c r="Q27" s="8" cm="1">
        <f t="array" ref="Q27">Balance_Sheet!Q8</f>
        <v>1225.25315502877</v>
      </c>
    </row>
    <row r="28" ht="15.75" customHeight="1">
      <c r="B28" s="7" t="s">
        <v>68</v>
      </c>
      <c r="C28" s="12">
        <f t="shared" si="4" ref="C28:Q28">C25-C27</f>
        <v>0</v>
      </c>
      <c r="D28" s="12">
        <f t="shared" si="4"/>
        <v>0</v>
      </c>
      <c r="E28" s="12">
        <f t="shared" si="4"/>
        <v>0</v>
      </c>
      <c r="F28" s="12">
        <f t="shared" si="4"/>
        <v>0</v>
      </c>
      <c r="G28" s="12">
        <f t="shared" si="4"/>
        <v>0</v>
      </c>
      <c r="H28" s="12">
        <f t="shared" si="4"/>
        <v>0</v>
      </c>
      <c r="I28" s="12">
        <f t="shared" si="4"/>
        <v>0</v>
      </c>
      <c r="J28" s="12">
        <f t="shared" si="4"/>
        <v>0</v>
      </c>
      <c r="K28" s="12">
        <f t="shared" si="4"/>
        <v>0</v>
      </c>
      <c r="L28" s="12">
        <f t="shared" si="4"/>
        <v>0</v>
      </c>
      <c r="M28" s="12">
        <f t="shared" si="4"/>
        <v>0</v>
      </c>
      <c r="N28" s="12">
        <f t="shared" si="4"/>
        <v>0</v>
      </c>
      <c r="O28" s="12">
        <f t="shared" si="4"/>
        <v>0</v>
      </c>
      <c r="P28" s="12">
        <f t="shared" si="4"/>
        <v>0</v>
      </c>
      <c r="Q28" s="12">
        <f t="shared" si="4"/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7ACDD11-1A88-3C31-D9FB-9D328691E328}" mc:Ignorable="x14ac xr xr2 xr3">
  <dimension ref="A1:GR50000"/>
  <sheetViews>
    <sheetView showGridLines="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sheetData>
    <row r="2" ht="15.75" customHeight="1">
      <c r="B2" s="1" t="s">
        <v>69</v>
      </c>
    </row>
    <row r="3" ht="15.75" customHeight="1">
      <c r="B3" t="s">
        <v>26</v>
      </c>
    </row>
    <row r="5" ht="15.75" customHeight="1">
      <c r="C5" s="6">
        <v>2020</v>
      </c>
      <c r="D5" s="6">
        <v>2021</v>
      </c>
      <c r="E5" s="6">
        <v>2022</v>
      </c>
      <c r="F5" s="6">
        <v>2023</v>
      </c>
      <c r="G5" s="6">
        <v>2024</v>
      </c>
      <c r="H5" s="6">
        <v>2025</v>
      </c>
      <c r="I5" s="6">
        <v>2026</v>
      </c>
      <c r="J5" s="6">
        <v>2027</v>
      </c>
      <c r="K5" s="6">
        <v>2028</v>
      </c>
      <c r="L5" s="6">
        <v>2029</v>
      </c>
      <c r="M5" s="6">
        <v>2030</v>
      </c>
      <c r="N5" s="6">
        <v>2031</v>
      </c>
      <c r="O5" s="6">
        <v>2032</v>
      </c>
      <c r="P5" s="6">
        <v>2033</v>
      </c>
      <c r="Q5" s="6">
        <v>2034</v>
      </c>
    </row>
    <row r="7" ht="15.75" customHeight="1">
      <c r="B7" t="s">
        <v>70</v>
      </c>
      <c r="C7" s="20" cm="1">
        <f t="array" ref="C7">Income_Statement!C7</f>
        <v>130.115219629287</v>
      </c>
      <c r="D7" s="20" cm="1">
        <f t="array" ref="D7">Income_Statement!D7</f>
        <v>156.138263555144</v>
      </c>
      <c r="E7" s="20" cm="1">
        <f t="array" ref="E7">Income_Statement!E7</f>
        <v>185.804533630621</v>
      </c>
      <c r="F7" s="20" cm="1">
        <f t="array" ref="F7">Income_Statement!F7</f>
        <v>217.391304347826</v>
      </c>
      <c r="G7" s="20" cm="1">
        <f t="array" ref="G7">Income_Statement!G7</f>
        <v>250</v>
      </c>
      <c r="H7" s="20" cm="1">
        <f t="array" ref="H7">Income_Statement!H7</f>
        <v>295</v>
      </c>
      <c r="I7" s="20" cm="1">
        <f t="array" ref="I7">Income_Statement!I7</f>
        <v>342.2</v>
      </c>
      <c r="J7" s="20" cm="1">
        <f t="array" ref="J7">Income_Statement!J7</f>
        <v>390.108</v>
      </c>
      <c r="K7" s="20" cm="1">
        <f t="array" ref="K7">Income_Statement!K7</f>
        <v>436.92096</v>
      </c>
      <c r="L7" s="20" cm="1">
        <f t="array" ref="L7">Income_Statement!L7</f>
        <v>480.613056</v>
      </c>
      <c r="M7" s="20" cm="1">
        <f t="array" ref="M7">Income_Statement!M7</f>
        <v>523.86823104</v>
      </c>
      <c r="N7" s="20" cm="1">
        <f t="array" ref="N7">Income_Statement!N7</f>
        <v>565.7776895232</v>
      </c>
      <c r="O7" s="20" cm="1">
        <f t="array" ref="O7">Income_Statement!O7</f>
        <v>605.382127789824</v>
      </c>
      <c r="P7" s="20" cm="1">
        <f t="array" ref="P7">Income_Statement!P7</f>
        <v>641.705055457213</v>
      </c>
      <c r="Q7" s="20" cm="1">
        <f t="array" ref="Q7">Income_Statement!Q7</f>
        <v>673.790308230074</v>
      </c>
    </row>
    <row r="8" ht="15" customHeight="1"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ht="15.75" customHeight="1">
      <c r="B9" t="s">
        <v>40</v>
      </c>
      <c r="C9" s="22">
        <f t="shared" si="0" ref="C9:Q9">C13*0.5</f>
        <v>0.650576098146435</v>
      </c>
      <c r="D9" s="22">
        <f t="shared" si="0"/>
        <v>0.78069131777572</v>
      </c>
      <c r="E9" s="22">
        <f t="shared" si="0"/>
        <v>0.929022668153105</v>
      </c>
      <c r="F9" s="22">
        <f t="shared" si="0"/>
        <v>1.08695652173913</v>
      </c>
      <c r="G9" s="22">
        <f t="shared" si="0"/>
        <v>1.25</v>
      </c>
      <c r="H9" s="22">
        <f t="shared" si="0"/>
        <v>1.475</v>
      </c>
      <c r="I9" s="22">
        <f t="shared" si="0"/>
        <v>1.711</v>
      </c>
      <c r="J9" s="22">
        <f t="shared" si="0"/>
        <v>1.95054</v>
      </c>
      <c r="K9" s="22">
        <f t="shared" si="0"/>
        <v>2.1846048</v>
      </c>
      <c r="L9" s="22">
        <f t="shared" si="0"/>
        <v>2.40306528</v>
      </c>
      <c r="M9" s="22">
        <f t="shared" si="0"/>
        <v>2.6193411552</v>
      </c>
      <c r="N9" s="22">
        <f t="shared" si="0"/>
        <v>2.828888447616</v>
      </c>
      <c r="O9" s="22">
        <f t="shared" si="0"/>
        <v>3.02691063894912</v>
      </c>
      <c r="P9" s="22">
        <f t="shared" si="0"/>
        <v>3.20852527728607</v>
      </c>
      <c r="Q9" s="22">
        <f t="shared" si="0"/>
        <v>3.36895154115037</v>
      </c>
    </row>
    <row r="10" ht="15.75" customHeight="1">
      <c r="B10" t="s">
        <v>41</v>
      </c>
      <c r="C10" s="22">
        <f t="shared" si="1" ref="C10:Q10">C13*0.3</f>
        <v>0.390345658887861</v>
      </c>
      <c r="D10" s="22">
        <f t="shared" si="1"/>
        <v>0.468414790665432</v>
      </c>
      <c r="E10" s="22">
        <f t="shared" si="1"/>
        <v>0.557413600891863</v>
      </c>
      <c r="F10" s="22">
        <f t="shared" si="1"/>
        <v>0.652173913043478</v>
      </c>
      <c r="G10" s="22">
        <f t="shared" si="1"/>
        <v>0.75</v>
      </c>
      <c r="H10" s="22">
        <f t="shared" si="1"/>
        <v>0.885</v>
      </c>
      <c r="I10" s="22">
        <f t="shared" si="1"/>
        <v>1.0266</v>
      </c>
      <c r="J10" s="22">
        <f t="shared" si="1"/>
        <v>1.170324</v>
      </c>
      <c r="K10" s="22">
        <f t="shared" si="1"/>
        <v>1.31076288</v>
      </c>
      <c r="L10" s="22">
        <f t="shared" si="1"/>
        <v>1.441839168</v>
      </c>
      <c r="M10" s="22">
        <f t="shared" si="1"/>
        <v>1.57160469312</v>
      </c>
      <c r="N10" s="22">
        <f t="shared" si="1"/>
        <v>1.6973330685696</v>
      </c>
      <c r="O10" s="22">
        <f t="shared" si="1"/>
        <v>1.81614638336947</v>
      </c>
      <c r="P10" s="22">
        <f t="shared" si="1"/>
        <v>1.92511516637164</v>
      </c>
      <c r="Q10" s="22">
        <f t="shared" si="1"/>
        <v>2.02137092469022</v>
      </c>
    </row>
    <row r="11" ht="15.75" customHeight="1">
      <c r="B11" t="s">
        <v>45</v>
      </c>
      <c r="C11" s="22">
        <f t="shared" si="2" ref="C11:Q11">-C13*0.2</f>
        <v>-0.260230439258574</v>
      </c>
      <c r="D11" s="22">
        <f t="shared" si="2"/>
        <v>-0.312276527110288</v>
      </c>
      <c r="E11" s="22">
        <f t="shared" si="2"/>
        <v>-0.371609067261242</v>
      </c>
      <c r="F11" s="22">
        <f t="shared" si="2"/>
        <v>-0.434782608695652</v>
      </c>
      <c r="G11" s="22">
        <f t="shared" si="2"/>
        <v>-0.5</v>
      </c>
      <c r="H11" s="22">
        <f t="shared" si="2"/>
        <v>-0.59</v>
      </c>
      <c r="I11" s="22">
        <f t="shared" si="2"/>
        <v>-0.6844</v>
      </c>
      <c r="J11" s="22">
        <f t="shared" si="2"/>
        <v>-0.780216</v>
      </c>
      <c r="K11" s="22">
        <f t="shared" si="2"/>
        <v>-0.87384192</v>
      </c>
      <c r="L11" s="22">
        <f t="shared" si="2"/>
        <v>-0.961226112</v>
      </c>
      <c r="M11" s="22">
        <f t="shared" si="2"/>
        <v>-1.04773646208</v>
      </c>
      <c r="N11" s="22">
        <f t="shared" si="2"/>
        <v>-1.1315553790464</v>
      </c>
      <c r="O11" s="22">
        <f t="shared" si="2"/>
        <v>-1.21076425557965</v>
      </c>
      <c r="P11" s="22">
        <f t="shared" si="2"/>
        <v>-1.28341011091443</v>
      </c>
      <c r="Q11" s="22">
        <f t="shared" si="2"/>
        <v>-1.34758061646015</v>
      </c>
    </row>
    <row r="12" ht="15" customHeight="1"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ht="15.75" customHeight="1">
      <c r="B13" t="s">
        <v>71</v>
      </c>
      <c r="C13" s="20">
        <f>C7*Cover_Assumptions!$C$18</f>
        <v>1.30115219629287</v>
      </c>
      <c r="D13" s="20">
        <f>D7*Cover_Assumptions!$C$18</f>
        <v>1.56138263555144</v>
      </c>
      <c r="E13" s="20">
        <f>E7*Cover_Assumptions!$C$18</f>
        <v>1.85804533630621</v>
      </c>
      <c r="F13" s="20">
        <f>F7*Cover_Assumptions!$C$18</f>
        <v>2.17391304347826</v>
      </c>
      <c r="G13" s="20">
        <f>G7*Cover_Assumptions!$C$18</f>
        <v>2.5</v>
      </c>
      <c r="H13" s="20">
        <f>H7*Cover_Assumptions!$C$18</f>
        <v>2.95</v>
      </c>
      <c r="I13" s="20">
        <f>I7*Cover_Assumptions!$C$18</f>
        <v>3.422</v>
      </c>
      <c r="J13" s="20">
        <f>J7*Cover_Assumptions!$C$18</f>
        <v>3.90108</v>
      </c>
      <c r="K13" s="20">
        <f>K7*Cover_Assumptions!$C$18</f>
        <v>4.3692096</v>
      </c>
      <c r="L13" s="20">
        <f>L7*Cover_Assumptions!$C$18</f>
        <v>4.80613056</v>
      </c>
      <c r="M13" s="20">
        <f>M7*Cover_Assumptions!$C$18</f>
        <v>5.2386823104</v>
      </c>
      <c r="N13" s="20">
        <f>N7*Cover_Assumptions!$C$18</f>
        <v>5.657776895232</v>
      </c>
      <c r="O13" s="20">
        <f>O7*Cover_Assumptions!$C$18</f>
        <v>6.05382127789824</v>
      </c>
      <c r="P13" s="20">
        <f>P7*Cover_Assumptions!$C$18</f>
        <v>6.41705055457213</v>
      </c>
      <c r="Q13" s="20">
        <f>Q7*Cover_Assumptions!$C$18</f>
        <v>6.73790308230074</v>
      </c>
    </row>
    <row r="14" ht="15.75" customHeight="1">
      <c r="B14" t="s">
        <v>72</v>
      </c>
      <c r="C14" s="23">
        <f t="shared" si="3" ref="C14:Q14">C13/C7</f>
        <v>0.01</v>
      </c>
      <c r="D14" s="23">
        <f t="shared" si="3"/>
        <v>0.01</v>
      </c>
      <c r="E14" s="23">
        <f t="shared" si="3"/>
        <v>0.01</v>
      </c>
      <c r="F14" s="23">
        <f t="shared" si="3"/>
        <v>0.01</v>
      </c>
      <c r="G14" s="23">
        <f t="shared" si="3"/>
        <v>0.01</v>
      </c>
      <c r="H14" s="23">
        <f t="shared" si="3"/>
        <v>0.01</v>
      </c>
      <c r="I14" s="23">
        <f t="shared" si="3"/>
        <v>0.01</v>
      </c>
      <c r="J14" s="23">
        <f t="shared" si="3"/>
        <v>0.01</v>
      </c>
      <c r="K14" s="23">
        <f t="shared" si="3"/>
        <v>0.01</v>
      </c>
      <c r="L14" s="23">
        <f t="shared" si="3"/>
        <v>0.01</v>
      </c>
      <c r="M14" s="23">
        <f t="shared" si="3"/>
        <v>0.01</v>
      </c>
      <c r="N14" s="23">
        <f t="shared" si="3"/>
        <v>0.01</v>
      </c>
      <c r="O14" s="23">
        <f t="shared" si="3"/>
        <v>0.01</v>
      </c>
      <c r="P14" s="23">
        <f t="shared" si="3"/>
        <v>0.01</v>
      </c>
      <c r="Q14" s="23">
        <f t="shared" si="3"/>
        <v>0.01</v>
      </c>
    </row>
    <row r="15" ht="15" customHeight="1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ht="15.75" customHeight="1">
      <c r="B16" t="s">
        <v>73</v>
      </c>
      <c r="C16" s="5">
        <v>0</v>
      </c>
      <c r="D16" s="22">
        <f t="shared" si="4" ref="D16:Q16">D13-C13</f>
        <v>0.26023043925857</v>
      </c>
      <c r="E16" s="22">
        <f t="shared" si="4"/>
        <v>0.29666270075477</v>
      </c>
      <c r="F16" s="22">
        <f t="shared" si="4"/>
        <v>0.31586770717205</v>
      </c>
      <c r="G16" s="22">
        <f t="shared" si="4"/>
        <v>0.32608695652174</v>
      </c>
      <c r="H16" s="22">
        <f t="shared" si="4"/>
        <v>0.45</v>
      </c>
      <c r="I16" s="22">
        <f t="shared" si="4"/>
        <v>0.472</v>
      </c>
      <c r="J16" s="22">
        <f t="shared" si="4"/>
        <v>0.47908</v>
      </c>
      <c r="K16" s="22">
        <f t="shared" si="4"/>
        <v>0.4681296</v>
      </c>
      <c r="L16" s="22">
        <f t="shared" si="4"/>
        <v>0.43692096</v>
      </c>
      <c r="M16" s="22">
        <f t="shared" si="4"/>
        <v>0.4325517504</v>
      </c>
      <c r="N16" s="22">
        <f t="shared" si="4"/>
        <v>0.419094584832</v>
      </c>
      <c r="O16" s="22">
        <f t="shared" si="4"/>
        <v>0.39604438266624</v>
      </c>
      <c r="P16" s="22">
        <f t="shared" si="4"/>
        <v>0.36322927667389</v>
      </c>
      <c r="Q16" s="22">
        <f t="shared" si="4"/>
        <v>0.32085252772861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DC0E78-46ED-A7F4-BDFE-48FE54B099D6}" mc:Ignorable="x14ac xr xr2 xr3">
  <dimension ref="A1:GR50000"/>
  <sheetViews>
    <sheetView showGridLines="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sheetData>
    <row r="2" ht="15.75" customHeight="1">
      <c r="B2" s="1" t="s">
        <v>74</v>
      </c>
    </row>
    <row r="3" ht="15.75" customHeight="1">
      <c r="B3" t="s">
        <v>26</v>
      </c>
    </row>
    <row r="5" ht="15.75" customHeight="1">
      <c r="C5" s="6">
        <v>2020</v>
      </c>
      <c r="D5" s="6">
        <v>2021</v>
      </c>
      <c r="E5" s="6">
        <v>2022</v>
      </c>
      <c r="F5" s="6">
        <v>2023</v>
      </c>
      <c r="G5" s="6">
        <v>2024</v>
      </c>
      <c r="H5" s="6">
        <v>2025</v>
      </c>
      <c r="I5" s="6">
        <v>2026</v>
      </c>
      <c r="J5" s="6">
        <v>2027</v>
      </c>
      <c r="K5" s="6">
        <v>2028</v>
      </c>
      <c r="L5" s="6">
        <v>2029</v>
      </c>
      <c r="M5" s="6">
        <v>2030</v>
      </c>
      <c r="N5" s="6">
        <v>2031</v>
      </c>
      <c r="O5" s="6">
        <v>2032</v>
      </c>
      <c r="P5" s="6">
        <v>2033</v>
      </c>
      <c r="Q5" s="6">
        <v>2034</v>
      </c>
    </row>
    <row r="7" ht="15.75" customHeight="1">
      <c r="B7" t="s">
        <v>75</v>
      </c>
      <c r="C7" s="22">
        <f>C8*5</f>
        <v>19.5172829443931</v>
      </c>
      <c r="D7" s="22" cm="1">
        <f t="array" ref="D7">C10</f>
        <v>20.818435140686</v>
      </c>
      <c r="E7" s="22" cm="1">
        <f t="array" ref="E7">D10</f>
        <v>22.3798177762374</v>
      </c>
      <c r="F7" s="22" cm="1">
        <f t="array" ref="F7">E10</f>
        <v>24.2378631125436</v>
      </c>
      <c r="G7" s="22" cm="1">
        <f t="array" ref="G7">F10</f>
        <v>26.4117761560219</v>
      </c>
      <c r="H7" s="22" cm="1">
        <f t="array" ref="H7">G10</f>
        <v>28.9117761560219</v>
      </c>
      <c r="I7" s="22" cm="1">
        <f t="array" ref="I7">H10</f>
        <v>31.8617761560219</v>
      </c>
      <c r="J7" s="22" cm="1">
        <f t="array" ref="J7">I10</f>
        <v>35.2837761560219</v>
      </c>
      <c r="K7" s="22" cm="1">
        <f t="array" ref="K7">J10</f>
        <v>39.1848561560219</v>
      </c>
      <c r="L7" s="22" cm="1">
        <f t="array" ref="L7">K10</f>
        <v>43.5540657560219</v>
      </c>
      <c r="M7" s="22" cm="1">
        <f t="array" ref="M7">L10</f>
        <v>48.3601963160219</v>
      </c>
      <c r="N7" s="22" cm="1">
        <f t="array" ref="N7">M10</f>
        <v>53.5988786264219</v>
      </c>
      <c r="O7" s="22" cm="1">
        <f t="array" ref="O7">N10</f>
        <v>59.2566555216539</v>
      </c>
      <c r="P7" s="22" cm="1">
        <f t="array" ref="P7">O10</f>
        <v>65.3104767995521</v>
      </c>
      <c r="Q7" s="22" cm="1">
        <f t="array" ref="Q7">P10</f>
        <v>71.7275273541242</v>
      </c>
    </row>
    <row r="8" ht="15.75" customHeight="1">
      <c r="B8" t="s">
        <v>76</v>
      </c>
      <c r="C8" s="20">
        <f>C14*Cover_Assumptions!$C$17</f>
        <v>3.90345658887861</v>
      </c>
      <c r="D8" s="20">
        <f>D14*Cover_Assumptions!$C$17</f>
        <v>4.68414790665432</v>
      </c>
      <c r="E8" s="20">
        <f>E14*Cover_Assumptions!$C$17</f>
        <v>5.57413600891863</v>
      </c>
      <c r="F8" s="20">
        <f>F14*Cover_Assumptions!$C$17</f>
        <v>6.52173913043478</v>
      </c>
      <c r="G8" s="20">
        <f>G14*Cover_Assumptions!$C$17</f>
        <v>7.5</v>
      </c>
      <c r="H8" s="20">
        <f>H14*Cover_Assumptions!$C$17</f>
        <v>8.85</v>
      </c>
      <c r="I8" s="20">
        <f>I14*Cover_Assumptions!$C$17</f>
        <v>10.266</v>
      </c>
      <c r="J8" s="20">
        <f>J14*Cover_Assumptions!$C$17</f>
        <v>11.70324</v>
      </c>
      <c r="K8" s="20">
        <f>K14*Cover_Assumptions!$C$17</f>
        <v>13.1076288</v>
      </c>
      <c r="L8" s="20">
        <f>L14*Cover_Assumptions!$C$17</f>
        <v>14.41839168</v>
      </c>
      <c r="M8" s="20">
        <f>M14*Cover_Assumptions!$C$17</f>
        <v>15.7160469312</v>
      </c>
      <c r="N8" s="20">
        <f>N14*Cover_Assumptions!$C$17</f>
        <v>16.973330685696</v>
      </c>
      <c r="O8" s="20">
        <f>O14*Cover_Assumptions!$C$17</f>
        <v>18.1614638336947</v>
      </c>
      <c r="P8" s="20">
        <f>P14*Cover_Assumptions!$C$17</f>
        <v>19.2511516637164</v>
      </c>
      <c r="Q8" s="20">
        <f>Q14*Cover_Assumptions!$C$17</f>
        <v>20.2137092469022</v>
      </c>
    </row>
    <row r="9" ht="15.75" customHeight="1">
      <c r="B9" t="s">
        <v>77</v>
      </c>
      <c r="C9" s="20">
        <f>C14*Cover_Assumptions!$C$16</f>
        <v>2.60230439258574</v>
      </c>
      <c r="D9" s="20">
        <f>D14*Cover_Assumptions!$C$16</f>
        <v>3.12276527110288</v>
      </c>
      <c r="E9" s="20">
        <f>E14*Cover_Assumptions!$C$16</f>
        <v>3.71609067261242</v>
      </c>
      <c r="F9" s="20">
        <f>F14*Cover_Assumptions!$C$16</f>
        <v>4.34782608695652</v>
      </c>
      <c r="G9" s="20">
        <f>G14*Cover_Assumptions!$C$16</f>
        <v>5</v>
      </c>
      <c r="H9" s="20">
        <f>H14*Cover_Assumptions!$C$16</f>
        <v>5.9</v>
      </c>
      <c r="I9" s="20">
        <f>I14*Cover_Assumptions!$C$16</f>
        <v>6.844</v>
      </c>
      <c r="J9" s="20">
        <f>J14*Cover_Assumptions!$C$16</f>
        <v>7.80216</v>
      </c>
      <c r="K9" s="20">
        <f>K14*Cover_Assumptions!$C$16</f>
        <v>8.7384192</v>
      </c>
      <c r="L9" s="20">
        <f>L14*Cover_Assumptions!$C$16</f>
        <v>9.61226112</v>
      </c>
      <c r="M9" s="20">
        <f>M14*Cover_Assumptions!$C$16</f>
        <v>10.4773646208</v>
      </c>
      <c r="N9" s="20">
        <f>N14*Cover_Assumptions!$C$16</f>
        <v>11.315553790464</v>
      </c>
      <c r="O9" s="20">
        <f>O14*Cover_Assumptions!$C$16</f>
        <v>12.1076425557965</v>
      </c>
      <c r="P9" s="20">
        <f>P14*Cover_Assumptions!$C$16</f>
        <v>12.8341011091443</v>
      </c>
      <c r="Q9" s="20">
        <f>Q14*Cover_Assumptions!$C$16</f>
        <v>13.4758061646015</v>
      </c>
    </row>
    <row r="10" ht="15.75" customHeight="1">
      <c r="B10" t="s">
        <v>78</v>
      </c>
      <c r="C10" s="22">
        <f t="shared" si="0" ref="C10:Q10">C7+C8-C9</f>
        <v>20.818435140686</v>
      </c>
      <c r="D10" s="22">
        <f t="shared" si="0"/>
        <v>22.3798177762374</v>
      </c>
      <c r="E10" s="22">
        <f t="shared" si="0"/>
        <v>24.2378631125436</v>
      </c>
      <c r="F10" s="22">
        <f t="shared" si="0"/>
        <v>26.4117761560219</v>
      </c>
      <c r="G10" s="22">
        <f t="shared" si="0"/>
        <v>28.9117761560219</v>
      </c>
      <c r="H10" s="22">
        <f t="shared" si="0"/>
        <v>31.8617761560219</v>
      </c>
      <c r="I10" s="22">
        <f t="shared" si="0"/>
        <v>35.2837761560219</v>
      </c>
      <c r="J10" s="22">
        <f t="shared" si="0"/>
        <v>39.1848561560219</v>
      </c>
      <c r="K10" s="22">
        <f t="shared" si="0"/>
        <v>43.5540657560219</v>
      </c>
      <c r="L10" s="22">
        <f t="shared" si="0"/>
        <v>48.3601963160219</v>
      </c>
      <c r="M10" s="22">
        <f t="shared" si="0"/>
        <v>53.5988786264219</v>
      </c>
      <c r="N10" s="22">
        <f t="shared" si="0"/>
        <v>59.2566555216539</v>
      </c>
      <c r="O10" s="22">
        <f t="shared" si="0"/>
        <v>65.3104767995521</v>
      </c>
      <c r="P10" s="22">
        <f t="shared" si="0"/>
        <v>71.7275273541242</v>
      </c>
      <c r="Q10" s="22">
        <f t="shared" si="0"/>
        <v>78.4654304364249</v>
      </c>
    </row>
    <row r="11" ht="15" customHeight="1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ht="15.75" customHeight="1">
      <c r="B12" t="s">
        <v>79</v>
      </c>
      <c r="C12" s="22">
        <f t="shared" si="1" ref="C12:Q12">C7+C8-C9</f>
        <v>20.818435140686</v>
      </c>
      <c r="D12" s="22">
        <f t="shared" si="1"/>
        <v>22.3798177762374</v>
      </c>
      <c r="E12" s="22">
        <f t="shared" si="1"/>
        <v>24.2378631125436</v>
      </c>
      <c r="F12" s="22">
        <f t="shared" si="1"/>
        <v>26.4117761560219</v>
      </c>
      <c r="G12" s="22">
        <f t="shared" si="1"/>
        <v>28.9117761560219</v>
      </c>
      <c r="H12" s="22">
        <f t="shared" si="1"/>
        <v>31.8617761560219</v>
      </c>
      <c r="I12" s="22">
        <f t="shared" si="1"/>
        <v>35.2837761560219</v>
      </c>
      <c r="J12" s="22">
        <f t="shared" si="1"/>
        <v>39.1848561560219</v>
      </c>
      <c r="K12" s="22">
        <f t="shared" si="1"/>
        <v>43.5540657560219</v>
      </c>
      <c r="L12" s="22">
        <f t="shared" si="1"/>
        <v>48.3601963160219</v>
      </c>
      <c r="M12" s="22">
        <f t="shared" si="1"/>
        <v>53.5988786264219</v>
      </c>
      <c r="N12" s="22">
        <f t="shared" si="1"/>
        <v>59.2566555216539</v>
      </c>
      <c r="O12" s="22">
        <f t="shared" si="1"/>
        <v>65.3104767995521</v>
      </c>
      <c r="P12" s="22">
        <f t="shared" si="1"/>
        <v>71.7275273541242</v>
      </c>
      <c r="Q12" s="22">
        <f t="shared" si="1"/>
        <v>78.4654304364249</v>
      </c>
    </row>
    <row r="13" ht="15" customHeight="1"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ht="15.75" customHeight="1">
      <c r="B14" t="s">
        <v>70</v>
      </c>
      <c r="C14" s="20" cm="1">
        <f t="array" ref="C14">Income_Statement!C7</f>
        <v>130.115219629287</v>
      </c>
      <c r="D14" s="20" cm="1">
        <f t="array" ref="D14">Income_Statement!D7</f>
        <v>156.138263555144</v>
      </c>
      <c r="E14" s="20" cm="1">
        <f t="array" ref="E14">Income_Statement!E7</f>
        <v>185.804533630621</v>
      </c>
      <c r="F14" s="20" cm="1">
        <f t="array" ref="F14">Income_Statement!F7</f>
        <v>217.391304347826</v>
      </c>
      <c r="G14" s="20" cm="1">
        <f t="array" ref="G14">Income_Statement!G7</f>
        <v>250</v>
      </c>
      <c r="H14" s="20" cm="1">
        <f t="array" ref="H14">Income_Statement!H7</f>
        <v>295</v>
      </c>
      <c r="I14" s="20" cm="1">
        <f t="array" ref="I14">Income_Statement!I7</f>
        <v>342.2</v>
      </c>
      <c r="J14" s="20" cm="1">
        <f t="array" ref="J14">Income_Statement!J7</f>
        <v>390.108</v>
      </c>
      <c r="K14" s="20" cm="1">
        <f t="array" ref="K14">Income_Statement!K7</f>
        <v>436.92096</v>
      </c>
      <c r="L14" s="20" cm="1">
        <f t="array" ref="L14">Income_Statement!L7</f>
        <v>480.613056</v>
      </c>
      <c r="M14" s="20" cm="1">
        <f t="array" ref="M14">Income_Statement!M7</f>
        <v>523.86823104</v>
      </c>
      <c r="N14" s="20" cm="1">
        <f t="array" ref="N14">Income_Statement!N7</f>
        <v>565.7776895232</v>
      </c>
      <c r="O14" s="20" cm="1">
        <f t="array" ref="O14">Income_Statement!O7</f>
        <v>605.382127789824</v>
      </c>
      <c r="P14" s="20" cm="1">
        <f t="array" ref="P14">Income_Statement!P7</f>
        <v>641.705055457213</v>
      </c>
      <c r="Q14" s="20" cm="1">
        <f t="array" ref="Q14">Income_Statement!Q7</f>
        <v>673.790308230074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9362C68-7A88-0418-035E-B339AEE40214}" mc:Ignorable="x14ac xr xr2 xr3">
  <dimension ref="A1:GR50000"/>
  <sheetViews>
    <sheetView showGridLines="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cols>
    <col min="2" max="2" width="17.25390625" customWidth="1"/>
  </cols>
  <sheetData>
    <row r="2" ht="15.75" customHeight="1">
      <c r="B2" s="1" t="s">
        <v>80</v>
      </c>
    </row>
    <row r="3" ht="15.75" customHeight="1">
      <c r="B3" t="s">
        <v>26</v>
      </c>
    </row>
    <row r="5" ht="15.75" customHeight="1">
      <c r="C5" s="6">
        <v>2020</v>
      </c>
      <c r="D5" s="6">
        <v>2021</v>
      </c>
      <c r="E5" s="6">
        <v>2022</v>
      </c>
      <c r="F5" s="6">
        <v>2023</v>
      </c>
      <c r="G5" s="6">
        <v>2024</v>
      </c>
      <c r="H5" s="6">
        <v>2025</v>
      </c>
      <c r="I5" s="6">
        <v>2026</v>
      </c>
      <c r="J5" s="6">
        <v>2027</v>
      </c>
      <c r="K5" s="6">
        <v>2028</v>
      </c>
      <c r="L5" s="6">
        <v>2029</v>
      </c>
      <c r="M5" s="6">
        <v>2030</v>
      </c>
      <c r="N5" s="6">
        <v>2031</v>
      </c>
      <c r="O5" s="6">
        <v>2032</v>
      </c>
      <c r="P5" s="6">
        <v>2033</v>
      </c>
      <c r="Q5" s="6">
        <v>2034</v>
      </c>
    </row>
    <row r="7" ht="15.75" customHeight="1">
      <c r="B7" t="s">
        <v>81</v>
      </c>
      <c r="C7" s="24">
        <v>50</v>
      </c>
      <c r="D7" s="22" cm="1">
        <f t="array" ref="D7">C10</f>
        <v>50</v>
      </c>
      <c r="E7" s="22" cm="1">
        <f t="array" ref="E7">D10</f>
        <v>50</v>
      </c>
      <c r="F7" s="22" cm="1">
        <f t="array" ref="F7">E10</f>
        <v>50</v>
      </c>
      <c r="G7" s="22" cm="1">
        <f t="array" ref="G7">F10</f>
        <v>50</v>
      </c>
      <c r="H7" s="22" cm="1">
        <f t="array" ref="H7">G10</f>
        <v>50</v>
      </c>
      <c r="I7" s="22" cm="1">
        <f t="array" ref="I7">H10</f>
        <v>50</v>
      </c>
      <c r="J7" s="22" cm="1">
        <f t="array" ref="J7">I10</f>
        <v>50</v>
      </c>
      <c r="K7" s="22" cm="1">
        <f t="array" ref="K7">J10</f>
        <v>50</v>
      </c>
      <c r="L7" s="22" cm="1">
        <f t="array" ref="L7">K10</f>
        <v>50</v>
      </c>
      <c r="M7" s="22" cm="1">
        <f t="array" ref="M7">L10</f>
        <v>50</v>
      </c>
      <c r="N7" s="22" cm="1">
        <f t="array" ref="N7">M10</f>
        <v>50</v>
      </c>
      <c r="O7" s="22" cm="1">
        <f t="array" ref="O7">N10</f>
        <v>50</v>
      </c>
      <c r="P7" s="22" cm="1">
        <f t="array" ref="P7">O10</f>
        <v>50</v>
      </c>
      <c r="Q7" s="22" cm="1">
        <f t="array" ref="Q7">P10</f>
        <v>50</v>
      </c>
    </row>
    <row r="8" ht="15.75" customHeight="1">
      <c r="B8" t="s">
        <v>60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5.75" customHeight="1">
      <c r="B9" t="s">
        <v>61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5.75" customHeight="1">
      <c r="B10" t="s">
        <v>82</v>
      </c>
      <c r="C10" s="22">
        <f t="shared" si="0" ref="C10:Q10">C7+C8-C9</f>
        <v>50</v>
      </c>
      <c r="D10" s="22">
        <f t="shared" si="0"/>
        <v>50</v>
      </c>
      <c r="E10" s="22">
        <f t="shared" si="0"/>
        <v>50</v>
      </c>
      <c r="F10" s="22">
        <f t="shared" si="0"/>
        <v>50</v>
      </c>
      <c r="G10" s="22">
        <f t="shared" si="0"/>
        <v>50</v>
      </c>
      <c r="H10" s="22">
        <f t="shared" si="0"/>
        <v>50</v>
      </c>
      <c r="I10" s="22">
        <f t="shared" si="0"/>
        <v>50</v>
      </c>
      <c r="J10" s="22">
        <f t="shared" si="0"/>
        <v>50</v>
      </c>
      <c r="K10" s="22">
        <f t="shared" si="0"/>
        <v>50</v>
      </c>
      <c r="L10" s="22">
        <f t="shared" si="0"/>
        <v>50</v>
      </c>
      <c r="M10" s="22">
        <f t="shared" si="0"/>
        <v>50</v>
      </c>
      <c r="N10" s="22">
        <f t="shared" si="0"/>
        <v>50</v>
      </c>
      <c r="O10" s="22">
        <f t="shared" si="0"/>
        <v>50</v>
      </c>
      <c r="P10" s="22">
        <f t="shared" si="0"/>
        <v>50</v>
      </c>
      <c r="Q10" s="22">
        <f t="shared" si="0"/>
        <v>50</v>
      </c>
    </row>
    <row r="11" ht="15" customHeight="1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ht="15.75" customHeight="1">
      <c r="B12" t="s">
        <v>83</v>
      </c>
      <c r="C12" s="22">
        <f t="shared" si="1" ref="C12:Q12">(C7+C10)/2</f>
        <v>50</v>
      </c>
      <c r="D12" s="22">
        <f t="shared" si="1"/>
        <v>50</v>
      </c>
      <c r="E12" s="22">
        <f t="shared" si="1"/>
        <v>50</v>
      </c>
      <c r="F12" s="22">
        <f t="shared" si="1"/>
        <v>50</v>
      </c>
      <c r="G12" s="22">
        <f t="shared" si="1"/>
        <v>50</v>
      </c>
      <c r="H12" s="22">
        <f t="shared" si="1"/>
        <v>50</v>
      </c>
      <c r="I12" s="22">
        <f t="shared" si="1"/>
        <v>50</v>
      </c>
      <c r="J12" s="22">
        <f t="shared" si="1"/>
        <v>50</v>
      </c>
      <c r="K12" s="22">
        <f t="shared" si="1"/>
        <v>50</v>
      </c>
      <c r="L12" s="22">
        <f t="shared" si="1"/>
        <v>50</v>
      </c>
      <c r="M12" s="22">
        <f t="shared" si="1"/>
        <v>50</v>
      </c>
      <c r="N12" s="22">
        <f t="shared" si="1"/>
        <v>50</v>
      </c>
      <c r="O12" s="22">
        <f t="shared" si="1"/>
        <v>50</v>
      </c>
      <c r="P12" s="22">
        <f t="shared" si="1"/>
        <v>50</v>
      </c>
      <c r="Q12" s="22">
        <f t="shared" si="1"/>
        <v>50</v>
      </c>
    </row>
    <row r="13" ht="15.75" customHeight="1">
      <c r="B13" t="s">
        <v>84</v>
      </c>
      <c r="C13" s="25" cm="1">
        <f t="array" ref="C13">Cover_Assumptions!$C$33</f>
        <v>0.05</v>
      </c>
      <c r="D13" s="25" cm="1">
        <f t="array" ref="D13">Cover_Assumptions!$C$33</f>
        <v>0.05</v>
      </c>
      <c r="E13" s="25" cm="1">
        <f t="array" ref="E13">Cover_Assumptions!$C$33</f>
        <v>0.05</v>
      </c>
      <c r="F13" s="25" cm="1">
        <f t="array" ref="F13">Cover_Assumptions!$C$33</f>
        <v>0.05</v>
      </c>
      <c r="G13" s="25" cm="1">
        <f t="array" ref="G13">Cover_Assumptions!$C$33</f>
        <v>0.05</v>
      </c>
      <c r="H13" s="25" cm="1">
        <f t="array" ref="H13">Cover_Assumptions!$C$33</f>
        <v>0.05</v>
      </c>
      <c r="I13" s="25" cm="1">
        <f t="array" ref="I13">Cover_Assumptions!$C$33</f>
        <v>0.05</v>
      </c>
      <c r="J13" s="25" cm="1">
        <f t="array" ref="J13">Cover_Assumptions!$C$33</f>
        <v>0.05</v>
      </c>
      <c r="K13" s="25" cm="1">
        <f t="array" ref="K13">Cover_Assumptions!$C$33</f>
        <v>0.05</v>
      </c>
      <c r="L13" s="25" cm="1">
        <f t="array" ref="L13">Cover_Assumptions!$C$33</f>
        <v>0.05</v>
      </c>
      <c r="M13" s="25" cm="1">
        <f t="array" ref="M13">Cover_Assumptions!$C$33</f>
        <v>0.05</v>
      </c>
      <c r="N13" s="25" cm="1">
        <f t="array" ref="N13">Cover_Assumptions!$C$33</f>
        <v>0.05</v>
      </c>
      <c r="O13" s="25" cm="1">
        <f t="array" ref="O13">Cover_Assumptions!$C$33</f>
        <v>0.05</v>
      </c>
      <c r="P13" s="25" cm="1">
        <f t="array" ref="P13">Cover_Assumptions!$C$33</f>
        <v>0.05</v>
      </c>
      <c r="Q13" s="25" cm="1">
        <f t="array" ref="Q13">Cover_Assumptions!$C$33</f>
        <v>0.05</v>
      </c>
    </row>
    <row r="14" ht="15.75" customHeight="1">
      <c r="B14" t="s">
        <v>33</v>
      </c>
      <c r="C14" s="22">
        <f t="shared" si="2" ref="C14:Q14">C12*C13</f>
        <v>2.5</v>
      </c>
      <c r="D14" s="22">
        <f t="shared" si="2"/>
        <v>2.5</v>
      </c>
      <c r="E14" s="22">
        <f t="shared" si="2"/>
        <v>2.5</v>
      </c>
      <c r="F14" s="22">
        <f t="shared" si="2"/>
        <v>2.5</v>
      </c>
      <c r="G14" s="22">
        <f t="shared" si="2"/>
        <v>2.5</v>
      </c>
      <c r="H14" s="22">
        <f t="shared" si="2"/>
        <v>2.5</v>
      </c>
      <c r="I14" s="22">
        <f t="shared" si="2"/>
        <v>2.5</v>
      </c>
      <c r="J14" s="22">
        <f t="shared" si="2"/>
        <v>2.5</v>
      </c>
      <c r="K14" s="22">
        <f t="shared" si="2"/>
        <v>2.5</v>
      </c>
      <c r="L14" s="22">
        <f t="shared" si="2"/>
        <v>2.5</v>
      </c>
      <c r="M14" s="22">
        <f t="shared" si="2"/>
        <v>2.5</v>
      </c>
      <c r="N14" s="22">
        <f t="shared" si="2"/>
        <v>2.5</v>
      </c>
      <c r="O14" s="22">
        <f t="shared" si="2"/>
        <v>2.5</v>
      </c>
      <c r="P14" s="22">
        <f t="shared" si="2"/>
        <v>2.5</v>
      </c>
      <c r="Q14" s="22">
        <f t="shared" si="2"/>
        <v>2.5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F57EC8-918F-CEC2-F5D8-9586107F8F68}" mc:Ignorable="x14ac xr xr2 xr3">
  <dimension ref="A1:GR50000"/>
  <sheetViews>
    <sheetView showGridLines="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sheetData>
    <row r="2" ht="15.75" customHeight="1">
      <c r="B2" s="1" t="s">
        <v>85</v>
      </c>
    </row>
    <row r="3" ht="15.75" customHeight="1">
      <c r="B3" t="s">
        <v>26</v>
      </c>
    </row>
    <row r="5" ht="15.75" customHeight="1">
      <c r="C5" s="6">
        <v>2020</v>
      </c>
      <c r="D5" s="6">
        <v>2021</v>
      </c>
      <c r="E5" s="6">
        <v>2022</v>
      </c>
      <c r="F5" s="6">
        <v>2023</v>
      </c>
      <c r="G5" s="6">
        <v>2024</v>
      </c>
      <c r="H5" s="6">
        <v>2025</v>
      </c>
      <c r="I5" s="6">
        <v>2026</v>
      </c>
      <c r="J5" s="6">
        <v>2027</v>
      </c>
      <c r="K5" s="6">
        <v>2028</v>
      </c>
      <c r="L5" s="6">
        <v>2029</v>
      </c>
      <c r="M5" s="6">
        <v>2030</v>
      </c>
      <c r="N5" s="6">
        <v>2031</v>
      </c>
      <c r="O5" s="6">
        <v>2032</v>
      </c>
      <c r="P5" s="6">
        <v>2033</v>
      </c>
      <c r="Q5" s="6">
        <v>2034</v>
      </c>
    </row>
    <row r="7" ht="15.75" customHeight="1">
      <c r="B7" t="s">
        <v>34</v>
      </c>
      <c r="C7" s="20" cm="1">
        <f t="array" ref="C7">Income_Statement!C19</f>
        <v>33.9322614962004</v>
      </c>
      <c r="D7" s="20" cm="1">
        <f t="array" ref="D7">Income_Statement!D19</f>
        <v>41.2187137954403</v>
      </c>
      <c r="E7" s="20" cm="1">
        <f t="array" ref="E7">Income_Statement!E19</f>
        <v>49.5252694165739</v>
      </c>
      <c r="F7" s="20" cm="1">
        <f t="array" ref="F7">Income_Statement!F19</f>
        <v>58.3695652173913</v>
      </c>
      <c r="G7" s="20" cm="1">
        <f t="array" ref="G7">Income_Statement!G19</f>
        <v>67.5</v>
      </c>
      <c r="H7" s="20" cm="1">
        <f t="array" ref="H7">Income_Statement!H19</f>
        <v>80.1</v>
      </c>
      <c r="I7" s="20" cm="1">
        <f t="array" ref="I7">Income_Statement!I19</f>
        <v>93.316</v>
      </c>
      <c r="J7" s="20" cm="1">
        <f t="array" ref="J7">Income_Statement!J19</f>
        <v>106.73024</v>
      </c>
      <c r="K7" s="20" cm="1">
        <f t="array" ref="K7">Income_Statement!K19</f>
        <v>119.8378688</v>
      </c>
      <c r="L7" s="20" cm="1">
        <f t="array" ref="L7">Income_Statement!L19</f>
        <v>132.07165568</v>
      </c>
      <c r="M7" s="20" cm="1">
        <f t="array" ref="M7">Income_Statement!M19</f>
        <v>144.1831046912</v>
      </c>
      <c r="N7" s="20" cm="1">
        <f t="array" ref="N7">Income_Statement!N19</f>
        <v>155.917753066496</v>
      </c>
      <c r="O7" s="20" cm="1">
        <f t="array" ref="O7">Income_Statement!O19</f>
        <v>167.00699578115</v>
      </c>
      <c r="P7" s="20" cm="1">
        <f t="array" ref="P7">Income_Statement!P19</f>
        <v>177.17741552802</v>
      </c>
      <c r="Q7" s="20" cm="1">
        <f t="array" ref="Q7">Income_Statement!Q19</f>
        <v>186.161286304421</v>
      </c>
    </row>
    <row r="8" ht="15.75" customHeight="1">
      <c r="B8" t="s">
        <v>20</v>
      </c>
      <c r="C8" s="25" cm="1">
        <f t="array" ref="C8">Cover_Assumptions!$C$32</f>
        <v>0.25</v>
      </c>
      <c r="D8" s="25" cm="1">
        <f t="array" ref="D8">Cover_Assumptions!$C$32</f>
        <v>0.25</v>
      </c>
      <c r="E8" s="25" cm="1">
        <f t="array" ref="E8">Cover_Assumptions!$C$32</f>
        <v>0.25</v>
      </c>
      <c r="F8" s="25" cm="1">
        <f t="array" ref="F8">Cover_Assumptions!$C$32</f>
        <v>0.25</v>
      </c>
      <c r="G8" s="25" cm="1">
        <f t="array" ref="G8">Cover_Assumptions!$C$32</f>
        <v>0.25</v>
      </c>
      <c r="H8" s="25" cm="1">
        <f t="array" ref="H8">Cover_Assumptions!$C$32</f>
        <v>0.25</v>
      </c>
      <c r="I8" s="25" cm="1">
        <f t="array" ref="I8">Cover_Assumptions!$C$32</f>
        <v>0.25</v>
      </c>
      <c r="J8" s="25" cm="1">
        <f t="array" ref="J8">Cover_Assumptions!$C$32</f>
        <v>0.25</v>
      </c>
      <c r="K8" s="25" cm="1">
        <f t="array" ref="K8">Cover_Assumptions!$C$32</f>
        <v>0.25</v>
      </c>
      <c r="L8" s="25" cm="1">
        <f t="array" ref="L8">Cover_Assumptions!$C$32</f>
        <v>0.25</v>
      </c>
      <c r="M8" s="25" cm="1">
        <f t="array" ref="M8">Cover_Assumptions!$C$32</f>
        <v>0.25</v>
      </c>
      <c r="N8" s="25" cm="1">
        <f t="array" ref="N8">Cover_Assumptions!$C$32</f>
        <v>0.25</v>
      </c>
      <c r="O8" s="25" cm="1">
        <f t="array" ref="O8">Cover_Assumptions!$C$32</f>
        <v>0.25</v>
      </c>
      <c r="P8" s="25" cm="1">
        <f t="array" ref="P8">Cover_Assumptions!$C$32</f>
        <v>0.25</v>
      </c>
      <c r="Q8" s="25" cm="1">
        <f t="array" ref="Q8">Cover_Assumptions!$C$32</f>
        <v>0.25</v>
      </c>
    </row>
    <row r="9" ht="15.75" customHeight="1">
      <c r="B9" t="s">
        <v>35</v>
      </c>
      <c r="C9" s="22">
        <f t="shared" si="0" ref="C9:Q9">IF(C7&gt;0,C7*C8,0)</f>
        <v>8.4830653740501</v>
      </c>
      <c r="D9" s="22">
        <f t="shared" si="0"/>
        <v>10.3046784488601</v>
      </c>
      <c r="E9" s="22">
        <f t="shared" si="0"/>
        <v>12.3813173541435</v>
      </c>
      <c r="F9" s="22">
        <f t="shared" si="0"/>
        <v>14.5923913043478</v>
      </c>
      <c r="G9" s="22">
        <f t="shared" si="0"/>
        <v>16.875</v>
      </c>
      <c r="H9" s="22">
        <f t="shared" si="0"/>
        <v>20.025</v>
      </c>
      <c r="I9" s="22">
        <f t="shared" si="0"/>
        <v>23.329</v>
      </c>
      <c r="J9" s="22">
        <f t="shared" si="0"/>
        <v>26.68256</v>
      </c>
      <c r="K9" s="22">
        <f t="shared" si="0"/>
        <v>29.9594672</v>
      </c>
      <c r="L9" s="22">
        <f t="shared" si="0"/>
        <v>33.01791392</v>
      </c>
      <c r="M9" s="22">
        <f t="shared" si="0"/>
        <v>36.0457761728</v>
      </c>
      <c r="N9" s="22">
        <f t="shared" si="0"/>
        <v>38.979438266624</v>
      </c>
      <c r="O9" s="22">
        <f t="shared" si="0"/>
        <v>41.7517489452875</v>
      </c>
      <c r="P9" s="22">
        <f t="shared" si="0"/>
        <v>44.294353882005</v>
      </c>
      <c r="Q9" s="22">
        <f t="shared" si="0"/>
        <v>46.5403215761052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8CCBD68-4A68-4EFA-769A-4EEEE056DB7B}" mc:Ignorable="x14ac xr xr2 xr3">
  <dimension ref="A1:GR50000"/>
  <sheetViews>
    <sheetView showGridLines="0" workbookViewId="0">
      <pane xSplit="2" ySplit="5" topLeftCell="C27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RowHeight="15" defaultColWidth="7.75390625" customHeight="1"/>
  <cols>
    <col min="2" max="2" width="25.625" customWidth="1"/>
  </cols>
  <sheetData>
    <row r="2" ht="15.75" customHeight="1">
      <c r="B2" s="1" t="s">
        <v>86</v>
      </c>
    </row>
    <row r="3" ht="15.75" customHeight="1">
      <c r="B3" t="s">
        <v>26</v>
      </c>
    </row>
    <row r="5" ht="15.75" customHeight="1">
      <c r="C5" s="6">
        <v>2025</v>
      </c>
      <c r="D5" s="6">
        <v>2026</v>
      </c>
      <c r="E5" s="6">
        <v>2027</v>
      </c>
      <c r="F5" s="6">
        <v>2028</v>
      </c>
      <c r="G5" s="6">
        <v>2029</v>
      </c>
      <c r="H5" s="6">
        <v>2030</v>
      </c>
      <c r="I5" s="6">
        <v>2031</v>
      </c>
      <c r="J5" s="6">
        <v>2032</v>
      </c>
      <c r="K5" s="6">
        <v>2033</v>
      </c>
      <c r="L5" s="6">
        <v>2034</v>
      </c>
    </row>
    <row r="7" ht="15.75" customHeight="1">
      <c r="B7" s="7" t="s">
        <v>32</v>
      </c>
      <c r="C7" s="8" cm="1">
        <f t="array" ref="C7">Income_Statement!H15</f>
        <v>82.6</v>
      </c>
      <c r="D7" s="8" cm="1">
        <f t="array" ref="D7">Income_Statement!I15</f>
        <v>95.816</v>
      </c>
      <c r="E7" s="8" cm="1">
        <f t="array" ref="E7">Income_Statement!J15</f>
        <v>109.23024</v>
      </c>
      <c r="F7" s="8" cm="1">
        <f t="array" ref="F7">Income_Statement!K15</f>
        <v>122.3378688</v>
      </c>
      <c r="G7" s="8" cm="1">
        <f t="array" ref="G7">Income_Statement!L15</f>
        <v>134.57165568</v>
      </c>
      <c r="H7" s="8" cm="1">
        <f t="array" ref="H7">Income_Statement!M15</f>
        <v>146.6831046912</v>
      </c>
      <c r="I7" s="8" cm="1">
        <f t="array" ref="I7">Income_Statement!N15</f>
        <v>158.417753066496</v>
      </c>
      <c r="J7" s="8" cm="1">
        <f t="array" ref="J7">Income_Statement!O15</f>
        <v>169.50699578115</v>
      </c>
      <c r="K7" s="8" cm="1">
        <f t="array" ref="K7">Income_Statement!P15</f>
        <v>179.67741552802</v>
      </c>
      <c r="L7" s="8" cm="1">
        <f t="array" ref="L7">Income_Statement!Q15</f>
        <v>188.661286304421</v>
      </c>
    </row>
    <row r="8" ht="15.75" customHeight="1">
      <c r="B8" s="7" t="s">
        <v>20</v>
      </c>
      <c r="C8" s="9" cm="1">
        <f t="array" ref="C8">Cover_Assumptions!$C$32</f>
        <v>0.25</v>
      </c>
      <c r="D8" s="9" cm="1">
        <f t="array" ref="D8">Cover_Assumptions!$C$32</f>
        <v>0.25</v>
      </c>
      <c r="E8" s="9" cm="1">
        <f t="array" ref="E8">Cover_Assumptions!$C$32</f>
        <v>0.25</v>
      </c>
      <c r="F8" s="9" cm="1">
        <f t="array" ref="F8">Cover_Assumptions!$C$32</f>
        <v>0.25</v>
      </c>
      <c r="G8" s="9" cm="1">
        <f t="array" ref="G8">Cover_Assumptions!$C$32</f>
        <v>0.25</v>
      </c>
      <c r="H8" s="9" cm="1">
        <f t="array" ref="H8">Cover_Assumptions!$C$32</f>
        <v>0.25</v>
      </c>
      <c r="I8" s="9" cm="1">
        <f t="array" ref="I8">Cover_Assumptions!$C$32</f>
        <v>0.25</v>
      </c>
      <c r="J8" s="9" cm="1">
        <f t="array" ref="J8">Cover_Assumptions!$C$32</f>
        <v>0.25</v>
      </c>
      <c r="K8" s="9" cm="1">
        <f t="array" ref="K8">Cover_Assumptions!$C$32</f>
        <v>0.25</v>
      </c>
      <c r="L8" s="9" cm="1">
        <f t="array" ref="L8">Cover_Assumptions!$C$32</f>
        <v>0.25</v>
      </c>
    </row>
    <row r="9" ht="15.75" customHeight="1">
      <c r="B9" s="7" t="s">
        <v>87</v>
      </c>
      <c r="C9" s="12">
        <f t="shared" si="0" ref="C9:L9">C7*(1-C8)</f>
        <v>61.95</v>
      </c>
      <c r="D9" s="12">
        <f t="shared" si="0"/>
        <v>71.862</v>
      </c>
      <c r="E9" s="12">
        <f t="shared" si="0"/>
        <v>81.92268</v>
      </c>
      <c r="F9" s="12">
        <f t="shared" si="0"/>
        <v>91.7534016</v>
      </c>
      <c r="G9" s="12">
        <f t="shared" si="0"/>
        <v>100.92874176</v>
      </c>
      <c r="H9" s="12">
        <f t="shared" si="0"/>
        <v>110.0123285184</v>
      </c>
      <c r="I9" s="12">
        <f t="shared" si="0"/>
        <v>118.813314799872</v>
      </c>
      <c r="J9" s="12">
        <f t="shared" si="0"/>
        <v>127.130246835863</v>
      </c>
      <c r="K9" s="12">
        <f t="shared" si="0"/>
        <v>134.758061646015</v>
      </c>
      <c r="L9" s="12">
        <f t="shared" si="0"/>
        <v>141.495964728316</v>
      </c>
    </row>
    <row r="10" ht="15" customHeight="1">
      <c r="B10" s="7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15.75" customHeight="1">
      <c r="B11" s="7" t="s">
        <v>53</v>
      </c>
      <c r="C11" s="8" cm="1">
        <f t="array" ref="C11">Depreciation_Capex!H9</f>
        <v>5.9</v>
      </c>
      <c r="D11" s="8" cm="1">
        <f t="array" ref="D11">Depreciation_Capex!I9</f>
        <v>6.844</v>
      </c>
      <c r="E11" s="8" cm="1">
        <f t="array" ref="E11">Depreciation_Capex!J9</f>
        <v>7.80216</v>
      </c>
      <c r="F11" s="8" cm="1">
        <f t="array" ref="F11">Depreciation_Capex!K9</f>
        <v>8.7384192</v>
      </c>
      <c r="G11" s="8" cm="1">
        <f t="array" ref="G11">Depreciation_Capex!L9</f>
        <v>9.61226112</v>
      </c>
      <c r="H11" s="8" cm="1">
        <f t="array" ref="H11">Depreciation_Capex!M9</f>
        <v>10.4773646208</v>
      </c>
      <c r="I11" s="8" cm="1">
        <f t="array" ref="I11">Depreciation_Capex!N9</f>
        <v>11.315553790464</v>
      </c>
      <c r="J11" s="8" cm="1">
        <f t="array" ref="J11">Depreciation_Capex!O9</f>
        <v>12.1076425557965</v>
      </c>
      <c r="K11" s="8" cm="1">
        <f t="array" ref="K11">Depreciation_Capex!P9</f>
        <v>12.8341011091443</v>
      </c>
      <c r="L11" s="8" cm="1">
        <f t="array" ref="L11">Depreciation_Capex!Q9</f>
        <v>13.4758061646015</v>
      </c>
    </row>
    <row r="12" ht="15.75" customHeight="1">
      <c r="B12" s="7" t="s">
        <v>57</v>
      </c>
      <c r="C12" s="8" cm="1">
        <f t="array" ref="C12">Depreciation_Capex!H8</f>
        <v>8.85</v>
      </c>
      <c r="D12" s="8" cm="1">
        <f t="array" ref="D12">Depreciation_Capex!I8</f>
        <v>10.266</v>
      </c>
      <c r="E12" s="8" cm="1">
        <f t="array" ref="E12">Depreciation_Capex!J8</f>
        <v>11.70324</v>
      </c>
      <c r="F12" s="8" cm="1">
        <f t="array" ref="F12">Depreciation_Capex!K8</f>
        <v>13.1076288</v>
      </c>
      <c r="G12" s="8" cm="1">
        <f t="array" ref="G12">Depreciation_Capex!L8</f>
        <v>14.41839168</v>
      </c>
      <c r="H12" s="8" cm="1">
        <f t="array" ref="H12">Depreciation_Capex!M8</f>
        <v>15.7160469312</v>
      </c>
      <c r="I12" s="8" cm="1">
        <f t="array" ref="I12">Depreciation_Capex!N8</f>
        <v>16.973330685696</v>
      </c>
      <c r="J12" s="8" cm="1">
        <f t="array" ref="J12">Depreciation_Capex!O8</f>
        <v>18.1614638336947</v>
      </c>
      <c r="K12" s="8" cm="1">
        <f t="array" ref="K12">Depreciation_Capex!P8</f>
        <v>19.2511516637164</v>
      </c>
      <c r="L12" s="8" cm="1">
        <f t="array" ref="L12">Depreciation_Capex!Q8</f>
        <v>20.2137092469022</v>
      </c>
    </row>
    <row r="13" ht="15.75" customHeight="1">
      <c r="B13" s="7" t="s">
        <v>88</v>
      </c>
      <c r="C13" s="8" cm="1">
        <f t="array" ref="C13">Working_Capital!H16</f>
        <v>0.45</v>
      </c>
      <c r="D13" s="8" cm="1">
        <f t="array" ref="D13">Working_Capital!I16</f>
        <v>0.472</v>
      </c>
      <c r="E13" s="8" cm="1">
        <f t="array" ref="E13">Working_Capital!J16</f>
        <v>0.47908</v>
      </c>
      <c r="F13" s="8" cm="1">
        <f t="array" ref="F13">Working_Capital!K16</f>
        <v>0.4681296</v>
      </c>
      <c r="G13" s="8" cm="1">
        <f t="array" ref="G13">Working_Capital!L16</f>
        <v>0.43692096</v>
      </c>
      <c r="H13" s="8" cm="1">
        <f t="array" ref="H13">Working_Capital!M16</f>
        <v>0.4325517504</v>
      </c>
      <c r="I13" s="8" cm="1">
        <f t="array" ref="I13">Working_Capital!N16</f>
        <v>0.419094584832</v>
      </c>
      <c r="J13" s="8" cm="1">
        <f t="array" ref="J13">Working_Capital!O16</f>
        <v>0.39604438266624</v>
      </c>
      <c r="K13" s="8" cm="1">
        <f t="array" ref="K13">Working_Capital!P16</f>
        <v>0.36322927667389</v>
      </c>
      <c r="L13" s="8" cm="1">
        <f t="array" ref="L13">Working_Capital!Q16</f>
        <v>0.32085252772861</v>
      </c>
    </row>
    <row r="14" ht="15" customHeight="1">
      <c r="B14" s="7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ht="15.75" customHeight="1">
      <c r="B15" s="13" t="s">
        <v>89</v>
      </c>
      <c r="C15" s="14">
        <f t="shared" si="1" ref="C15:L15">C9+C11-C12-C13</f>
        <v>58.55</v>
      </c>
      <c r="D15" s="14">
        <f t="shared" si="1"/>
        <v>67.968</v>
      </c>
      <c r="E15" s="14">
        <f t="shared" si="1"/>
        <v>77.54252</v>
      </c>
      <c r="F15" s="14">
        <f t="shared" si="1"/>
        <v>86.9160624</v>
      </c>
      <c r="G15" s="14">
        <f t="shared" si="1"/>
        <v>95.68569024</v>
      </c>
      <c r="H15" s="14">
        <f t="shared" si="1"/>
        <v>104.3410944576</v>
      </c>
      <c r="I15" s="14">
        <f t="shared" si="1"/>
        <v>112.736443319808</v>
      </c>
      <c r="J15" s="14">
        <f t="shared" si="1"/>
        <v>120.680381175299</v>
      </c>
      <c r="K15" s="14">
        <f t="shared" si="1"/>
        <v>127.977781814769</v>
      </c>
      <c r="L15" s="14">
        <f t="shared" si="1"/>
        <v>134.437209118287</v>
      </c>
    </row>
    <row r="16" ht="15" customHeight="1">
      <c r="B16" s="7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ht="15.75" customHeight="1">
      <c r="B17" s="7" t="s">
        <v>90</v>
      </c>
      <c r="C17" s="26">
        <v>1</v>
      </c>
      <c r="D17" s="26">
        <v>2</v>
      </c>
      <c r="E17" s="26">
        <v>3</v>
      </c>
      <c r="F17" s="26">
        <v>4</v>
      </c>
      <c r="G17" s="26">
        <v>5</v>
      </c>
      <c r="H17" s="26">
        <v>6</v>
      </c>
      <c r="I17" s="26">
        <v>7</v>
      </c>
      <c r="J17" s="26">
        <v>8</v>
      </c>
      <c r="K17" s="26">
        <v>9</v>
      </c>
      <c r="L17" s="26">
        <v>10</v>
      </c>
    </row>
    <row r="18" ht="15.75" customHeight="1">
      <c r="B18" s="7" t="s">
        <v>91</v>
      </c>
      <c r="C18" s="9" cm="1">
        <f t="array" ref="C18">WACC_Valuation!$C$28</f>
        <v>0.123409090909091</v>
      </c>
      <c r="D18" s="9" cm="1">
        <f t="array" ref="D18">WACC_Valuation!$C$28</f>
        <v>0.123409090909091</v>
      </c>
      <c r="E18" s="9" cm="1">
        <f t="array" ref="E18">WACC_Valuation!$C$28</f>
        <v>0.123409090909091</v>
      </c>
      <c r="F18" s="9" cm="1">
        <f t="array" ref="F18">WACC_Valuation!$C$28</f>
        <v>0.123409090909091</v>
      </c>
      <c r="G18" s="9" cm="1">
        <f t="array" ref="G18">WACC_Valuation!$C$28</f>
        <v>0.123409090909091</v>
      </c>
      <c r="H18" s="9" cm="1">
        <f t="array" ref="H18">WACC_Valuation!$C$28</f>
        <v>0.123409090909091</v>
      </c>
      <c r="I18" s="9" cm="1">
        <f t="array" ref="I18">WACC_Valuation!$C$28</f>
        <v>0.123409090909091</v>
      </c>
      <c r="J18" s="9" cm="1">
        <f t="array" ref="J18">WACC_Valuation!$C$28</f>
        <v>0.123409090909091</v>
      </c>
      <c r="K18" s="9" cm="1">
        <f t="array" ref="K18">WACC_Valuation!$C$28</f>
        <v>0.123409090909091</v>
      </c>
      <c r="L18" s="9" cm="1">
        <f t="array" ref="L18">WACC_Valuation!$C$28</f>
        <v>0.123409090909091</v>
      </c>
    </row>
    <row r="19" ht="15.75" customHeight="1">
      <c r="B19" s="7" t="s">
        <v>92</v>
      </c>
      <c r="C19" s="27">
        <f t="shared" si="2" ref="C19:L19">1/(1+C18)^C17</f>
        <v>0.89014768359296</v>
      </c>
      <c r="D19" s="27">
        <f t="shared" si="2"/>
        <v>0.792362898605912</v>
      </c>
      <c r="E19" s="27">
        <f t="shared" si="2"/>
        <v>0.705319998759056</v>
      </c>
      <c r="F19" s="27">
        <f t="shared" si="2"/>
        <v>0.627838963087162</v>
      </c>
      <c r="G19" s="27">
        <f t="shared" si="2"/>
        <v>0.558869398661443</v>
      </c>
      <c r="H19" s="27">
        <f t="shared" si="2"/>
        <v>0.497476300649474</v>
      </c>
      <c r="I19" s="27">
        <f t="shared" si="2"/>
        <v>0.442827376665524</v>
      </c>
      <c r="J19" s="27">
        <f t="shared" si="2"/>
        <v>0.394181763570363</v>
      </c>
      <c r="K19" s="27">
        <f t="shared" si="2"/>
        <v>0.350879983756747</v>
      </c>
      <c r="L19" s="27">
        <f t="shared" si="2"/>
        <v>0.312335004760203</v>
      </c>
    </row>
    <row r="20" ht="15.75" customHeight="1">
      <c r="B20" s="13" t="s">
        <v>93</v>
      </c>
      <c r="C20" s="14">
        <f t="shared" si="3" ref="C20:L20">C15*C19</f>
        <v>52.1181468743678</v>
      </c>
      <c r="D20" s="14">
        <f t="shared" si="3"/>
        <v>53.8553214924466</v>
      </c>
      <c r="E20" s="14">
        <f t="shared" si="3"/>
        <v>54.6922901101741</v>
      </c>
      <c r="F20" s="14">
        <f t="shared" si="3"/>
        <v>54.5692904928351</v>
      </c>
      <c r="G20" s="14">
        <f t="shared" si="3"/>
        <v>53.4758041649339</v>
      </c>
      <c r="H20" s="14">
        <f t="shared" si="3"/>
        <v>51.9072216764842</v>
      </c>
      <c r="I20" s="14">
        <f t="shared" si="3"/>
        <v>49.9227834499121</v>
      </c>
      <c r="J20" s="14">
        <f t="shared" si="3"/>
        <v>47.570005480023</v>
      </c>
      <c r="K20" s="14">
        <f t="shared" si="3"/>
        <v>44.9048420043907</v>
      </c>
      <c r="L20" s="14">
        <f t="shared" si="3"/>
        <v>41.9894463499086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8852F98-3E7A-2588-ACC8-CC1AF963F668}" mc:Ignorable="x14ac xr xr2 xr3">
  <dimension ref="A1:GR50000"/>
  <sheetViews>
    <sheetView showGridLines="0" topLeftCell="A16" workbookViewId="0">
      <selection activeCell="A1" sqref="A1"/>
    </sheetView>
  </sheetViews>
  <sheetFormatPr defaultRowHeight="15" defaultColWidth="7.75390625" customHeight="1"/>
  <cols>
    <col min="2" max="2" width="29.50390625" customWidth="1"/>
    <col min="5" max="5" width="20.875" customWidth="1"/>
  </cols>
  <sheetData>
    <row r="2" ht="15.75" customHeight="1">
      <c r="B2" s="1" t="s">
        <v>94</v>
      </c>
    </row>
    <row r="4" ht="15.75" customHeight="1">
      <c r="B4" t="s">
        <v>95</v>
      </c>
    </row>
    <row r="5" ht="15.75" customHeight="1">
      <c r="B5" s="7" t="s">
        <v>11</v>
      </c>
      <c r="C5" s="9" cm="1">
        <f t="array" ref="C5">Cover_Assumptions!C21</f>
        <v>0.04</v>
      </c>
    </row>
    <row r="6" ht="15.75" customHeight="1">
      <c r="B6" s="7" t="s">
        <v>12</v>
      </c>
      <c r="C6" s="28" cm="1">
        <f t="array" ref="C6">Cover_Assumptions!C22</f>
        <v>1.2</v>
      </c>
    </row>
    <row r="7" ht="15.75" customHeight="1">
      <c r="B7" s="7" t="s">
        <v>13</v>
      </c>
      <c r="C7" s="9" cm="1">
        <f t="array" ref="C7">Cover_Assumptions!C23</f>
        <v>0.1</v>
      </c>
    </row>
    <row r="8" ht="15.75" customHeight="1">
      <c r="B8" s="7" t="s">
        <v>96</v>
      </c>
      <c r="C8" s="11">
        <f>C7-C5</f>
        <v>0.06</v>
      </c>
    </row>
    <row r="9" ht="15.75" customHeight="1">
      <c r="B9" s="7" t="s">
        <v>14</v>
      </c>
      <c r="C9" s="9" cm="1">
        <f t="array" ref="C9">Cover_Assumptions!C24</f>
        <v>0.02</v>
      </c>
    </row>
    <row r="10" ht="15.75" customHeight="1">
      <c r="B10" s="7" t="s">
        <v>15</v>
      </c>
      <c r="C10" s="9" cm="1">
        <f t="array" ref="C10">Cover_Assumptions!C25</f>
        <v>0</v>
      </c>
      <c r="E10" t="s">
        <v>97</v>
      </c>
      <c r="F10" s="29" cm="1">
        <f t="array" ref="F10">C28</f>
        <v>0.123409090909091</v>
      </c>
    </row>
    <row r="11" ht="15.75" customHeight="1">
      <c r="B11" s="7" t="s">
        <v>98</v>
      </c>
      <c r="C11" s="11">
        <f>C5+C6*C8+C9+C10</f>
        <v>0.132</v>
      </c>
    </row>
    <row r="12" ht="15" customHeight="1">
      <c r="B12" s="7"/>
      <c r="C12" s="10"/>
    </row>
    <row r="13" ht="15.75" customHeight="1">
      <c r="B13" s="7" t="s">
        <v>99</v>
      </c>
      <c r="C13" s="10"/>
    </row>
    <row r="14" ht="15.75" customHeight="1">
      <c r="B14" s="7" t="s">
        <v>100</v>
      </c>
      <c r="C14" s="8" cm="1">
        <f t="array" ref="C14">Debt_Schedule!G14</f>
        <v>2.5</v>
      </c>
    </row>
    <row r="15" ht="15.75" customHeight="1">
      <c r="B15" s="7" t="s">
        <v>101</v>
      </c>
      <c r="C15" s="8" cm="1">
        <f t="array" ref="C15">Debt_Schedule!G12</f>
        <v>50</v>
      </c>
    </row>
    <row r="16" ht="15.75" customHeight="1">
      <c r="B16" s="7" t="s">
        <v>102</v>
      </c>
      <c r="C16" s="11">
        <f>IF(C15&gt;0,C14/C15,0)</f>
        <v>0.05</v>
      </c>
    </row>
    <row r="17" ht="15.75" customHeight="1">
      <c r="B17" s="7" t="s">
        <v>20</v>
      </c>
      <c r="C17" s="9" cm="1">
        <f t="array" ref="C17">Cover_Assumptions!C32</f>
        <v>0.25</v>
      </c>
    </row>
    <row r="18" ht="15.75" customHeight="1">
      <c r="B18" s="7" t="s">
        <v>103</v>
      </c>
      <c r="C18" s="11">
        <f>C16*(1-C17)</f>
        <v>0.0375</v>
      </c>
    </row>
    <row r="19" ht="15" customHeight="1">
      <c r="B19" s="7"/>
      <c r="C19" s="10"/>
    </row>
    <row r="20" ht="15.75" customHeight="1">
      <c r="B20" s="7" t="s">
        <v>104</v>
      </c>
      <c r="C20" s="10"/>
    </row>
    <row r="21" ht="15.75" customHeight="1">
      <c r="B21" s="7" t="s">
        <v>105</v>
      </c>
      <c r="C21" s="15">
        <v>500</v>
      </c>
    </row>
    <row r="22" ht="15.75" customHeight="1">
      <c r="B22" s="7" t="s">
        <v>106</v>
      </c>
      <c r="C22" s="8" cm="1">
        <f t="array" ref="C22">Debt_Schedule!G10</f>
        <v>50</v>
      </c>
    </row>
    <row r="23" ht="15.75" customHeight="1">
      <c r="B23" s="7" t="s">
        <v>107</v>
      </c>
      <c r="C23" s="12">
        <f>C21+C22</f>
        <v>550</v>
      </c>
    </row>
    <row r="24" ht="15.75" customHeight="1">
      <c r="B24" s="7" t="s">
        <v>108</v>
      </c>
      <c r="C24" s="11">
        <f>C21/C23</f>
        <v>0.909090909090909</v>
      </c>
    </row>
    <row r="25" ht="15.75" customHeight="1">
      <c r="B25" s="7" t="s">
        <v>109</v>
      </c>
      <c r="C25" s="11">
        <f>C22/C23</f>
        <v>0.0909090909090909</v>
      </c>
    </row>
    <row r="26" ht="15" customHeight="1">
      <c r="B26" s="7"/>
      <c r="C26" s="10"/>
    </row>
    <row r="27" ht="15.75" customHeight="1">
      <c r="B27" s="7" t="s">
        <v>110</v>
      </c>
      <c r="C27" s="10"/>
    </row>
    <row r="28" ht="15.75" customHeight="1">
      <c r="B28" s="7" t="s">
        <v>111</v>
      </c>
      <c r="C28" s="11">
        <f>C11*C24+C18*C25</f>
        <v>0.123409090909091</v>
      </c>
    </row>
    <row r="29" ht="15" customHeight="1">
      <c r="B29" s="7"/>
      <c r="C29" s="10"/>
    </row>
    <row r="30" ht="15.75" customHeight="1">
      <c r="B30" s="7" t="s">
        <v>112</v>
      </c>
      <c r="C30" s="10"/>
    </row>
    <row r="31" ht="15.75" customHeight="1">
      <c r="B31" s="7" t="s">
        <v>113</v>
      </c>
      <c r="C31" s="8">
        <f>SUM(FCFF!C20:L20)</f>
        <v>505.005152095476</v>
      </c>
    </row>
    <row r="32" ht="15" customHeight="1">
      <c r="B32" s="7"/>
      <c r="C32" s="10"/>
    </row>
    <row r="33" ht="15.75" customHeight="1">
      <c r="B33" s="7" t="s">
        <v>114</v>
      </c>
      <c r="C33" s="10"/>
    </row>
    <row r="34" ht="15.75" customHeight="1">
      <c r="B34" s="7" t="s">
        <v>115</v>
      </c>
      <c r="C34" s="8" cm="1">
        <f t="array" ref="C34">FCFF!L15</f>
        <v>134.437209118287</v>
      </c>
    </row>
    <row r="35" ht="15.75" customHeight="1">
      <c r="B35" s="7" t="s">
        <v>17</v>
      </c>
      <c r="C35" s="9" cm="1">
        <f t="array" ref="C35">Cover_Assumptions!C28</f>
        <v>0.025</v>
      </c>
    </row>
    <row r="36" ht="15.75" customHeight="1">
      <c r="B36" s="7" t="s">
        <v>111</v>
      </c>
      <c r="C36" s="11" cm="1">
        <f t="array" ref="C36">C28</f>
        <v>0.123409090909091</v>
      </c>
    </row>
    <row r="37" ht="15.75" customHeight="1">
      <c r="B37" s="7" t="s">
        <v>116</v>
      </c>
      <c r="C37" s="12">
        <f>C34*(1+C35)/(C36-C35)</f>
        <v>1400.25822892257</v>
      </c>
    </row>
    <row r="38" ht="15.75" customHeight="1">
      <c r="B38" s="7" t="s">
        <v>117</v>
      </c>
      <c r="C38" s="12">
        <f>C37/(1+C36)^10</f>
        <v>437.349660596045</v>
      </c>
    </row>
    <row r="39" ht="15" customHeight="1">
      <c r="B39" s="7"/>
      <c r="C39" s="10"/>
    </row>
    <row r="40" ht="15.75" customHeight="1">
      <c r="B40" s="7" t="s">
        <v>118</v>
      </c>
      <c r="C40" s="10"/>
    </row>
    <row r="41" ht="15.75" customHeight="1">
      <c r="B41" s="7" t="s">
        <v>119</v>
      </c>
      <c r="C41" s="8" cm="1">
        <f t="array" ref="C41">Income_Statement!Q10</f>
        <v>202.137092469022</v>
      </c>
    </row>
    <row r="42" ht="15.75" customHeight="1">
      <c r="B42" s="7" t="s">
        <v>18</v>
      </c>
      <c r="C42" s="30" cm="1">
        <f t="array" ref="C42">Cover_Assumptions!C29</f>
        <v>15</v>
      </c>
    </row>
    <row r="43" ht="15.75" customHeight="1">
      <c r="B43" s="7" t="s">
        <v>120</v>
      </c>
      <c r="C43" s="12">
        <f>C41*C42</f>
        <v>3032.05638703533</v>
      </c>
    </row>
    <row r="44" ht="15.75" customHeight="1">
      <c r="B44" s="7" t="s">
        <v>117</v>
      </c>
      <c r="C44" s="12">
        <f>C43/(1+C36)^10</f>
        <v>947.017346077885</v>
      </c>
    </row>
    <row r="45" ht="15" customHeight="1">
      <c r="B45" s="7"/>
      <c r="C45" s="10"/>
    </row>
    <row r="46" ht="15.75" customHeight="1">
      <c r="B46" s="7" t="s">
        <v>121</v>
      </c>
      <c r="C46" s="12">
        <f>C31+C38</f>
        <v>942.354812691521</v>
      </c>
    </row>
    <row r="47" ht="15.75" customHeight="1">
      <c r="B47" s="7" t="s">
        <v>122</v>
      </c>
      <c r="C47" s="8">
        <f>Debt_Schedule!G10-Balance_Sheet!G8</f>
        <v>-207.16797250301</v>
      </c>
    </row>
    <row r="48" ht="15.75" customHeight="1">
      <c r="B48" s="7" t="s">
        <v>123</v>
      </c>
      <c r="C48" s="12">
        <f t="shared" si="0" ref="C48:C54">C46-C47</f>
        <v>1149.52278519453</v>
      </c>
    </row>
    <row r="49" ht="15.75" customHeight="1">
      <c r="B49" s="7" t="s">
        <v>22</v>
      </c>
      <c r="C49" s="8" cm="1">
        <f t="array" ref="C49">Cover_Assumptions!C34</f>
        <v>50</v>
      </c>
    </row>
    <row r="50" ht="15.75" customHeight="1">
      <c r="B50" s="13" t="s">
        <v>124</v>
      </c>
      <c r="C50" s="31">
        <f t="shared" si="1" ref="C50:C56">C48/C49</f>
        <v>22.9904557038906</v>
      </c>
    </row>
    <row r="51" ht="15" customHeight="1">
      <c r="B51" s="7"/>
      <c r="C51" s="10"/>
    </row>
    <row r="52" ht="15.75" customHeight="1">
      <c r="B52" s="7" t="s">
        <v>125</v>
      </c>
      <c r="C52" s="12">
        <f>C31+C44</f>
        <v>1452.02249817336</v>
      </c>
    </row>
    <row r="53" ht="15.75" customHeight="1">
      <c r="B53" s="7" t="s">
        <v>122</v>
      </c>
      <c r="C53" s="12" cm="1">
        <f t="array" ref="C53">C47</f>
        <v>-207.16797250301</v>
      </c>
    </row>
    <row r="54" ht="15.75" customHeight="1">
      <c r="B54" s="7" t="s">
        <v>123</v>
      </c>
      <c r="C54" s="12">
        <f t="shared" si="0"/>
        <v>1659.19047067637</v>
      </c>
    </row>
    <row r="55" ht="15.75" customHeight="1">
      <c r="B55" s="7" t="s">
        <v>22</v>
      </c>
      <c r="C55" s="12" cm="1">
        <f t="array" ref="C55">C49</f>
        <v>50</v>
      </c>
    </row>
    <row r="56" ht="15.75" customHeight="1">
      <c r="B56" s="13" t="s">
        <v>124</v>
      </c>
      <c r="C56" s="31">
        <f t="shared" si="1"/>
        <v>33.1838094135274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1D5B68-1BD8-D758-AA1D-1F69FA7E4E46}" mc:Ignorable="x14ac xr xr2 xr3">
  <dimension ref="A1:GR50000"/>
  <sheetViews>
    <sheetView showGridLines="0" topLeftCell="A22" workbookViewId="0">
      <selection activeCell="A1" sqref="A1"/>
    </sheetView>
  </sheetViews>
  <sheetFormatPr defaultRowHeight="15" defaultColWidth="7.75390625" customHeight="1"/>
  <sheetData>
    <row r="2" ht="15.75" customHeight="1">
      <c r="B2" s="1" t="s">
        <v>126</v>
      </c>
    </row>
    <row r="4" ht="15.75" customHeight="1">
      <c r="B4" t="s">
        <v>127</v>
      </c>
    </row>
    <row r="5" ht="15.75" customHeight="1">
      <c r="C5" s="7"/>
      <c r="D5" s="32" t="s">
        <v>128</v>
      </c>
      <c r="E5" s="32" t="s">
        <v>129</v>
      </c>
      <c r="F5" s="32" t="s">
        <v>130</v>
      </c>
      <c r="G5" s="32" t="s">
        <v>131</v>
      </c>
      <c r="H5" s="32" t="s">
        <v>132</v>
      </c>
    </row>
    <row r="6" ht="15.75" customHeight="1">
      <c r="C6" s="7" cm="1">
        <f t="array" ref="C6">WACC_Valuation!C50</f>
        <v>22.9904557038906</v>
      </c>
      <c r="D6" s="7"/>
      <c r="E6" s="7"/>
      <c r="F6" s="7"/>
      <c r="G6" s="7"/>
      <c r="H6" s="7"/>
    </row>
    <row r="7" ht="15.75" customHeight="1">
      <c r="C7" s="32" t="s">
        <v>133</v>
      </c>
      <c r="D7" s="33">
        <f t="shared" si="0" ref="D7:D13">($C$21+$C$22*(1+D$5)/(C7-D$5)/(1+C7)^10-$C$23)/$C$24</f>
        <v>48.1079384589108</v>
      </c>
      <c r="E7" s="33">
        <f t="shared" si="1" ref="E7:E13">($C$21+$C$22*(1+E$5)/(C7-E$5)/(1+C7)^10-$C$23)/$C$24</f>
        <v>52.5286705432652</v>
      </c>
      <c r="F7" s="33">
        <f t="shared" si="2" ref="F7:F13">($C$21+$C$22*(1+F$5)/(C7-F$5)/(1+C7)^10-$C$23)/$C$24</f>
        <v>58.2124689374351</v>
      </c>
      <c r="G7" s="33">
        <f t="shared" si="3" ref="G7:G13">($C$21+$C$22*(1+G$5)/(C7-G$5)/(1+C7)^10-$C$23)/$C$24</f>
        <v>65.7908667963283</v>
      </c>
      <c r="H7" s="33">
        <f t="shared" si="4" ref="H7:H13">($C$21+$C$22*(1+H$5)/(C7-H$5)/(1+C7)^10-$C$23)/$C$24</f>
        <v>76.4006237987788</v>
      </c>
    </row>
    <row r="8" ht="15.75" customHeight="1">
      <c r="C8" s="32" t="s">
        <v>134</v>
      </c>
      <c r="D8" s="33">
        <f t="shared" si="0"/>
        <v>39.4675264895064</v>
      </c>
      <c r="E8" s="33">
        <f t="shared" si="1"/>
        <v>42.1266150094438</v>
      </c>
      <c r="F8" s="33">
        <f t="shared" si="2"/>
        <v>45.3766120893672</v>
      </c>
      <c r="G8" s="33">
        <f t="shared" si="3"/>
        <v>49.4391084392715</v>
      </c>
      <c r="H8" s="33">
        <f t="shared" si="4"/>
        <v>54.6623180320056</v>
      </c>
    </row>
    <row r="9" ht="15.75" customHeight="1">
      <c r="C9" s="32" t="s">
        <v>135</v>
      </c>
      <c r="D9" s="33">
        <f t="shared" si="0"/>
        <v>33.6909998510982</v>
      </c>
      <c r="E9" s="33">
        <f t="shared" si="1"/>
        <v>35.4154120307253</v>
      </c>
      <c r="F9" s="33">
        <f t="shared" si="2"/>
        <v>37.4533536975574</v>
      </c>
      <c r="G9" s="33">
        <f t="shared" si="3"/>
        <v>39.8988836977559</v>
      </c>
      <c r="H9" s="33">
        <f t="shared" si="4"/>
        <v>42.8878648091097</v>
      </c>
    </row>
    <row r="10" ht="15.75" customHeight="1">
      <c r="C10" s="32" t="s">
        <v>136</v>
      </c>
      <c r="D10" s="33">
        <f t="shared" si="0"/>
        <v>29.6140080733476</v>
      </c>
      <c r="E10" s="33">
        <f t="shared" si="1"/>
        <v>30.7930295148467</v>
      </c>
      <c r="F10" s="33">
        <f t="shared" si="2"/>
        <v>32.1534388704225</v>
      </c>
      <c r="G10" s="33">
        <f t="shared" si="3"/>
        <v>33.7405831185943</v>
      </c>
      <c r="H10" s="33">
        <f t="shared" si="4"/>
        <v>35.616299048252</v>
      </c>
    </row>
    <row r="11" ht="15.75" customHeight="1">
      <c r="C11" s="32" t="s">
        <v>137</v>
      </c>
      <c r="D11" s="33">
        <f t="shared" si="0"/>
        <v>26.6220117349269</v>
      </c>
      <c r="E11" s="33">
        <f t="shared" si="1"/>
        <v>27.4604602673932</v>
      </c>
      <c r="F11" s="33">
        <f t="shared" si="2"/>
        <v>28.4107019375217</v>
      </c>
      <c r="G11" s="33">
        <f t="shared" si="3"/>
        <v>29.4966924176685</v>
      </c>
      <c r="H11" s="33">
        <f t="shared" si="4"/>
        <v>30.7497583562995</v>
      </c>
    </row>
    <row r="12" ht="15.75" customHeight="1">
      <c r="C12" s="32" t="s">
        <v>138</v>
      </c>
      <c r="D12" s="33">
        <f t="shared" si="0"/>
        <v>24.3607043651352</v>
      </c>
      <c r="E12" s="33">
        <f t="shared" si="1"/>
        <v>24.9753808007791</v>
      </c>
      <c r="F12" s="33">
        <f t="shared" si="2"/>
        <v>25.6623721112046</v>
      </c>
      <c r="G12" s="33">
        <f t="shared" si="3"/>
        <v>26.4352373354333</v>
      </c>
      <c r="H12" s="33">
        <f t="shared" si="4"/>
        <v>27.3111512562259</v>
      </c>
    </row>
    <row r="13" ht="15.75" customHeight="1">
      <c r="C13" s="32" t="s">
        <v>139</v>
      </c>
      <c r="D13" s="33">
        <f t="shared" si="0"/>
        <v>22.6119312706565</v>
      </c>
      <c r="E13" s="33">
        <f t="shared" si="1"/>
        <v>23.0736398929289</v>
      </c>
      <c r="F13" s="33">
        <f t="shared" si="2"/>
        <v>23.5839494228089</v>
      </c>
      <c r="G13" s="33">
        <f t="shared" si="3"/>
        <v>24.1509600115644</v>
      </c>
      <c r="H13" s="33">
        <f t="shared" si="4"/>
        <v>24.7846777284089</v>
      </c>
    </row>
    <row r="15" ht="15.75" customHeight="1">
      <c r="B15" t="s">
        <v>140</v>
      </c>
      <c r="C15" s="21"/>
    </row>
    <row r="16" ht="15.75" customHeight="1">
      <c r="B16" t="s">
        <v>141</v>
      </c>
      <c r="C16" s="34" cm="1">
        <f t="array" ref="C16">WACC_Valuation!C28</f>
        <v>0.123409090909091</v>
      </c>
    </row>
    <row r="17" ht="15.75" customHeight="1">
      <c r="B17" t="s">
        <v>142</v>
      </c>
      <c r="C17" s="34" cm="1">
        <f t="array" ref="C17">Cover_Assumptions!C28</f>
        <v>0.025</v>
      </c>
    </row>
    <row r="18" ht="15" customHeight="1">
      <c r="C18" s="21"/>
    </row>
    <row r="19" ht="15" customHeight="1">
      <c r="C19" s="21"/>
    </row>
    <row r="20" ht="15.75" customHeight="1">
      <c r="B20" t="s">
        <v>143</v>
      </c>
      <c r="C20" s="21"/>
    </row>
    <row r="21" ht="15.75" customHeight="1">
      <c r="B21" t="s">
        <v>144</v>
      </c>
      <c r="C21" s="35" cm="1">
        <f t="array" ref="C21">WACC_Valuation!C31</f>
        <v>505.005152095476</v>
      </c>
    </row>
    <row r="22" ht="15.75" customHeight="1">
      <c r="B22" t="s">
        <v>145</v>
      </c>
      <c r="C22" s="35" cm="1">
        <f t="array" ref="C22">WACC_Valuation!C34</f>
        <v>134.437209118287</v>
      </c>
    </row>
    <row r="23" ht="15.75" customHeight="1">
      <c r="B23" t="s">
        <v>146</v>
      </c>
      <c r="C23" s="35" cm="1">
        <f t="array" ref="C23">WACC_Valuation!C47</f>
        <v>-207.16797250301</v>
      </c>
    </row>
    <row r="24" ht="15.75" customHeight="1">
      <c r="B24" t="s">
        <v>147</v>
      </c>
      <c r="C24" s="35" cm="1">
        <f t="array" ref="C24">WACC_Valuation!C49</f>
        <v>50</v>
      </c>
    </row>
    <row r="25" ht="15" customHeight="1"/>
    <row r="26" ht="15.75" customHeight="1">
      <c r="B26" t="s">
        <v>148</v>
      </c>
    </row>
    <row r="27" ht="15.75" customHeight="1">
      <c r="C27" s="7"/>
      <c r="D27" s="36">
        <v>12</v>
      </c>
      <c r="E27" s="36">
        <v>13</v>
      </c>
      <c r="F27" s="36">
        <v>14</v>
      </c>
      <c r="G27" s="36">
        <v>15</v>
      </c>
      <c r="H27" s="36">
        <v>16</v>
      </c>
      <c r="I27" s="36">
        <v>17</v>
      </c>
      <c r="J27" s="36">
        <v>18</v>
      </c>
    </row>
    <row r="28" ht="15.75" customHeight="1">
      <c r="C28" s="7" cm="1">
        <f t="array" ref="C28">WACC_Valuation!C56</f>
        <v>33.1838094135274</v>
      </c>
      <c r="D28" s="7"/>
      <c r="E28" s="7"/>
      <c r="F28" s="7"/>
      <c r="G28" s="7"/>
      <c r="H28" s="7"/>
      <c r="I28" s="7"/>
      <c r="J28" s="7"/>
    </row>
    <row r="29" ht="15.75" customHeight="1">
      <c r="C29" s="32" t="s">
        <v>133</v>
      </c>
      <c r="D29" s="33">
        <f t="shared" si="5" ref="D29:D35">($C$21+$C$37*D$27/(1+C29)^10-$C$23)/$C$24</f>
        <v>41.3328136892921</v>
      </c>
      <c r="E29" s="33">
        <f t="shared" si="6" ref="E29:E35">($C$21+$C$37*E$27/(1+C29)^10-$C$23)/$C$24</f>
        <v>43.5902596224023</v>
      </c>
      <c r="F29" s="33">
        <f t="shared" si="7" ref="F29:F35">($C$21+$C$37*F$27/(1+C29)^10-$C$23)/$C$24</f>
        <v>45.8477055555125</v>
      </c>
      <c r="G29" s="33">
        <f t="shared" si="8" ref="G29:G35">($C$21+$C$37*G$27/(1+C29)^10-$C$23)/$C$24</f>
        <v>48.1051514886228</v>
      </c>
      <c r="H29" s="33">
        <f t="shared" si="9" ref="H29:H35">($C$21+$C$37*H$27/(1+C29)^10-$C$23)/$C$24</f>
        <v>50.3625974217329</v>
      </c>
      <c r="I29" s="33">
        <f t="shared" si="10" ref="I29:I35">($C$21+$C$37*I$27/(1+C29)^10-$C$23)/$C$24</f>
        <v>52.6200433548431</v>
      </c>
      <c r="J29" s="33">
        <f t="shared" si="11" ref="J29:J35">($C$21+$C$37*J$27/(1+C29)^10-$C$23)/$C$24</f>
        <v>54.8774892879534</v>
      </c>
    </row>
    <row r="30" ht="15.75" customHeight="1">
      <c r="C30" s="32" t="s">
        <v>134</v>
      </c>
      <c r="D30" s="33">
        <f t="shared" si="5"/>
        <v>38.9049619809611</v>
      </c>
      <c r="E30" s="33">
        <f t="shared" si="6"/>
        <v>40.960086938377</v>
      </c>
      <c r="F30" s="33">
        <f t="shared" si="7"/>
        <v>43.015211895793</v>
      </c>
      <c r="G30" s="33">
        <f t="shared" si="8"/>
        <v>45.0703368532089</v>
      </c>
      <c r="H30" s="33">
        <f t="shared" si="9"/>
        <v>47.1254618106248</v>
      </c>
      <c r="I30" s="33">
        <f t="shared" si="10"/>
        <v>49.1805867680408</v>
      </c>
      <c r="J30" s="33">
        <f t="shared" si="11"/>
        <v>51.2357117254567</v>
      </c>
    </row>
    <row r="31" ht="15.75" customHeight="1">
      <c r="C31" s="32" t="s">
        <v>135</v>
      </c>
      <c r="D31" s="33">
        <f t="shared" si="5"/>
        <v>36.7143228756551</v>
      </c>
      <c r="E31" s="33">
        <f t="shared" si="6"/>
        <v>38.5868945742956</v>
      </c>
      <c r="F31" s="33">
        <f t="shared" si="7"/>
        <v>40.4594662729361</v>
      </c>
      <c r="G31" s="33">
        <f t="shared" si="8"/>
        <v>42.3320379715765</v>
      </c>
      <c r="H31" s="33">
        <f t="shared" si="9"/>
        <v>44.204609670217</v>
      </c>
      <c r="I31" s="33">
        <f t="shared" si="10"/>
        <v>46.0771813688574</v>
      </c>
      <c r="J31" s="33">
        <f t="shared" si="11"/>
        <v>47.9497530674979</v>
      </c>
    </row>
    <row r="32" ht="15.75" customHeight="1">
      <c r="C32" s="32" t="s">
        <v>136</v>
      </c>
      <c r="D32" s="33">
        <f t="shared" si="5"/>
        <v>34.7358366519829</v>
      </c>
      <c r="E32" s="33">
        <f t="shared" si="6"/>
        <v>36.4435344986506</v>
      </c>
      <c r="F32" s="33">
        <f t="shared" si="7"/>
        <v>38.1512323453184</v>
      </c>
      <c r="G32" s="33">
        <f t="shared" si="8"/>
        <v>39.8589301919861</v>
      </c>
      <c r="H32" s="33">
        <f t="shared" si="9"/>
        <v>41.5666280386539</v>
      </c>
      <c r="I32" s="33">
        <f t="shared" si="10"/>
        <v>43.2743258853217</v>
      </c>
      <c r="J32" s="33">
        <f t="shared" si="11"/>
        <v>44.9820237319894</v>
      </c>
    </row>
    <row r="33" ht="15.75" customHeight="1">
      <c r="C33" s="32" t="s">
        <v>137</v>
      </c>
      <c r="D33" s="33">
        <f t="shared" si="5"/>
        <v>32.9472863830645</v>
      </c>
      <c r="E33" s="33">
        <f t="shared" si="6"/>
        <v>34.505938373989</v>
      </c>
      <c r="F33" s="33">
        <f t="shared" si="7"/>
        <v>36.0645903649136</v>
      </c>
      <c r="G33" s="33">
        <f t="shared" si="8"/>
        <v>37.6232423558382</v>
      </c>
      <c r="H33" s="33">
        <f t="shared" si="9"/>
        <v>39.1818943467627</v>
      </c>
      <c r="I33" s="33">
        <f t="shared" si="10"/>
        <v>40.7405463376873</v>
      </c>
      <c r="J33" s="33">
        <f t="shared" si="11"/>
        <v>42.2991983286118</v>
      </c>
    </row>
    <row r="34" ht="15.75" customHeight="1">
      <c r="C34" s="32" t="s">
        <v>138</v>
      </c>
      <c r="D34" s="33">
        <f t="shared" si="5"/>
        <v>31.328953664495</v>
      </c>
      <c r="E34" s="33">
        <f t="shared" si="6"/>
        <v>32.7527445955388</v>
      </c>
      <c r="F34" s="33">
        <f t="shared" si="7"/>
        <v>34.1765355265826</v>
      </c>
      <c r="G34" s="33">
        <f t="shared" si="8"/>
        <v>35.6003264576263</v>
      </c>
      <c r="H34" s="33">
        <f t="shared" si="9"/>
        <v>37.0241173886701</v>
      </c>
      <c r="I34" s="33">
        <f t="shared" si="10"/>
        <v>38.4479083197139</v>
      </c>
      <c r="J34" s="33">
        <f t="shared" si="11"/>
        <v>39.8716992507577</v>
      </c>
    </row>
    <row r="35" ht="15.75" customHeight="1">
      <c r="C35" s="32" t="s">
        <v>139</v>
      </c>
      <c r="D35" s="33">
        <f t="shared" si="5"/>
        <v>29.8633186273178</v>
      </c>
      <c r="E35" s="33">
        <f t="shared" si="6"/>
        <v>31.1649733052635</v>
      </c>
      <c r="F35" s="33">
        <f t="shared" si="7"/>
        <v>32.4666279832092</v>
      </c>
      <c r="G35" s="33">
        <f t="shared" si="8"/>
        <v>33.7682826611549</v>
      </c>
      <c r="H35" s="33">
        <f t="shared" si="9"/>
        <v>35.0699373391005</v>
      </c>
      <c r="I35" s="33">
        <f t="shared" si="10"/>
        <v>36.3715920170462</v>
      </c>
      <c r="J35" s="33">
        <f t="shared" si="11"/>
        <v>37.6732466949919</v>
      </c>
    </row>
    <row r="37" ht="15.75" customHeight="1">
      <c r="B37" t="s">
        <v>149</v>
      </c>
      <c r="C37" s="37" cm="1">
        <f t="array" ref="C37">WACC_Valuation!C41</f>
        <v>202.137092469022</v>
      </c>
    </row>
    <row r="38" ht="15" customHeight="1"/>
    <row r="39" ht="15" customHeight="1"/>
    <row r="40" ht="15" customHeight="1"/>
    <row r="41" ht="15" customHeight="1"/>
    <row r="42" ht="15" customHeight="1"/>
    <row r="43" ht="15" customHeight="1"/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2CACE44-F808-FCE8-6102-35FF76A00408}" mc:Ignorable="x14ac xr xr2 xr3">
  <dimension ref="A1:GR50000"/>
  <sheetViews>
    <sheetView showGridLines="0" topLeftCell="A22" workbookViewId="0">
      <selection activeCell="C30" sqref="C30"/>
    </sheetView>
  </sheetViews>
  <sheetFormatPr defaultRowHeight="15" defaultColWidth="7.75390625" customHeight="1"/>
  <cols>
    <col min="2" max="2" width="33.375" customWidth="1"/>
  </cols>
  <sheetData>
    <row r="2" ht="15.75" customHeight="1">
      <c r="B2" s="1" t="s">
        <v>150</v>
      </c>
    </row>
    <row r="3" ht="15.75" customHeight="1">
      <c r="B3" t="s">
        <v>151</v>
      </c>
    </row>
    <row r="5" ht="15.75" customHeight="1">
      <c r="B5" t="s">
        <v>152</v>
      </c>
    </row>
    <row r="6" ht="15.75" customHeight="1">
      <c r="B6" t="s">
        <v>153</v>
      </c>
      <c r="C6" s="35" cm="1">
        <f t="array" ref="C6">Balance_Sheet!C22</f>
        <v>0</v>
      </c>
      <c r="D6" s="21" t="str">
        <f t="shared" si="0" ref="D6:D17">IF(ABS(C6)&lt;0.1,"PASS","FAIL")</f>
        <v>PASS</v>
      </c>
    </row>
    <row r="7" ht="15.75" customHeight="1">
      <c r="B7" t="s">
        <v>155</v>
      </c>
      <c r="C7" s="35" cm="1">
        <f t="array" ref="C7">Balance_Sheet!G22</f>
        <v>0</v>
      </c>
      <c r="D7" s="21" t="str">
        <f t="shared" si="0"/>
        <v>PASS</v>
      </c>
    </row>
    <row r="8" ht="15.75" customHeight="1">
      <c r="B8" t="s">
        <v>156</v>
      </c>
      <c r="C8" s="35" cm="1">
        <f t="array" ref="C8">Balance_Sheet!Q22</f>
        <v>0</v>
      </c>
      <c r="D8" s="21" t="str">
        <f t="shared" si="0"/>
        <v>PASS</v>
      </c>
    </row>
    <row r="9" ht="15" customHeight="1">
      <c r="C9" s="21"/>
      <c r="D9" s="21"/>
    </row>
    <row r="10" ht="15.75" customHeight="1">
      <c r="B10" t="s">
        <v>157</v>
      </c>
      <c r="C10" s="21"/>
      <c r="D10" s="21"/>
    </row>
    <row r="11" ht="15.75" customHeight="1">
      <c r="B11" t="s">
        <v>158</v>
      </c>
      <c r="C11" s="35" cm="1">
        <f t="array" ref="C11">Cash_Flow!C28</f>
        <v>0</v>
      </c>
      <c r="D11" s="21" t="str">
        <f t="shared" si="0"/>
        <v>PASS</v>
      </c>
    </row>
    <row r="12" ht="15.75" customHeight="1">
      <c r="B12" t="s">
        <v>159</v>
      </c>
      <c r="C12" s="35" cm="1">
        <f t="array" ref="C12">Cash_Flow!G28</f>
        <v>0</v>
      </c>
      <c r="D12" s="21" t="str">
        <f t="shared" si="0"/>
        <v>PASS</v>
      </c>
    </row>
    <row r="13" ht="15.75" customHeight="1">
      <c r="B13" t="s">
        <v>160</v>
      </c>
      <c r="C13" s="35" cm="1">
        <f t="array" ref="C13">Cash_Flow!Q28</f>
        <v>0</v>
      </c>
      <c r="D13" s="21" t="str">
        <f t="shared" si="0"/>
        <v>PASS</v>
      </c>
    </row>
    <row r="14" ht="15" customHeight="1">
      <c r="C14" s="21"/>
      <c r="D14" s="21"/>
    </row>
    <row r="15" ht="15.75" customHeight="1">
      <c r="B15" t="s">
        <v>161</v>
      </c>
      <c r="C15" s="21"/>
      <c r="D15" s="21"/>
    </row>
    <row r="16" ht="15.75" customHeight="1">
      <c r="B16" t="s">
        <v>162</v>
      </c>
      <c r="C16" s="35">
        <f>Depreciation_Capex!G12-Depreciation_Capex!G10</f>
        <v>0</v>
      </c>
      <c r="D16" s="21" t="str">
        <f t="shared" si="0"/>
        <v>PASS</v>
      </c>
    </row>
    <row r="17" ht="15.75" customHeight="1">
      <c r="B17" t="s">
        <v>163</v>
      </c>
      <c r="C17" s="35">
        <f>Depreciation_Capex!Q12-Depreciation_Capex!Q10</f>
        <v>0</v>
      </c>
      <c r="D17" s="21" t="str">
        <f t="shared" si="0"/>
        <v>PASS</v>
      </c>
    </row>
    <row r="18" ht="15" customHeight="1">
      <c r="C18" s="21"/>
      <c r="D18" s="21"/>
    </row>
    <row r="19" ht="15.75" customHeight="1">
      <c r="B19" t="s">
        <v>164</v>
      </c>
      <c r="C19" s="21"/>
      <c r="D19" s="21"/>
    </row>
    <row r="20" ht="15.75" customHeight="1">
      <c r="B20" t="s">
        <v>165</v>
      </c>
      <c r="C20" s="34">
        <f>Income_Statement!G11-Cover_Assumptions!C15</f>
        <v>0</v>
      </c>
      <c r="D20" s="21" t="str">
        <f t="shared" si="1" ref="D20:D21">IF(ABS(C20)&lt;0.001,"PASS","FAIL")</f>
        <v>PASS</v>
      </c>
    </row>
    <row r="21" ht="15.75" customHeight="1">
      <c r="B21" t="s">
        <v>166</v>
      </c>
      <c r="C21" s="34">
        <f>Income_Statement!Q11-Cover_Assumptions!C15</f>
        <v>0</v>
      </c>
      <c r="D21" s="21" t="str">
        <f t="shared" si="1"/>
        <v>PASS</v>
      </c>
    </row>
    <row r="22" ht="15" customHeight="1">
      <c r="C22" s="21"/>
      <c r="D22" s="21"/>
    </row>
    <row r="23" ht="15" customHeight="1">
      <c r="C23" s="21"/>
      <c r="D23" s="21"/>
    </row>
    <row r="24" ht="15.75" customHeight="1">
      <c r="B24" t="s">
        <v>167</v>
      </c>
      <c r="C24" s="21"/>
      <c r="D24" s="21"/>
    </row>
    <row r="25" ht="15.75" customHeight="1">
      <c r="B25" t="s">
        <v>168</v>
      </c>
      <c r="C25" s="38">
        <f>COUNTIF(D6:D21,"FAIL")</f>
        <v>0</v>
      </c>
      <c r="D25" s="21" t="str">
        <f>IF(C25=0,"✓ MODEL PASS","✗ MODEL FAIL")</f>
        <v>✓ MODEL PASS</v>
      </c>
    </row>
    <row r="26" ht="15" customHeight="1">
      <c r="C26" s="21"/>
      <c r="D26" s="21"/>
    </row>
    <row r="27" ht="15.75" customHeight="1">
      <c r="B27" t="s">
        <v>170</v>
      </c>
      <c r="C27" s="21"/>
      <c r="D27" s="21"/>
    </row>
    <row r="28" ht="15.75" customHeight="1">
      <c r="B28" t="s">
        <v>171</v>
      </c>
      <c r="C28" s="38">
        <f>COUNTIF(D6:D8,"FAIL")</f>
        <v>0</v>
      </c>
      <c r="D28" s="21"/>
    </row>
    <row r="29" ht="15.75" customHeight="1">
      <c r="B29" t="s">
        <v>172</v>
      </c>
      <c r="C29" s="38">
        <f>COUNTIF(D11:D13,"FAIL")</f>
        <v>0</v>
      </c>
      <c r="D29" s="21"/>
    </row>
    <row r="30" ht="15.75" customHeight="1">
      <c r="B30" t="s">
        <v>173</v>
      </c>
      <c r="C30" s="38">
        <f>COUNTIF(D16:D17,"FAIL")</f>
        <v>0</v>
      </c>
      <c r="D30" s="21"/>
    </row>
    <row r="31" ht="15.75" customHeight="1">
      <c r="B31" t="s">
        <v>174</v>
      </c>
      <c r="C31" s="38">
        <f>COUNTIF(D20:D21,"FAIL")</f>
        <v>0</v>
      </c>
      <c r="D31" s="21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