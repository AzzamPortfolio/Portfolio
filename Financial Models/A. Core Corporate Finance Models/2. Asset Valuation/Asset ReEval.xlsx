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3. Azzam\a. Project\1. InJourney\"/>
    </mc:Choice>
  </mc:AlternateContent>
  <xr:revisionPtr revIDLastSave="0" documentId="13_ncr:1_{A1CA6223-DD16-429B-8602-E5C397C921F7}" xr6:coauthVersionLast="47" xr6:coauthVersionMax="47" xr10:uidLastSave="{00000000-0000-0000-0000-000000000000}"/>
  <bookViews>
    <workbookView xWindow="-108" yWindow="-108" windowWidth="23256" windowHeight="12456" tabRatio="1000" firstSheet="2" activeTab="13" xr2:uid="{00000000-000D-0000-FFFF-FFFF00000000}"/>
  </bookViews>
  <sheets>
    <sheet name="Inputs" sheetId="1" r:id="rId1"/>
    <sheet name="Depreciation_Scenario_Analysis" sheetId="3" r:id="rId2"/>
    <sheet name="Financial_Impact_Dashboard" sheetId="4" r:id="rId3"/>
    <sheet name="Balance_Sheet_Impact" sheetId="5" r:id="rId4"/>
    <sheet name="Sensitivity_Analysis" sheetId="6" r:id="rId5"/>
    <sheet name="Historical_Integration" sheetId="7" r:id="rId6"/>
    <sheet name="Asset Data Pullman" sheetId="9" state="hidden" r:id="rId7"/>
    <sheet name="Asset Data Circuit Mandalika" sheetId="10" state="hidden" r:id="rId8"/>
    <sheet name="Maintenance History" sheetId="11" state="hidden" r:id="rId9"/>
    <sheet name="Financial_Statements" sheetId="12" state="hidden" r:id="rId10"/>
    <sheet name="ESL_Analysis_Pullman" sheetId="14" r:id="rId11"/>
    <sheet name="Market_Value_Pullman" sheetId="15" r:id="rId12"/>
    <sheet name="Executive_Summary" sheetId="8" r:id="rId13"/>
    <sheet name="Visual_Dashboard" sheetId="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6" l="1"/>
  <c r="F7" i="6"/>
  <c r="D20" i="14"/>
  <c r="C27" i="1"/>
  <c r="D59" i="15"/>
  <c r="D7" i="14" a="1"/>
  <c r="D7" i="14" s="1"/>
  <c r="G16" i="15"/>
  <c r="E16" i="15"/>
  <c r="H16" i="15" s="1"/>
  <c r="I16" i="15" s="1"/>
  <c r="J16" i="15" s="1"/>
  <c r="K16" i="15" s="1"/>
  <c r="L16" i="15" s="1"/>
  <c r="D16" i="15"/>
  <c r="C16" i="15"/>
  <c r="G15" i="15"/>
  <c r="E15" i="15"/>
  <c r="H15" i="15" s="1"/>
  <c r="I15" i="15" s="1"/>
  <c r="J15" i="15" s="1"/>
  <c r="K15" i="15" s="1"/>
  <c r="L15" i="15" s="1"/>
  <c r="D15" i="15"/>
  <c r="C15" i="15"/>
  <c r="G14" i="15"/>
  <c r="E14" i="15"/>
  <c r="H14" i="15" s="1"/>
  <c r="I14" i="15" s="1"/>
  <c r="J14" i="15" s="1"/>
  <c r="K14" i="15" s="1"/>
  <c r="L14" i="15" s="1"/>
  <c r="D14" i="15"/>
  <c r="C14" i="15"/>
  <c r="G13" i="15"/>
  <c r="E13" i="15"/>
  <c r="H13" i="15" s="1"/>
  <c r="I13" i="15" s="1"/>
  <c r="J13" i="15" s="1"/>
  <c r="K13" i="15" s="1"/>
  <c r="L13" i="15" s="1"/>
  <c r="D13" i="15"/>
  <c r="C13" i="15"/>
  <c r="G12" i="15"/>
  <c r="E12" i="15"/>
  <c r="H12" i="15" s="1"/>
  <c r="I12" i="15" s="1"/>
  <c r="J12" i="15" s="1"/>
  <c r="K12" i="15" s="1"/>
  <c r="L12" i="15" s="1"/>
  <c r="D12" i="15"/>
  <c r="C12" i="15"/>
  <c r="G11" i="15"/>
  <c r="E11" i="15"/>
  <c r="H11" i="15" s="1"/>
  <c r="I11" i="15" s="1"/>
  <c r="J11" i="15" s="1"/>
  <c r="K11" i="15" s="1"/>
  <c r="L11" i="15" s="1"/>
  <c r="D11" i="15"/>
  <c r="C11" i="15"/>
  <c r="G10" i="15"/>
  <c r="E10" i="15"/>
  <c r="H10" i="15" s="1"/>
  <c r="I10" i="15" s="1"/>
  <c r="J10" i="15" s="1"/>
  <c r="K10" i="15" s="1"/>
  <c r="L10" i="15" s="1"/>
  <c r="D10" i="15"/>
  <c r="C10" i="15"/>
  <c r="G9" i="15"/>
  <c r="E9" i="15"/>
  <c r="D9" i="15"/>
  <c r="C9" i="15"/>
  <c r="C17" i="15" s="1"/>
  <c r="C30" i="14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B29" i="14" a="1"/>
  <c r="B29" i="14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D21" i="14"/>
  <c r="D19" i="14"/>
  <c r="D14" i="14" a="1"/>
  <c r="D14" i="14" s="1"/>
  <c r="I44" i="14" s="1"/>
  <c r="C14" i="14" a="1"/>
  <c r="C14" i="14"/>
  <c r="D29" i="14" s="1"/>
  <c r="D8" i="14" a="1"/>
  <c r="D8" i="14"/>
  <c r="D6" i="14" a="1"/>
  <c r="D6" i="14"/>
  <c r="F10" i="7" a="1"/>
  <c r="F10" i="7"/>
  <c r="E10" i="7" a="1"/>
  <c r="E10" i="7"/>
  <c r="D10" i="7" a="1"/>
  <c r="D10" i="7"/>
  <c r="C10" i="7" a="1"/>
  <c r="C10" i="7"/>
  <c r="F9" i="7" a="1"/>
  <c r="F9" i="7"/>
  <c r="E9" i="7" a="1"/>
  <c r="E9" i="7"/>
  <c r="D9" i="7" a="1"/>
  <c r="D9" i="7"/>
  <c r="C9" i="7" a="1"/>
  <c r="C9" i="7"/>
  <c r="F8" i="7" a="1"/>
  <c r="F8" i="7"/>
  <c r="I7" i="7"/>
  <c r="H7" i="7"/>
  <c r="H9" i="7" s="1"/>
  <c r="G7" i="7"/>
  <c r="G9" i="7" s="1"/>
  <c r="F7" i="7" a="1"/>
  <c r="F7" i="7"/>
  <c r="E7" i="7"/>
  <c r="D7" i="7"/>
  <c r="C7" i="7"/>
  <c r="F10" i="6" a="1"/>
  <c r="F10" i="6"/>
  <c r="E10" i="6" a="1"/>
  <c r="E10" i="6"/>
  <c r="D10" i="6" a="1"/>
  <c r="D10" i="6"/>
  <c r="C10" i="6" a="1"/>
  <c r="C10" i="6"/>
  <c r="F9" i="6" a="1"/>
  <c r="F9" i="6"/>
  <c r="D9" i="6" a="1"/>
  <c r="D9" i="6"/>
  <c r="C9" i="6" a="1"/>
  <c r="C9" i="6"/>
  <c r="F8" i="6" a="1"/>
  <c r="F8" i="6"/>
  <c r="C19" i="5" a="1"/>
  <c r="C19" i="5"/>
  <c r="C6" i="5" a="1"/>
  <c r="C6" i="5" s="1"/>
  <c r="L67" i="4" a="1"/>
  <c r="L67" i="4" s="1"/>
  <c r="K67" i="4" a="1"/>
  <c r="K67" i="4"/>
  <c r="J67" i="4" a="1"/>
  <c r="J67" i="4"/>
  <c r="I67" i="4" a="1"/>
  <c r="I67" i="4"/>
  <c r="H67" i="4" a="1"/>
  <c r="H67" i="4"/>
  <c r="G67" i="4" a="1"/>
  <c r="G67" i="4"/>
  <c r="F67" i="4" a="1"/>
  <c r="F67" i="4"/>
  <c r="E67" i="4" a="1"/>
  <c r="E67" i="4"/>
  <c r="D67" i="4" a="1"/>
  <c r="D67" i="4" s="1"/>
  <c r="C67" i="4" a="1"/>
  <c r="C67" i="4" s="1"/>
  <c r="L63" i="4" a="1"/>
  <c r="L63" i="4" s="1"/>
  <c r="K63" i="4" a="1"/>
  <c r="K63" i="4" s="1"/>
  <c r="J63" i="4" a="1"/>
  <c r="J63" i="4" s="1"/>
  <c r="I63" i="4" a="1"/>
  <c r="I63" i="4" s="1"/>
  <c r="H63" i="4" a="1"/>
  <c r="H63" i="4" s="1"/>
  <c r="G63" i="4" a="1"/>
  <c r="G63" i="4" s="1"/>
  <c r="F63" i="4" a="1"/>
  <c r="F63" i="4" s="1"/>
  <c r="E63" i="4" a="1"/>
  <c r="E63" i="4" s="1"/>
  <c r="D63" i="4" a="1"/>
  <c r="D63" i="4"/>
  <c r="C63" i="4" a="1"/>
  <c r="C63" i="4" s="1"/>
  <c r="L59" i="4" a="1"/>
  <c r="L59" i="4"/>
  <c r="K59" i="4" a="1"/>
  <c r="K59" i="4"/>
  <c r="J59" i="4" a="1"/>
  <c r="J59" i="4"/>
  <c r="I59" i="4" a="1"/>
  <c r="I59" i="4"/>
  <c r="H59" i="4" a="1"/>
  <c r="H59" i="4"/>
  <c r="G59" i="4" a="1"/>
  <c r="G59" i="4"/>
  <c r="F59" i="4" a="1"/>
  <c r="F59" i="4"/>
  <c r="E59" i="4" a="1"/>
  <c r="E59" i="4"/>
  <c r="D59" i="4" a="1"/>
  <c r="D59" i="4"/>
  <c r="C59" i="4" a="1"/>
  <c r="C59" i="4"/>
  <c r="C9" i="4" a="1"/>
  <c r="C9" i="4" s="1"/>
  <c r="C6" i="4" a="1"/>
  <c r="C6" i="4" s="1"/>
  <c r="D44" i="3" a="1"/>
  <c r="D44" i="3" s="1"/>
  <c r="E44" i="3" s="1"/>
  <c r="B44" i="3" a="1"/>
  <c r="B44" i="3" s="1"/>
  <c r="D43" i="3" a="1"/>
  <c r="D43" i="3"/>
  <c r="E43" i="3" s="1"/>
  <c r="B43" i="3" a="1"/>
  <c r="B43" i="3" s="1"/>
  <c r="D42" i="3" a="1"/>
  <c r="D42" i="3" s="1"/>
  <c r="E42" i="3" s="1"/>
  <c r="B42" i="3" a="1"/>
  <c r="B42" i="3" s="1"/>
  <c r="D41" i="3" a="1"/>
  <c r="D41" i="3" s="1"/>
  <c r="E41" i="3" s="1"/>
  <c r="B41" i="3" a="1"/>
  <c r="B41" i="3" s="1"/>
  <c r="I40" i="3"/>
  <c r="F40" i="3"/>
  <c r="B40" i="3" a="1"/>
  <c r="B40" i="3"/>
  <c r="B39" i="3" a="1"/>
  <c r="B39" i="3"/>
  <c r="B38" i="3" a="1"/>
  <c r="B38" i="3"/>
  <c r="B37" i="3" a="1"/>
  <c r="B37" i="3"/>
  <c r="B36" i="3" a="1"/>
  <c r="B36" i="3"/>
  <c r="B35" i="3" a="1"/>
  <c r="B35" i="3"/>
  <c r="I29" i="3" a="1"/>
  <c r="I29" i="3"/>
  <c r="J29" i="3" s="1"/>
  <c r="G29" i="3" a="1"/>
  <c r="G29" i="3"/>
  <c r="F29" i="3" a="1"/>
  <c r="F29" i="3"/>
  <c r="E29" i="3" a="1"/>
  <c r="E29" i="3"/>
  <c r="H29" i="3" s="1"/>
  <c r="D29" i="3" a="1"/>
  <c r="D29" i="3"/>
  <c r="C29" i="3" a="1"/>
  <c r="C29" i="3"/>
  <c r="I28" i="3" a="1"/>
  <c r="I28" i="3"/>
  <c r="J28" i="3" s="1"/>
  <c r="G28" i="3" a="1"/>
  <c r="G28" i="3"/>
  <c r="F28" i="3" a="1"/>
  <c r="F28" i="3"/>
  <c r="E28" i="3" a="1"/>
  <c r="E28" i="3"/>
  <c r="H28" i="3" s="1"/>
  <c r="D28" i="3" a="1"/>
  <c r="D28" i="3"/>
  <c r="C28" i="3" a="1"/>
  <c r="C28" i="3"/>
  <c r="I27" i="3" a="1"/>
  <c r="I27" i="3"/>
  <c r="J27" i="3" s="1"/>
  <c r="G27" i="3" a="1"/>
  <c r="G27" i="3"/>
  <c r="F27" i="3" a="1"/>
  <c r="F27" i="3"/>
  <c r="E27" i="3" a="1"/>
  <c r="E27" i="3"/>
  <c r="H27" i="3" s="1"/>
  <c r="D27" i="3" a="1"/>
  <c r="D27" i="3"/>
  <c r="C27" i="3" a="1"/>
  <c r="C27" i="3"/>
  <c r="I26" i="3" a="1"/>
  <c r="I26" i="3"/>
  <c r="J26" i="3" s="1"/>
  <c r="G26" i="3" a="1"/>
  <c r="G26" i="3"/>
  <c r="F26" i="3" a="1"/>
  <c r="F26" i="3"/>
  <c r="E26" i="3" a="1"/>
  <c r="E26" i="3"/>
  <c r="H26" i="3" s="1"/>
  <c r="D26" i="3" a="1"/>
  <c r="D26" i="3"/>
  <c r="C26" i="3" a="1"/>
  <c r="C26" i="3"/>
  <c r="J25" i="3"/>
  <c r="I25" i="3" a="1"/>
  <c r="I25" i="3"/>
  <c r="D40" i="3" s="1" a="1"/>
  <c r="D40" i="3" s="1"/>
  <c r="E40" i="3" s="1"/>
  <c r="G25" i="3" a="1"/>
  <c r="G25" i="3"/>
  <c r="F25" i="3" a="1"/>
  <c r="F25" i="3"/>
  <c r="C40" i="3" s="1"/>
  <c r="E25" i="3" a="1"/>
  <c r="E25" i="3"/>
  <c r="H25" i="3" s="1"/>
  <c r="D25" i="3" a="1"/>
  <c r="D25" i="3"/>
  <c r="C25" i="3" a="1"/>
  <c r="C25" i="3"/>
  <c r="I24" i="3" a="1"/>
  <c r="I24" i="3"/>
  <c r="G24" i="3" a="1"/>
  <c r="G24" i="3"/>
  <c r="F24" i="3" a="1"/>
  <c r="F24" i="3"/>
  <c r="E24" i="3" a="1"/>
  <c r="E24" i="3"/>
  <c r="H24" i="3" s="1"/>
  <c r="D24" i="3" a="1"/>
  <c r="D24" i="3"/>
  <c r="C24" i="3" a="1"/>
  <c r="C24" i="3"/>
  <c r="I23" i="3" a="1"/>
  <c r="I23" i="3"/>
  <c r="G23" i="3" a="1"/>
  <c r="G23" i="3"/>
  <c r="F23" i="3" a="1"/>
  <c r="F23" i="3"/>
  <c r="E23" i="3" a="1"/>
  <c r="E23" i="3"/>
  <c r="H23" i="3" s="1"/>
  <c r="D23" i="3" a="1"/>
  <c r="D23" i="3"/>
  <c r="C23" i="3" a="1"/>
  <c r="C23" i="3"/>
  <c r="I22" i="3" a="1"/>
  <c r="I22" i="3"/>
  <c r="G22" i="3" a="1"/>
  <c r="G22" i="3"/>
  <c r="F22" i="3" a="1"/>
  <c r="F22" i="3"/>
  <c r="E22" i="3" a="1"/>
  <c r="E22" i="3"/>
  <c r="H22" i="3" s="1"/>
  <c r="D22" i="3" a="1"/>
  <c r="D22" i="3"/>
  <c r="C22" i="3" a="1"/>
  <c r="C22" i="3"/>
  <c r="I21" i="3" a="1"/>
  <c r="I21" i="3"/>
  <c r="G21" i="3" a="1"/>
  <c r="G21" i="3"/>
  <c r="F21" i="3" a="1"/>
  <c r="F21" i="3"/>
  <c r="E21" i="3" a="1"/>
  <c r="E21" i="3"/>
  <c r="H21" i="3" s="1"/>
  <c r="D21" i="3" a="1"/>
  <c r="D21" i="3"/>
  <c r="C21" i="3" a="1"/>
  <c r="C21" i="3"/>
  <c r="I20" i="3" a="1"/>
  <c r="I20" i="3"/>
  <c r="G20" i="3" a="1"/>
  <c r="G20" i="3"/>
  <c r="G30" i="3" s="1"/>
  <c r="F20" i="3" a="1"/>
  <c r="F20" i="3"/>
  <c r="E20" i="3" a="1"/>
  <c r="E20" i="3"/>
  <c r="D20" i="3" a="1"/>
  <c r="D20" i="3"/>
  <c r="C20" i="3" a="1"/>
  <c r="C20" i="3"/>
  <c r="C16" i="3" a="1"/>
  <c r="C16" i="3"/>
  <c r="C15" i="3" a="1"/>
  <c r="C15" i="3"/>
  <c r="C14" i="3" a="1"/>
  <c r="C14" i="3"/>
  <c r="D14" i="3" s="1"/>
  <c r="C13" i="3" a="1"/>
  <c r="C13" i="3"/>
  <c r="D13" i="3" s="1"/>
  <c r="C9" i="3" a="1"/>
  <c r="C9" i="3"/>
  <c r="D22" i="14" l="1"/>
  <c r="J41" i="15"/>
  <c r="J23" i="15"/>
  <c r="J34" i="15"/>
  <c r="J33" i="15"/>
  <c r="J30" i="15"/>
  <c r="J28" i="15"/>
  <c r="J24" i="15"/>
  <c r="J40" i="15"/>
  <c r="J39" i="15"/>
  <c r="J29" i="15"/>
  <c r="J38" i="15"/>
  <c r="J35" i="15"/>
  <c r="J36" i="15"/>
  <c r="J27" i="15"/>
  <c r="J22" i="15"/>
  <c r="J37" i="15"/>
  <c r="J26" i="15"/>
  <c r="J32" i="15"/>
  <c r="J21" i="15"/>
  <c r="J25" i="15"/>
  <c r="J31" i="15"/>
  <c r="I41" i="15"/>
  <c r="I38" i="15"/>
  <c r="I35" i="15"/>
  <c r="I27" i="15"/>
  <c r="I24" i="15"/>
  <c r="I21" i="15"/>
  <c r="I30" i="15"/>
  <c r="I33" i="15"/>
  <c r="I40" i="15"/>
  <c r="I28" i="15"/>
  <c r="I36" i="15"/>
  <c r="I37" i="15"/>
  <c r="I26" i="15"/>
  <c r="I39" i="15"/>
  <c r="I32" i="15"/>
  <c r="I22" i="15"/>
  <c r="I23" i="15"/>
  <c r="I29" i="15"/>
  <c r="I34" i="15"/>
  <c r="I31" i="15"/>
  <c r="I25" i="15"/>
  <c r="H21" i="15"/>
  <c r="H35" i="15"/>
  <c r="H27" i="15"/>
  <c r="H34" i="15"/>
  <c r="H22" i="15"/>
  <c r="H23" i="15"/>
  <c r="H41" i="15"/>
  <c r="H30" i="15"/>
  <c r="H26" i="15"/>
  <c r="H40" i="15"/>
  <c r="H39" i="15"/>
  <c r="H32" i="15"/>
  <c r="H38" i="15"/>
  <c r="H33" i="15"/>
  <c r="H24" i="15"/>
  <c r="H37" i="15"/>
  <c r="H28" i="15"/>
  <c r="H36" i="15"/>
  <c r="H31" i="15"/>
  <c r="H29" i="15"/>
  <c r="H25" i="15"/>
  <c r="G41" i="15"/>
  <c r="G33" i="15"/>
  <c r="G35" i="15"/>
  <c r="G24" i="15"/>
  <c r="G38" i="15"/>
  <c r="G26" i="15"/>
  <c r="G36" i="15"/>
  <c r="G27" i="15"/>
  <c r="G29" i="15"/>
  <c r="G32" i="15"/>
  <c r="G40" i="15"/>
  <c r="G28" i="15"/>
  <c r="G34" i="15"/>
  <c r="G37" i="15"/>
  <c r="G39" i="15"/>
  <c r="G21" i="15"/>
  <c r="G23" i="15"/>
  <c r="G31" i="15"/>
  <c r="G30" i="15"/>
  <c r="G25" i="15"/>
  <c r="G22" i="15"/>
  <c r="F41" i="15"/>
  <c r="F21" i="15"/>
  <c r="F25" i="15"/>
  <c r="F24" i="15"/>
  <c r="F40" i="15"/>
  <c r="F35" i="15"/>
  <c r="F29" i="15"/>
  <c r="F23" i="15"/>
  <c r="F39" i="15"/>
  <c r="F27" i="15"/>
  <c r="F34" i="15"/>
  <c r="F31" i="15"/>
  <c r="F38" i="15"/>
  <c r="F26" i="15"/>
  <c r="F28" i="15"/>
  <c r="F33" i="15"/>
  <c r="F37" i="15"/>
  <c r="F22" i="15"/>
  <c r="F32" i="15"/>
  <c r="F30" i="15"/>
  <c r="F36" i="15"/>
  <c r="E41" i="15"/>
  <c r="E30" i="15"/>
  <c r="E25" i="15"/>
  <c r="E40" i="15"/>
  <c r="E33" i="15"/>
  <c r="E26" i="15"/>
  <c r="E39" i="15"/>
  <c r="E28" i="15"/>
  <c r="E27" i="15"/>
  <c r="E38" i="15"/>
  <c r="E32" i="15"/>
  <c r="E29" i="15"/>
  <c r="E37" i="15"/>
  <c r="E22" i="15"/>
  <c r="E36" i="15"/>
  <c r="E23" i="15"/>
  <c r="E31" i="15"/>
  <c r="E35" i="15"/>
  <c r="E21" i="15"/>
  <c r="E24" i="15"/>
  <c r="E34" i="15"/>
  <c r="D41" i="15"/>
  <c r="D27" i="15"/>
  <c r="D40" i="15"/>
  <c r="D30" i="15"/>
  <c r="D39" i="15"/>
  <c r="D32" i="15"/>
  <c r="D38" i="15"/>
  <c r="D26" i="15"/>
  <c r="D29" i="15"/>
  <c r="D36" i="15"/>
  <c r="D22" i="15"/>
  <c r="D35" i="15"/>
  <c r="D23" i="15"/>
  <c r="D34" i="15"/>
  <c r="D28" i="15"/>
  <c r="D33" i="15"/>
  <c r="D24" i="15"/>
  <c r="D37" i="15"/>
  <c r="D21" i="15"/>
  <c r="D25" i="15"/>
  <c r="D31" i="15"/>
  <c r="F17" i="15"/>
  <c r="G17" i="15" s="1"/>
  <c r="E17" i="15"/>
  <c r="H17" i="15" s="1"/>
  <c r="H9" i="15"/>
  <c r="I9" i="15" s="1"/>
  <c r="C39" i="15"/>
  <c r="C38" i="15"/>
  <c r="C37" i="15"/>
  <c r="C36" i="15"/>
  <c r="K36" i="15" s="1"/>
  <c r="C35" i="15"/>
  <c r="C34" i="15"/>
  <c r="C33" i="15"/>
  <c r="D17" i="15"/>
  <c r="B5" i="15" s="1"/>
  <c r="E51" i="14"/>
  <c r="C52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F29" i="14" s="1"/>
  <c r="D24" i="14"/>
  <c r="D23" i="14"/>
  <c r="D30" i="14"/>
  <c r="I9" i="7"/>
  <c r="J7" i="7"/>
  <c r="C23" i="7" s="1"/>
  <c r="C44" i="3"/>
  <c r="I44" i="3"/>
  <c r="J44" i="3" s="1"/>
  <c r="K44" i="3" s="1"/>
  <c r="F44" i="3"/>
  <c r="G44" i="3" s="1"/>
  <c r="H44" i="3" s="1"/>
  <c r="C43" i="3"/>
  <c r="F43" i="3"/>
  <c r="G43" i="3" s="1"/>
  <c r="H43" i="3" s="1"/>
  <c r="I43" i="3"/>
  <c r="J43" i="3" s="1"/>
  <c r="K43" i="3" s="1"/>
  <c r="C42" i="3"/>
  <c r="F42" i="3"/>
  <c r="G42" i="3" s="1"/>
  <c r="H42" i="3" s="1"/>
  <c r="I42" i="3"/>
  <c r="J42" i="3" s="1"/>
  <c r="K42" i="3" s="1"/>
  <c r="C41" i="3"/>
  <c r="I41" i="3"/>
  <c r="J41" i="3" s="1"/>
  <c r="K41" i="3" s="1"/>
  <c r="F41" i="3"/>
  <c r="G41" i="3" s="1"/>
  <c r="H41" i="3" s="1"/>
  <c r="D39" i="3" a="1"/>
  <c r="D39" i="3" s="1"/>
  <c r="E39" i="3" s="1"/>
  <c r="J24" i="3"/>
  <c r="C39" i="3" s="1"/>
  <c r="D38" i="3" a="1"/>
  <c r="D38" i="3" s="1"/>
  <c r="E38" i="3" s="1"/>
  <c r="J23" i="3"/>
  <c r="D37" i="3" a="1"/>
  <c r="D37" i="3" s="1"/>
  <c r="E37" i="3" s="1"/>
  <c r="J22" i="3"/>
  <c r="C37" i="3" s="1"/>
  <c r="D36" i="3" a="1"/>
  <c r="D36" i="3" s="1"/>
  <c r="E36" i="3" s="1"/>
  <c r="J21" i="3"/>
  <c r="C36" i="3" s="1"/>
  <c r="D35" i="3" a="1"/>
  <c r="D35" i="3" s="1"/>
  <c r="E35" i="3" s="1"/>
  <c r="I30" i="3"/>
  <c r="J20" i="3"/>
  <c r="C35" i="3" s="1"/>
  <c r="E30" i="3"/>
  <c r="H20" i="3"/>
  <c r="H30" i="3" s="1"/>
  <c r="I39" i="3"/>
  <c r="J39" i="3" s="1"/>
  <c r="K39" i="3" s="1"/>
  <c r="I37" i="3"/>
  <c r="J37" i="3" s="1"/>
  <c r="K37" i="3" s="1"/>
  <c r="I36" i="3"/>
  <c r="J36" i="3" s="1"/>
  <c r="K36" i="3" s="1"/>
  <c r="I35" i="3"/>
  <c r="J35" i="3" s="1"/>
  <c r="K35" i="3" s="1"/>
  <c r="D16" i="3"/>
  <c r="F35" i="3"/>
  <c r="G35" i="3" s="1"/>
  <c r="H35" i="3" s="1"/>
  <c r="F39" i="3"/>
  <c r="G39" i="3" s="1"/>
  <c r="H39" i="3" s="1"/>
  <c r="F37" i="3"/>
  <c r="G37" i="3" s="1"/>
  <c r="H37" i="3" s="1"/>
  <c r="F36" i="3"/>
  <c r="G36" i="3" s="1"/>
  <c r="H36" i="3" s="1"/>
  <c r="D15" i="3"/>
  <c r="C60" i="4"/>
  <c r="D60" i="4"/>
  <c r="E60" i="4"/>
  <c r="F60" i="4"/>
  <c r="G60" i="4"/>
  <c r="H60" i="4"/>
  <c r="I60" i="4"/>
  <c r="J60" i="4"/>
  <c r="C64" i="4"/>
  <c r="E64" i="4"/>
  <c r="E84" i="4" s="1"/>
  <c r="G64" i="4"/>
  <c r="G84" i="4" s="1"/>
  <c r="I64" i="4"/>
  <c r="K64" i="4"/>
  <c r="D68" i="4"/>
  <c r="D90" i="4" s="1"/>
  <c r="G68" i="4"/>
  <c r="G90" i="4" s="1"/>
  <c r="L68" i="4"/>
  <c r="K60" i="4"/>
  <c r="L60" i="4"/>
  <c r="D64" i="4"/>
  <c r="D84" i="4" s="1"/>
  <c r="F64" i="4"/>
  <c r="F84" i="4" s="1"/>
  <c r="H64" i="4"/>
  <c r="H84" i="4" s="1"/>
  <c r="J64" i="4"/>
  <c r="J84" i="4" s="1"/>
  <c r="L64" i="4"/>
  <c r="L84" i="4" s="1"/>
  <c r="C68" i="4"/>
  <c r="E68" i="4"/>
  <c r="E90" i="4" s="1"/>
  <c r="F68" i="4"/>
  <c r="F90" i="4" s="1"/>
  <c r="H68" i="4"/>
  <c r="H90" i="4" s="1"/>
  <c r="I68" i="4"/>
  <c r="I90" i="4" s="1"/>
  <c r="J68" i="4"/>
  <c r="J90" i="4" s="1"/>
  <c r="K68" i="4"/>
  <c r="J40" i="3"/>
  <c r="K40" i="3" s="1"/>
  <c r="G40" i="3"/>
  <c r="H40" i="3" s="1"/>
  <c r="I84" i="4" l="1"/>
  <c r="K90" i="4"/>
  <c r="L36" i="15"/>
  <c r="C47" i="15" a="1"/>
  <c r="C47" i="15" s="1"/>
  <c r="E52" i="14"/>
  <c r="C53" i="14"/>
  <c r="F30" i="14"/>
  <c r="D31" i="14"/>
  <c r="C7" i="4" a="1"/>
  <c r="C7" i="4" s="1"/>
  <c r="C43" i="6"/>
  <c r="C10" i="8"/>
  <c r="D10" i="8" s="1" a="1"/>
  <c r="D10" i="8" s="1"/>
  <c r="B6" i="2"/>
  <c r="C5" i="5" a="1"/>
  <c r="C5" i="5" s="1"/>
  <c r="C8" i="4" a="1"/>
  <c r="C8" i="4" s="1"/>
  <c r="N60" i="4"/>
  <c r="M60" i="4"/>
  <c r="M64" i="4"/>
  <c r="C84" i="4"/>
  <c r="N64" i="4"/>
  <c r="C90" i="4"/>
  <c r="M68" i="4"/>
  <c r="C74" i="4" s="1" a="1"/>
  <c r="C74" i="4" s="1"/>
  <c r="N68" i="4"/>
  <c r="D74" i="4" s="1" a="1"/>
  <c r="D74" i="4" s="1"/>
  <c r="K38" i="15"/>
  <c r="L38" i="15" s="1"/>
  <c r="K39" i="15"/>
  <c r="L39" i="15" s="1"/>
  <c r="K37" i="15"/>
  <c r="L37" i="15" s="1"/>
  <c r="K35" i="15"/>
  <c r="L35" i="15" s="1"/>
  <c r="K34" i="15"/>
  <c r="L34" i="15" s="1"/>
  <c r="K33" i="15"/>
  <c r="L33" i="15" s="1"/>
  <c r="E45" i="3"/>
  <c r="K84" i="4"/>
  <c r="L90" i="4"/>
  <c r="J9" i="15"/>
  <c r="K9" i="15" s="1"/>
  <c r="I17" i="15"/>
  <c r="J17" i="15" s="1"/>
  <c r="C38" i="3"/>
  <c r="I38" i="3"/>
  <c r="J38" i="3" s="1"/>
  <c r="K38" i="3" s="1"/>
  <c r="K45" i="3" s="1"/>
  <c r="F38" i="3"/>
  <c r="G38" i="3" s="1"/>
  <c r="H38" i="3" s="1"/>
  <c r="H45" i="3" s="1"/>
  <c r="M90" i="4" l="1"/>
  <c r="E53" i="14"/>
  <c r="C54" i="14"/>
  <c r="F31" i="14"/>
  <c r="D32" i="14"/>
  <c r="D43" i="6" a="1"/>
  <c r="D43" i="6" s="1"/>
  <c r="E43" i="6" a="1"/>
  <c r="E43" i="6" s="1"/>
  <c r="C46" i="6"/>
  <c r="D46" i="6"/>
  <c r="E46" i="6"/>
  <c r="C47" i="6"/>
  <c r="C52" i="6"/>
  <c r="D52" i="6"/>
  <c r="E52" i="6"/>
  <c r="C53" i="6"/>
  <c r="C9" i="5"/>
  <c r="C11" i="5"/>
  <c r="C20" i="5" a="1"/>
  <c r="C20" i="5" s="1"/>
  <c r="C21" i="5" s="1"/>
  <c r="C10" i="5"/>
  <c r="D10" i="5" s="1"/>
  <c r="D72" i="4" a="1"/>
  <c r="D72" i="4" s="1"/>
  <c r="C73" i="8" a="1"/>
  <c r="C73" i="8" s="1"/>
  <c r="C72" i="8" a="1"/>
  <c r="C72" i="8" s="1"/>
  <c r="C72" i="4" a="1"/>
  <c r="C72" i="4" s="1"/>
  <c r="E74" i="4" s="1"/>
  <c r="C73" i="4" a="1"/>
  <c r="C73" i="4" s="1"/>
  <c r="D72" i="8" a="1"/>
  <c r="D72" i="8" s="1"/>
  <c r="E72" i="8" s="1"/>
  <c r="D73" i="8" a="1"/>
  <c r="D73" i="8" s="1"/>
  <c r="E73" i="8" s="1"/>
  <c r="D73" i="4" a="1"/>
  <c r="D73" i="4" s="1"/>
  <c r="L49" i="3" a="1"/>
  <c r="L49" i="3" s="1"/>
  <c r="K49" i="3" a="1"/>
  <c r="K49" i="3" s="1"/>
  <c r="H49" i="3" a="1"/>
  <c r="H49" i="3" s="1"/>
  <c r="F49" i="3" a="1"/>
  <c r="F49" i="3" s="1"/>
  <c r="C49" i="3" a="1"/>
  <c r="C49" i="3" s="1"/>
  <c r="J49" i="3" a="1"/>
  <c r="J49" i="3" s="1"/>
  <c r="I49" i="3" a="1"/>
  <c r="I49" i="3" s="1"/>
  <c r="G49" i="3" a="1"/>
  <c r="G49" i="3" s="1"/>
  <c r="E49" i="3" a="1"/>
  <c r="E49" i="3" s="1"/>
  <c r="D49" i="3" a="1"/>
  <c r="D49" i="3" s="1"/>
  <c r="J50" i="3" a="1"/>
  <c r="J50" i="3" s="1"/>
  <c r="J13" i="4" s="1"/>
  <c r="H20" i="2" s="1" a="1"/>
  <c r="H20" i="2" s="1"/>
  <c r="H50" i="3" a="1"/>
  <c r="H50" i="3" s="1"/>
  <c r="H13" i="4" s="1"/>
  <c r="H18" i="2" s="1" a="1"/>
  <c r="H18" i="2" s="1"/>
  <c r="F50" i="3" a="1"/>
  <c r="F50" i="3" s="1"/>
  <c r="F13" i="4" s="1"/>
  <c r="H16" i="2" s="1" a="1"/>
  <c r="H16" i="2" s="1"/>
  <c r="D50" i="3" a="1"/>
  <c r="D50" i="3" s="1"/>
  <c r="D13" i="4" s="1"/>
  <c r="L50" i="3" a="1"/>
  <c r="L50" i="3" s="1"/>
  <c r="L13" i="4" s="1"/>
  <c r="H22" i="2" s="1" a="1"/>
  <c r="H22" i="2" s="1"/>
  <c r="K50" i="3" a="1"/>
  <c r="K50" i="3" s="1"/>
  <c r="K13" i="4" s="1"/>
  <c r="H21" i="2" s="1" a="1"/>
  <c r="H21" i="2" s="1"/>
  <c r="I50" i="3" a="1"/>
  <c r="I50" i="3" s="1"/>
  <c r="I13" i="4" s="1"/>
  <c r="H19" i="2" s="1" a="1"/>
  <c r="H19" i="2" s="1"/>
  <c r="G50" i="3" a="1"/>
  <c r="G50" i="3" s="1"/>
  <c r="G13" i="4" s="1"/>
  <c r="H17" i="2" s="1" a="1"/>
  <c r="H17" i="2" s="1"/>
  <c r="E50" i="3" a="1"/>
  <c r="E50" i="3" s="1"/>
  <c r="E13" i="4" s="1"/>
  <c r="H15" i="2" s="1" a="1"/>
  <c r="H15" i="2" s="1"/>
  <c r="C50" i="3" a="1"/>
  <c r="C50" i="3" s="1"/>
  <c r="L9" i="15"/>
  <c r="K17" i="15"/>
  <c r="L17" i="15" s="1"/>
  <c r="C26" i="15"/>
  <c r="K26" i="15" s="1"/>
  <c r="C30" i="15"/>
  <c r="K30" i="15" s="1"/>
  <c r="L30" i="15" s="1"/>
  <c r="C27" i="15"/>
  <c r="K27" i="15" s="1"/>
  <c r="L27" i="15" s="1"/>
  <c r="C22" i="15"/>
  <c r="K22" i="15" s="1"/>
  <c r="L22" i="15" s="1"/>
  <c r="C25" i="15"/>
  <c r="K25" i="15" s="1"/>
  <c r="L25" i="15" s="1"/>
  <c r="C23" i="15"/>
  <c r="K23" i="15" s="1"/>
  <c r="L23" i="15" s="1"/>
  <c r="C29" i="15"/>
  <c r="K29" i="15" s="1"/>
  <c r="L29" i="15" s="1"/>
  <c r="C21" i="15"/>
  <c r="K21" i="15" s="1"/>
  <c r="C24" i="15"/>
  <c r="K24" i="15" s="1"/>
  <c r="L24" i="15" s="1"/>
  <c r="C28" i="15"/>
  <c r="K28" i="15" s="1"/>
  <c r="L28" i="15" s="1"/>
  <c r="C31" i="15"/>
  <c r="K31" i="15" s="1"/>
  <c r="C32" i="15"/>
  <c r="K32" i="15" s="1"/>
  <c r="L32" i="15" s="1"/>
  <c r="C40" i="15"/>
  <c r="K40" i="15" s="1"/>
  <c r="L40" i="15" s="1"/>
  <c r="C41" i="15"/>
  <c r="K41" i="15" s="1"/>
  <c r="F51" i="3" a="1"/>
  <c r="F51" i="3" s="1"/>
  <c r="F14" i="4" s="1"/>
  <c r="I16" i="2" s="1" a="1"/>
  <c r="I16" i="2" s="1"/>
  <c r="L51" i="3" a="1"/>
  <c r="L51" i="3" s="1"/>
  <c r="L14" i="4" s="1"/>
  <c r="I22" i="2" s="1" a="1"/>
  <c r="I22" i="2" s="1"/>
  <c r="K51" i="3" a="1"/>
  <c r="K51" i="3" s="1"/>
  <c r="K14" i="4" s="1"/>
  <c r="I21" i="2" s="1" a="1"/>
  <c r="I21" i="2" s="1"/>
  <c r="J51" i="3" a="1"/>
  <c r="J51" i="3" s="1"/>
  <c r="J14" i="4" s="1"/>
  <c r="I20" i="2" s="1" a="1"/>
  <c r="I20" i="2" s="1"/>
  <c r="I51" i="3" a="1"/>
  <c r="I51" i="3" s="1"/>
  <c r="I14" i="4" s="1"/>
  <c r="I19" i="2" s="1" a="1"/>
  <c r="I19" i="2" s="1"/>
  <c r="H51" i="3" a="1"/>
  <c r="H51" i="3" s="1"/>
  <c r="H14" i="4" s="1"/>
  <c r="I18" i="2" s="1" a="1"/>
  <c r="I18" i="2" s="1"/>
  <c r="G51" i="3" a="1"/>
  <c r="G51" i="3" s="1"/>
  <c r="G14" i="4" s="1"/>
  <c r="I17" i="2" s="1" a="1"/>
  <c r="I17" i="2" s="1"/>
  <c r="E51" i="3" a="1"/>
  <c r="E51" i="3" s="1"/>
  <c r="E14" i="4" s="1"/>
  <c r="I15" i="2" s="1" a="1"/>
  <c r="I15" i="2" s="1"/>
  <c r="D51" i="3" a="1"/>
  <c r="D51" i="3" s="1"/>
  <c r="D14" i="4" s="1"/>
  <c r="C51" i="3" a="1"/>
  <c r="C51" i="3" s="1"/>
  <c r="M84" i="4"/>
  <c r="E73" i="4" l="1"/>
  <c r="E54" i="14"/>
  <c r="C55" i="14"/>
  <c r="F32" i="14"/>
  <c r="D33" i="14"/>
  <c r="D47" i="6"/>
  <c r="D53" i="6"/>
  <c r="E47" i="6"/>
  <c r="F47" i="6" s="1"/>
  <c r="E53" i="6"/>
  <c r="F53" i="6" s="1"/>
  <c r="F46" i="6"/>
  <c r="C48" i="6" a="1"/>
  <c r="C48" i="6" s="1"/>
  <c r="C49" i="6" s="1"/>
  <c r="F49" i="6" s="1"/>
  <c r="D48" i="6" a="1"/>
  <c r="D48" i="6" s="1"/>
  <c r="D85" i="8" s="1" a="1"/>
  <c r="D85" i="8" s="1"/>
  <c r="D49" i="6"/>
  <c r="E48" i="6" a="1"/>
  <c r="E48" i="6" s="1"/>
  <c r="E85" i="8" s="1" a="1"/>
  <c r="E85" i="8" s="1"/>
  <c r="E49" i="6"/>
  <c r="F52" i="6"/>
  <c r="C54" i="6" a="1"/>
  <c r="C54" i="6" s="1"/>
  <c r="C55" i="6"/>
  <c r="D54" i="6" a="1"/>
  <c r="D54" i="6" s="1"/>
  <c r="D55" i="6"/>
  <c r="E54" i="6" a="1"/>
  <c r="E54" i="6" s="1"/>
  <c r="E55" i="6"/>
  <c r="D27" i="5"/>
  <c r="D26" i="5"/>
  <c r="E10" i="5"/>
  <c r="E26" i="5" s="1"/>
  <c r="L55" i="3"/>
  <c r="L56" i="3"/>
  <c r="L12" i="4"/>
  <c r="K12" i="4"/>
  <c r="K55" i="3"/>
  <c r="K56" i="3"/>
  <c r="H55" i="3"/>
  <c r="H56" i="3"/>
  <c r="H12" i="4"/>
  <c r="F55" i="3"/>
  <c r="F56" i="3"/>
  <c r="F12" i="4"/>
  <c r="M49" i="3"/>
  <c r="C55" i="3"/>
  <c r="C12" i="4"/>
  <c r="C56" i="3"/>
  <c r="J55" i="3"/>
  <c r="J56" i="3"/>
  <c r="J12" i="4"/>
  <c r="I55" i="3"/>
  <c r="I56" i="3"/>
  <c r="I12" i="4"/>
  <c r="G55" i="3"/>
  <c r="G56" i="3"/>
  <c r="G12" i="4"/>
  <c r="E55" i="3"/>
  <c r="E12" i="4"/>
  <c r="E56" i="3"/>
  <c r="D55" i="3"/>
  <c r="D56" i="3"/>
  <c r="D12" i="4"/>
  <c r="E13" i="7" a="1"/>
  <c r="E13" i="7" s="1"/>
  <c r="H14" i="2" a="1"/>
  <c r="H14" i="2" s="1"/>
  <c r="M50" i="3"/>
  <c r="C13" i="4"/>
  <c r="E58" i="15"/>
  <c r="D58" i="15"/>
  <c r="C45" i="15" a="1"/>
  <c r="C45" i="15" s="1"/>
  <c r="L26" i="15"/>
  <c r="E62" i="15"/>
  <c r="D62" i="15"/>
  <c r="E57" i="15"/>
  <c r="D57" i="15"/>
  <c r="C53" i="15"/>
  <c r="C52" i="15"/>
  <c r="C51" i="15"/>
  <c r="C50" i="15"/>
  <c r="C44" i="15" a="1"/>
  <c r="C44" i="15" s="1"/>
  <c r="L21" i="15"/>
  <c r="E59" i="15"/>
  <c r="C46" i="15" a="1"/>
  <c r="C46" i="15" s="1"/>
  <c r="L31" i="15"/>
  <c r="E60" i="15"/>
  <c r="D60" i="15"/>
  <c r="C48" i="15" a="1"/>
  <c r="C48" i="15" s="1"/>
  <c r="L41" i="15"/>
  <c r="F13" i="7" a="1"/>
  <c r="F13" i="7" s="1"/>
  <c r="I14" i="2" a="1"/>
  <c r="I14" i="2" s="1"/>
  <c r="M51" i="3"/>
  <c r="C14" i="4"/>
  <c r="D11" i="5"/>
  <c r="E55" i="14" l="1"/>
  <c r="C56" i="14"/>
  <c r="F33" i="14"/>
  <c r="D34" i="14"/>
  <c r="F48" i="6"/>
  <c r="C86" i="8" s="1" a="1"/>
  <c r="C86" i="8" s="1"/>
  <c r="C85" i="8" a="1"/>
  <c r="C85" i="8" s="1"/>
  <c r="F10" i="5"/>
  <c r="L18" i="4"/>
  <c r="L19" i="4"/>
  <c r="G22" i="2" a="1"/>
  <c r="G22" i="2" s="1"/>
  <c r="G21" i="2" a="1"/>
  <c r="G21" i="2" s="1"/>
  <c r="K19" i="4"/>
  <c r="K18" i="4"/>
  <c r="H18" i="4"/>
  <c r="H19" i="4"/>
  <c r="G18" i="2" a="1"/>
  <c r="G18" i="2" s="1"/>
  <c r="F18" i="4"/>
  <c r="F19" i="4"/>
  <c r="G16" i="2" a="1"/>
  <c r="G16" i="2" s="1"/>
  <c r="M12" i="4"/>
  <c r="C13" i="7" a="1"/>
  <c r="C13" i="7" s="1"/>
  <c r="G13" i="7" s="1"/>
  <c r="G13" i="2" a="1"/>
  <c r="G13" i="2" s="1"/>
  <c r="N12" i="4"/>
  <c r="C39" i="4" s="1" a="1"/>
  <c r="C39" i="4" s="1"/>
  <c r="C18" i="4"/>
  <c r="C19" i="4"/>
  <c r="J18" i="4"/>
  <c r="J19" i="4"/>
  <c r="G20" i="2" a="1"/>
  <c r="G20" i="2" s="1"/>
  <c r="I19" i="4"/>
  <c r="I18" i="4"/>
  <c r="G19" i="2" a="1"/>
  <c r="G19" i="2" s="1"/>
  <c r="G18" i="4"/>
  <c r="G17" i="2" a="1"/>
  <c r="G17" i="2" s="1"/>
  <c r="G19" i="4"/>
  <c r="G15" i="2" a="1"/>
  <c r="G15" i="2" s="1"/>
  <c r="E18" i="4"/>
  <c r="E19" i="4"/>
  <c r="D9" i="5"/>
  <c r="D19" i="4"/>
  <c r="D18" i="4"/>
  <c r="D13" i="7" a="1"/>
  <c r="D13" i="7" s="1"/>
  <c r="G14" i="2" a="1"/>
  <c r="G14" i="2" s="1"/>
  <c r="M13" i="4"/>
  <c r="H13" i="2" a="1"/>
  <c r="H13" i="2" s="1"/>
  <c r="N13" i="4"/>
  <c r="D39" i="4" s="1" a="1"/>
  <c r="D39" i="4" s="1"/>
  <c r="H13" i="7"/>
  <c r="N14" i="4"/>
  <c r="E39" i="4" s="1" a="1"/>
  <c r="E39" i="4" s="1"/>
  <c r="I13" i="2" a="1"/>
  <c r="I13" i="2" s="1"/>
  <c r="M14" i="4"/>
  <c r="D16" i="5"/>
  <c r="E11" i="5"/>
  <c r="F54" i="6"/>
  <c r="F55" i="6"/>
  <c r="M55" i="3"/>
  <c r="D58" i="3" s="1"/>
  <c r="M56" i="3"/>
  <c r="D59" i="3" s="1"/>
  <c r="E56" i="14" l="1"/>
  <c r="C57" i="14"/>
  <c r="F34" i="14"/>
  <c r="D35" i="14"/>
  <c r="F26" i="5"/>
  <c r="G10" i="5"/>
  <c r="L83" i="4" a="1"/>
  <c r="L83" i="4" s="1"/>
  <c r="L23" i="4" a="1"/>
  <c r="L23" i="4" s="1"/>
  <c r="L82" i="4" s="1" a="1"/>
  <c r="L82" i="4" s="1"/>
  <c r="L85" i="4" s="1"/>
  <c r="L28" i="4"/>
  <c r="L24" i="4" a="1"/>
  <c r="L24" i="4" s="1"/>
  <c r="L88" i="4" s="1" a="1"/>
  <c r="L88" i="4" s="1"/>
  <c r="L91" i="4" s="1"/>
  <c r="L89" i="4" a="1"/>
  <c r="L89" i="4" s="1"/>
  <c r="L29" i="4"/>
  <c r="K24" i="4" a="1"/>
  <c r="K24" i="4" s="1"/>
  <c r="K88" i="4" s="1" a="1"/>
  <c r="K88" i="4" s="1"/>
  <c r="K91" i="4" s="1"/>
  <c r="K29" i="4"/>
  <c r="K89" i="4" a="1"/>
  <c r="K89" i="4" s="1"/>
  <c r="K83" i="4" a="1"/>
  <c r="K83" i="4" s="1"/>
  <c r="K23" i="4" a="1"/>
  <c r="K23" i="4" s="1"/>
  <c r="K82" i="4" s="1" a="1"/>
  <c r="K82" i="4" s="1"/>
  <c r="K85" i="4" s="1"/>
  <c r="K28" i="4"/>
  <c r="H23" i="4" a="1"/>
  <c r="H23" i="4" s="1"/>
  <c r="H82" i="4" s="1" a="1"/>
  <c r="H82" i="4" s="1"/>
  <c r="H85" i="4" s="1"/>
  <c r="H28" i="4"/>
  <c r="H83" i="4" a="1"/>
  <c r="H83" i="4" s="1"/>
  <c r="H24" i="4" a="1"/>
  <c r="H24" i="4" s="1"/>
  <c r="H88" i="4" s="1" a="1"/>
  <c r="H88" i="4" s="1"/>
  <c r="H89" i="4" a="1"/>
  <c r="H89" i="4" s="1"/>
  <c r="H29" i="4"/>
  <c r="F83" i="4" a="1"/>
  <c r="F83" i="4" s="1"/>
  <c r="F23" i="4" a="1"/>
  <c r="F23" i="4" s="1"/>
  <c r="F82" i="4" s="1" a="1"/>
  <c r="F82" i="4" s="1"/>
  <c r="F85" i="4" s="1"/>
  <c r="F28" i="4"/>
  <c r="F24" i="4" a="1"/>
  <c r="F24" i="4" s="1"/>
  <c r="F88" i="4" s="1" a="1"/>
  <c r="F88" i="4" s="1"/>
  <c r="F89" i="4" a="1"/>
  <c r="F89" i="4" s="1"/>
  <c r="F29" i="4"/>
  <c r="C27" i="6"/>
  <c r="C28" i="6"/>
  <c r="C29" i="6"/>
  <c r="C11" i="8" a="1"/>
  <c r="C11" i="8" s="1"/>
  <c r="C13" i="2" a="1"/>
  <c r="C13" i="2" s="1"/>
  <c r="C38" i="4" a="1"/>
  <c r="C38" i="4" s="1"/>
  <c r="C14" i="7"/>
  <c r="C15" i="7"/>
  <c r="N18" i="4"/>
  <c r="C23" i="4" a="1"/>
  <c r="C23" i="4" s="1"/>
  <c r="C28" i="4"/>
  <c r="C33" i="4" a="1"/>
  <c r="C33" i="4" s="1"/>
  <c r="C83" i="4" a="1"/>
  <c r="C83" i="4" s="1"/>
  <c r="M18" i="4"/>
  <c r="C24" i="4" a="1"/>
  <c r="C24" i="4" s="1"/>
  <c r="C89" i="4" a="1"/>
  <c r="C89" i="4" s="1"/>
  <c r="N19" i="4"/>
  <c r="M19" i="4"/>
  <c r="C29" i="4"/>
  <c r="C34" i="4" a="1"/>
  <c r="C34" i="4" s="1"/>
  <c r="J23" i="4" a="1"/>
  <c r="J23" i="4" s="1"/>
  <c r="J82" i="4" s="1" a="1"/>
  <c r="J82" i="4" s="1"/>
  <c r="J85" i="4" s="1"/>
  <c r="J28" i="4"/>
  <c r="J83" i="4" a="1"/>
  <c r="J83" i="4" s="1"/>
  <c r="J24" i="4" a="1"/>
  <c r="J24" i="4" s="1"/>
  <c r="J88" i="4" s="1" a="1"/>
  <c r="J88" i="4" s="1"/>
  <c r="J91" i="4" s="1"/>
  <c r="J89" i="4" a="1"/>
  <c r="J89" i="4" s="1"/>
  <c r="J29" i="4"/>
  <c r="I29" i="4"/>
  <c r="I89" i="4" a="1"/>
  <c r="I89" i="4" s="1"/>
  <c r="I24" i="4" a="1"/>
  <c r="I24" i="4" s="1"/>
  <c r="I88" i="4" s="1" a="1"/>
  <c r="I88" i="4" s="1"/>
  <c r="I83" i="4" a="1"/>
  <c r="I83" i="4" s="1"/>
  <c r="I23" i="4" a="1"/>
  <c r="I23" i="4" s="1"/>
  <c r="I82" i="4" s="1" a="1"/>
  <c r="I82" i="4" s="1"/>
  <c r="I85" i="4" s="1"/>
  <c r="I28" i="4"/>
  <c r="G23" i="4" a="1"/>
  <c r="G23" i="4" s="1"/>
  <c r="G82" i="4" s="1" a="1"/>
  <c r="G82" i="4" s="1"/>
  <c r="G28" i="4"/>
  <c r="G83" i="4" a="1"/>
  <c r="G83" i="4" s="1"/>
  <c r="G29" i="4"/>
  <c r="G24" i="4" a="1"/>
  <c r="G24" i="4" s="1"/>
  <c r="G88" i="4" s="1" a="1"/>
  <c r="G88" i="4" s="1"/>
  <c r="G89" i="4" a="1"/>
  <c r="G89" i="4" s="1"/>
  <c r="E23" i="4" a="1"/>
  <c r="E23" i="4" s="1"/>
  <c r="E82" i="4" s="1" a="1"/>
  <c r="E82" i="4" s="1"/>
  <c r="E28" i="4"/>
  <c r="E83" i="4" a="1"/>
  <c r="E83" i="4" s="1"/>
  <c r="E24" i="4" a="1"/>
  <c r="E24" i="4" s="1"/>
  <c r="E88" i="4" s="1" a="1"/>
  <c r="E88" i="4" s="1"/>
  <c r="E29" i="4"/>
  <c r="E89" i="4" a="1"/>
  <c r="E89" i="4" s="1"/>
  <c r="D15" i="5"/>
  <c r="D25" i="5"/>
  <c r="E9" i="5"/>
  <c r="D29" i="4"/>
  <c r="D24" i="4" a="1"/>
  <c r="D24" i="4" s="1"/>
  <c r="D88" i="4" s="1" a="1"/>
  <c r="D88" i="4" s="1"/>
  <c r="D91" i="4" s="1"/>
  <c r="D89" i="4" a="1"/>
  <c r="D89" i="4" s="1"/>
  <c r="D23" i="4" a="1"/>
  <c r="D23" i="4" s="1"/>
  <c r="D82" i="4" s="1" a="1"/>
  <c r="D82" i="4" s="1"/>
  <c r="D83" i="4" a="1"/>
  <c r="D83" i="4" s="1"/>
  <c r="D28" i="4"/>
  <c r="D11" i="8" a="1"/>
  <c r="D11" i="8" s="1"/>
  <c r="C14" i="2" a="1"/>
  <c r="C14" i="2" s="1"/>
  <c r="D38" i="4" a="1"/>
  <c r="D38" i="4" s="1"/>
  <c r="E38" i="4" a="1"/>
  <c r="E38" i="4" s="1"/>
  <c r="C15" i="2" a="1"/>
  <c r="C15" i="2" s="1"/>
  <c r="E27" i="5"/>
  <c r="F11" i="5"/>
  <c r="E16" i="5"/>
  <c r="E57" i="14" l="1"/>
  <c r="C58" i="14"/>
  <c r="F35" i="14"/>
  <c r="D36" i="14"/>
  <c r="G26" i="5"/>
  <c r="H10" i="5"/>
  <c r="F14" i="7" a="1"/>
  <c r="F14" i="7" s="1"/>
  <c r="F15" i="7" s="1"/>
  <c r="E14" i="7" a="1"/>
  <c r="E14" i="7" s="1"/>
  <c r="E15" i="7" s="1"/>
  <c r="D14" i="7" a="1"/>
  <c r="D14" i="7" s="1"/>
  <c r="D15" i="7" s="1"/>
  <c r="C19" i="7" s="1"/>
  <c r="C20" i="7" s="1"/>
  <c r="F39" i="4" a="1"/>
  <c r="F39" i="4" s="1"/>
  <c r="C47" i="4" a="1"/>
  <c r="C47" i="4" s="1"/>
  <c r="L26" i="2" a="1"/>
  <c r="L26" i="2" s="1"/>
  <c r="E6" i="2" a="1"/>
  <c r="E6" i="2" s="1"/>
  <c r="D39" i="2" a="1"/>
  <c r="D39" i="2" s="1"/>
  <c r="N23" i="4"/>
  <c r="M23" i="4"/>
  <c r="C82" i="4" a="1"/>
  <c r="C82" i="4" s="1"/>
  <c r="M28" i="4"/>
  <c r="N28" i="4"/>
  <c r="D33" i="4"/>
  <c r="C26" i="2" a="1"/>
  <c r="C26" i="2" s="1"/>
  <c r="C30" i="6" a="1"/>
  <c r="C30" i="6" s="1"/>
  <c r="E11" i="8" a="1"/>
  <c r="E11" i="8" s="1"/>
  <c r="D40" i="2" a="1"/>
  <c r="D40" i="2" s="1"/>
  <c r="H6" i="2" a="1"/>
  <c r="H6" i="2" s="1"/>
  <c r="D14" i="2" a="1"/>
  <c r="D14" i="2" s="1"/>
  <c r="F38" i="4" a="1"/>
  <c r="F38" i="4" s="1"/>
  <c r="D42" i="4" s="1"/>
  <c r="C15" i="6" a="1"/>
  <c r="C15" i="6" s="1"/>
  <c r="C21" i="6"/>
  <c r="E21" i="6"/>
  <c r="F21" i="6" s="1"/>
  <c r="L35" i="2" s="1"/>
  <c r="M24" i="4"/>
  <c r="N24" i="4"/>
  <c r="C88" i="4" a="1"/>
  <c r="C88" i="4" s="1"/>
  <c r="M26" i="2" a="1"/>
  <c r="M26" i="2" s="1"/>
  <c r="G39" i="4" a="1"/>
  <c r="G39" i="4" s="1"/>
  <c r="G38" i="4" a="1"/>
  <c r="G38" i="4" s="1"/>
  <c r="E42" i="4" s="1"/>
  <c r="C16" i="6" a="1"/>
  <c r="C16" i="6" s="1"/>
  <c r="D15" i="2" a="1"/>
  <c r="D15" i="2" s="1"/>
  <c r="M29" i="4"/>
  <c r="N29" i="4"/>
  <c r="D34" i="4"/>
  <c r="D26" i="2" a="1"/>
  <c r="D26" i="2" s="1"/>
  <c r="E15" i="5"/>
  <c r="E25" i="5"/>
  <c r="F9" i="5"/>
  <c r="F16" i="5" s="1"/>
  <c r="F27" i="5"/>
  <c r="G11" i="5"/>
  <c r="H91" i="4"/>
  <c r="F91" i="4"/>
  <c r="M83" i="4"/>
  <c r="M89" i="4"/>
  <c r="I91" i="4"/>
  <c r="G85" i="4"/>
  <c r="G91" i="4"/>
  <c r="E85" i="4"/>
  <c r="E91" i="4"/>
  <c r="D85" i="4"/>
  <c r="E58" i="14" l="1"/>
  <c r="C59" i="14"/>
  <c r="F36" i="14"/>
  <c r="D37" i="14"/>
  <c r="H26" i="5"/>
  <c r="I10" i="5"/>
  <c r="E19" i="7"/>
  <c r="E20" i="7" s="1"/>
  <c r="H15" i="7"/>
  <c r="D19" i="7"/>
  <c r="D20" i="7" s="1"/>
  <c r="G15" i="7"/>
  <c r="D12" i="8" a="1"/>
  <c r="D12" i="8" s="1"/>
  <c r="E12" i="8" s="1" a="1"/>
  <c r="E12" i="8" s="1"/>
  <c r="L27" i="2" a="1"/>
  <c r="L27" i="2" s="1"/>
  <c r="B9" i="2" a="1"/>
  <c r="B9" i="2" s="1"/>
  <c r="D40" i="4" a="1"/>
  <c r="D40" i="4" s="1"/>
  <c r="F40" i="4" s="1" a="1"/>
  <c r="F40" i="4" s="1"/>
  <c r="C48" i="4" a="1"/>
  <c r="C48" i="4" s="1"/>
  <c r="M82" i="4"/>
  <c r="C85" i="4"/>
  <c r="D41" i="4" a="1"/>
  <c r="D41" i="4" s="1"/>
  <c r="F41" i="4" s="1" a="1"/>
  <c r="F41" i="4" s="1"/>
  <c r="C49" i="4" a="1"/>
  <c r="C49" i="4" s="1"/>
  <c r="D13" i="8" a="1"/>
  <c r="D13" i="8" s="1"/>
  <c r="E13" i="8" s="1" a="1"/>
  <c r="E13" i="8" s="1"/>
  <c r="L28" i="2" a="1"/>
  <c r="L28" i="2" s="1"/>
  <c r="E9" i="2" a="1"/>
  <c r="E9" i="2" s="1"/>
  <c r="E33" i="4"/>
  <c r="C27" i="2" a="1"/>
  <c r="C27" i="2" s="1"/>
  <c r="F42" i="4" a="1"/>
  <c r="F42" i="4" s="1"/>
  <c r="C50" i="4" a="1"/>
  <c r="C50" i="4" s="1"/>
  <c r="D15" i="8" a="1"/>
  <c r="D15" i="8" s="1"/>
  <c r="E15" i="8" s="1" a="1"/>
  <c r="E15" i="8" s="1"/>
  <c r="L30" i="2" a="1"/>
  <c r="L30" i="2" s="1"/>
  <c r="K6" i="2" a="1"/>
  <c r="K6" i="2" s="1"/>
  <c r="D41" i="2" a="1"/>
  <c r="D41" i="2" s="1"/>
  <c r="D15" i="6"/>
  <c r="E15" i="6"/>
  <c r="E40" i="4" a="1"/>
  <c r="E40" i="4" s="1"/>
  <c r="G40" i="4" s="1" a="1"/>
  <c r="G40" i="4" s="1"/>
  <c r="M27" i="2" a="1"/>
  <c r="M27" i="2" s="1"/>
  <c r="C91" i="4"/>
  <c r="M88" i="4"/>
  <c r="G42" i="4" a="1"/>
  <c r="G42" i="4" s="1"/>
  <c r="M30" i="2" a="1"/>
  <c r="M30" i="2" s="1"/>
  <c r="D16" i="6"/>
  <c r="E16" i="6"/>
  <c r="E41" i="4" a="1"/>
  <c r="E41" i="4" s="1"/>
  <c r="G41" i="4" s="1" a="1"/>
  <c r="G41" i="4" s="1"/>
  <c r="M28" i="2" a="1"/>
  <c r="M28" i="2" s="1"/>
  <c r="E34" i="4"/>
  <c r="D27" i="2" a="1"/>
  <c r="D27" i="2" s="1"/>
  <c r="F15" i="5"/>
  <c r="F25" i="5"/>
  <c r="G9" i="5"/>
  <c r="G27" i="5"/>
  <c r="H11" i="5"/>
  <c r="G16" i="5"/>
  <c r="E59" i="14" l="1"/>
  <c r="C60" i="14"/>
  <c r="F37" i="14"/>
  <c r="D38" i="14"/>
  <c r="I26" i="5"/>
  <c r="J10" i="5"/>
  <c r="N85" i="4"/>
  <c r="M85" i="4"/>
  <c r="F33" i="4"/>
  <c r="C28" i="2" a="1"/>
  <c r="C28" i="2" s="1"/>
  <c r="F15" i="6"/>
  <c r="G15" i="6"/>
  <c r="C22" i="6" s="1" a="1"/>
  <c r="C22" i="6" s="1"/>
  <c r="H15" i="6"/>
  <c r="E22" i="6" s="1" a="1"/>
  <c r="E22" i="6" s="1"/>
  <c r="M91" i="4"/>
  <c r="N91" i="4"/>
  <c r="F16" i="6"/>
  <c r="M29" i="2" s="1"/>
  <c r="G16" i="6"/>
  <c r="H16" i="6"/>
  <c r="F34" i="4"/>
  <c r="D28" i="2" a="1"/>
  <c r="D28" i="2" s="1"/>
  <c r="G15" i="5"/>
  <c r="G25" i="5"/>
  <c r="H9" i="5"/>
  <c r="H27" i="5"/>
  <c r="I11" i="5"/>
  <c r="H16" i="5"/>
  <c r="E60" i="14" l="1"/>
  <c r="C61" i="14"/>
  <c r="F38" i="14"/>
  <c r="D39" i="14"/>
  <c r="J26" i="5"/>
  <c r="K10" i="5"/>
  <c r="D96" i="4" a="1"/>
  <c r="D96" i="4" s="1"/>
  <c r="E96" i="4" s="1"/>
  <c r="D78" i="8" a="1"/>
  <c r="D78" i="8" s="1"/>
  <c r="E78" i="8" s="1" a="1"/>
  <c r="E78" i="8" s="1"/>
  <c r="C78" i="8" a="1"/>
  <c r="C78" i="8" s="1"/>
  <c r="C96" i="4" a="1"/>
  <c r="C96" i="4" s="1"/>
  <c r="G33" i="4"/>
  <c r="C29" i="2" a="1"/>
  <c r="C29" i="2" s="1"/>
  <c r="D20" i="6" a="1"/>
  <c r="D20" i="6" s="1"/>
  <c r="D21" i="6" a="1"/>
  <c r="D21" i="6" s="1"/>
  <c r="D22" i="6" a="1"/>
  <c r="D22" i="6" s="1"/>
  <c r="D14" i="8"/>
  <c r="E14" i="8" s="1" a="1"/>
  <c r="E14" i="8" s="1"/>
  <c r="H9" i="2"/>
  <c r="L29" i="2"/>
  <c r="D42" i="2"/>
  <c r="C97" i="4" a="1"/>
  <c r="C97" i="4" s="1"/>
  <c r="C79" i="8" a="1"/>
  <c r="C79" i="8" s="1"/>
  <c r="D97" i="4" a="1"/>
  <c r="D97" i="4" s="1"/>
  <c r="E97" i="4" s="1"/>
  <c r="D79" i="8" a="1"/>
  <c r="D79" i="8" s="1"/>
  <c r="E79" i="8" s="1" a="1"/>
  <c r="E79" i="8" s="1"/>
  <c r="G34" i="4"/>
  <c r="D29" i="2" a="1"/>
  <c r="D29" i="2" s="1"/>
  <c r="H15" i="5"/>
  <c r="H25" i="5"/>
  <c r="I9" i="5"/>
  <c r="I27" i="5"/>
  <c r="I16" i="5"/>
  <c r="J11" i="5"/>
  <c r="F22" i="6"/>
  <c r="L34" i="2" s="1"/>
  <c r="E61" i="14" l="1"/>
  <c r="C62" i="14"/>
  <c r="F39" i="14"/>
  <c r="D40" i="14"/>
  <c r="K26" i="5"/>
  <c r="L10" i="5"/>
  <c r="H33" i="4"/>
  <c r="C30" i="2" a="1"/>
  <c r="C30" i="2" s="1"/>
  <c r="H34" i="4"/>
  <c r="D30" i="2" a="1"/>
  <c r="D30" i="2" s="1"/>
  <c r="I15" i="5"/>
  <c r="I25" i="5"/>
  <c r="J9" i="5"/>
  <c r="J27" i="5"/>
  <c r="K11" i="5"/>
  <c r="J16" i="5"/>
  <c r="E62" i="14" l="1"/>
  <c r="C63" i="14"/>
  <c r="F40" i="14"/>
  <c r="D41" i="14"/>
  <c r="L26" i="5"/>
  <c r="M10" i="5"/>
  <c r="I33" i="4"/>
  <c r="C31" i="2" a="1"/>
  <c r="C31" i="2" s="1"/>
  <c r="I34" i="4"/>
  <c r="D31" i="2" a="1"/>
  <c r="D31" i="2" s="1"/>
  <c r="J15" i="5"/>
  <c r="J25" i="5"/>
  <c r="K9" i="5"/>
  <c r="K27" i="5"/>
  <c r="K16" i="5"/>
  <c r="L11" i="5"/>
  <c r="E63" i="14" l="1"/>
  <c r="C64" i="14"/>
  <c r="F41" i="14"/>
  <c r="D42" i="14"/>
  <c r="M26" i="5"/>
  <c r="D32" i="5" s="1" a="1"/>
  <c r="D32" i="5" s="1"/>
  <c r="G27" i="2" a="1"/>
  <c r="G27" i="2" s="1"/>
  <c r="D31" i="5" a="1"/>
  <c r="D31" i="5" s="1"/>
  <c r="J33" i="4"/>
  <c r="C32" i="2" a="1"/>
  <c r="C32" i="2" s="1"/>
  <c r="J34" i="4"/>
  <c r="D32" i="2" a="1"/>
  <c r="D32" i="2" s="1"/>
  <c r="K15" i="5"/>
  <c r="K25" i="5"/>
  <c r="L9" i="5"/>
  <c r="L27" i="5"/>
  <c r="M11" i="5"/>
  <c r="L16" i="5"/>
  <c r="E64" i="14" l="1"/>
  <c r="C65" i="14"/>
  <c r="F42" i="14"/>
  <c r="D43" i="14"/>
  <c r="D33" i="5"/>
  <c r="K33" i="4"/>
  <c r="C33" i="2" a="1"/>
  <c r="C33" i="2" s="1"/>
  <c r="K34" i="4"/>
  <c r="D33" i="2" a="1"/>
  <c r="D33" i="2" s="1"/>
  <c r="L15" i="5"/>
  <c r="L25" i="5"/>
  <c r="M9" i="5"/>
  <c r="M27" i="5"/>
  <c r="E32" i="5" s="1" a="1"/>
  <c r="E32" i="5" s="1"/>
  <c r="M16" i="5"/>
  <c r="E31" i="5" a="1"/>
  <c r="E31" i="5" s="1"/>
  <c r="G28" i="2" a="1"/>
  <c r="G28" i="2" s="1"/>
  <c r="E65" i="14" l="1"/>
  <c r="C66" i="14"/>
  <c r="F43" i="14"/>
  <c r="D44" i="14"/>
  <c r="L33" i="4"/>
  <c r="C35" i="2" s="1" a="1"/>
  <c r="C35" i="2" s="1"/>
  <c r="C34" i="2" a="1"/>
  <c r="C34" i="2" s="1"/>
  <c r="L34" i="4"/>
  <c r="D35" i="2" s="1" a="1"/>
  <c r="D35" i="2" s="1"/>
  <c r="D34" i="2" a="1"/>
  <c r="D34" i="2" s="1"/>
  <c r="M15" i="5"/>
  <c r="M25" i="5"/>
  <c r="C32" i="5" s="1" a="1"/>
  <c r="C32" i="5" s="1"/>
  <c r="G26" i="2" a="1"/>
  <c r="G26" i="2" s="1"/>
  <c r="C31" i="5" a="1"/>
  <c r="C31" i="5" s="1"/>
  <c r="G31" i="5" s="1"/>
  <c r="E33" i="5"/>
  <c r="E66" i="14" l="1"/>
  <c r="C67" i="14"/>
  <c r="F44" i="14"/>
  <c r="D45" i="14"/>
  <c r="G32" i="5"/>
  <c r="F32" i="5"/>
  <c r="F31" i="5"/>
  <c r="C33" i="5"/>
  <c r="E67" i="14" l="1"/>
  <c r="C68" i="14"/>
  <c r="F45" i="14"/>
  <c r="D46" i="14"/>
  <c r="G33" i="5"/>
  <c r="F33" i="5"/>
  <c r="E68" i="14" l="1"/>
  <c r="C69" i="14"/>
  <c r="F46" i="14"/>
  <c r="D47" i="14"/>
  <c r="E69" i="14" l="1"/>
  <c r="C70" i="14"/>
  <c r="F47" i="14"/>
  <c r="D48" i="14"/>
  <c r="E70" i="14" l="1"/>
  <c r="C71" i="14"/>
  <c r="F48" i="14"/>
  <c r="D49" i="14"/>
  <c r="E71" i="14" l="1"/>
  <c r="C72" i="14"/>
  <c r="F49" i="14"/>
  <c r="D50" i="14"/>
  <c r="E72" i="14" l="1"/>
  <c r="C73" i="14"/>
  <c r="F50" i="14"/>
  <c r="D51" i="14"/>
  <c r="E73" i="14" l="1"/>
  <c r="C74" i="14"/>
  <c r="F51" i="14"/>
  <c r="D52" i="14"/>
  <c r="E74" i="14" l="1"/>
  <c r="C75" i="14"/>
  <c r="F52" i="14"/>
  <c r="D53" i="14"/>
  <c r="E75" i="14" l="1"/>
  <c r="C76" i="14"/>
  <c r="F53" i="14"/>
  <c r="D54" i="14"/>
  <c r="E76" i="14" l="1"/>
  <c r="C77" i="14"/>
  <c r="F54" i="14"/>
  <c r="D55" i="14"/>
  <c r="E77" i="14" l="1"/>
  <c r="C78" i="14"/>
  <c r="F55" i="14"/>
  <c r="D56" i="14"/>
  <c r="E78" i="14" l="1"/>
  <c r="C79" i="14"/>
  <c r="F56" i="14"/>
  <c r="D57" i="14"/>
  <c r="E79" i="14" l="1"/>
  <c r="C80" i="14"/>
  <c r="F57" i="14"/>
  <c r="D58" i="14"/>
  <c r="C81" i="14" l="1"/>
  <c r="E80" i="14"/>
  <c r="F58" i="14"/>
  <c r="D59" i="14"/>
  <c r="C82" i="14" l="1"/>
  <c r="E81" i="14"/>
  <c r="F59" i="14"/>
  <c r="D60" i="14"/>
  <c r="C83" i="14" l="1"/>
  <c r="E82" i="14"/>
  <c r="F60" i="14"/>
  <c r="D61" i="14"/>
  <c r="E83" i="14" l="1"/>
  <c r="C84" i="14"/>
  <c r="F61" i="14"/>
  <c r="D62" i="14"/>
  <c r="E84" i="14" l="1"/>
  <c r="C85" i="14"/>
  <c r="F62" i="14"/>
  <c r="D63" i="14"/>
  <c r="E85" i="14" l="1"/>
  <c r="C86" i="14"/>
  <c r="F63" i="14"/>
  <c r="D64" i="14"/>
  <c r="C87" i="14" l="1"/>
  <c r="E86" i="14"/>
  <c r="F64" i="14"/>
  <c r="D65" i="14"/>
  <c r="E87" i="14" l="1"/>
  <c r="C88" i="14"/>
  <c r="E88" i="14" s="1"/>
  <c r="F65" i="14"/>
  <c r="D66" i="14"/>
  <c r="F66" i="14" l="1"/>
  <c r="D67" i="14"/>
  <c r="F67" i="14" l="1"/>
  <c r="D68" i="14"/>
  <c r="F68" i="14" l="1"/>
  <c r="D69" i="14"/>
  <c r="F69" i="14" l="1"/>
  <c r="D70" i="14"/>
  <c r="F70" i="14" l="1"/>
  <c r="D71" i="14"/>
  <c r="F71" i="14" l="1"/>
  <c r="D72" i="14"/>
  <c r="F72" i="14" l="1"/>
  <c r="D73" i="14"/>
  <c r="F73" i="14" l="1"/>
  <c r="D74" i="14"/>
  <c r="F74" i="14" l="1"/>
  <c r="D75" i="14"/>
  <c r="F75" i="14" l="1"/>
  <c r="D76" i="14"/>
  <c r="F76" i="14" l="1"/>
  <c r="D77" i="14"/>
  <c r="D78" i="14" l="1"/>
  <c r="F77" i="14"/>
  <c r="D79" i="14" l="1"/>
  <c r="F78" i="14"/>
  <c r="F79" i="14" l="1"/>
  <c r="D80" i="14"/>
  <c r="D81" i="14" l="1"/>
  <c r="F80" i="14"/>
  <c r="D82" i="14" l="1"/>
  <c r="F81" i="14"/>
  <c r="F82" i="14" l="1"/>
  <c r="D83" i="14"/>
  <c r="F83" i="14" l="1"/>
  <c r="D84" i="14"/>
  <c r="F84" i="14" l="1"/>
  <c r="D85" i="14"/>
  <c r="F85" i="14" l="1"/>
  <c r="D86" i="14"/>
  <c r="D87" i="14" l="1"/>
  <c r="F86" i="14"/>
  <c r="D88" i="14" l="1"/>
  <c r="F88" i="14" s="1"/>
  <c r="F87" i="14"/>
  <c r="J36" i="14" l="1"/>
  <c r="J38" i="14" a="1"/>
  <c r="J38" i="14" s="1"/>
  <c r="J37" i="14" a="1"/>
  <c r="J37" i="14" s="1"/>
  <c r="J44" i="14" l="1" a="1"/>
  <c r="J44" i="14" s="1"/>
  <c r="J39" i="14" a="1"/>
  <c r="J39" i="14" s="1"/>
  <c r="K44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<sst xmlns="http://schemas.openxmlformats.org/spreadsheetml/2006/main" count="5987" uniqueCount="1324">
  <si>
    <t>ASSUMPTIONS &amp; INPUTS</t>
  </si>
  <si>
    <t>CORE FINANCIAL ASSUMPTIONS</t>
  </si>
  <si>
    <t>Tax Rate</t>
  </si>
  <si>
    <t>Corporate tax rate (Indonesia)</t>
  </si>
  <si>
    <t>Discount Rate (Base Case)</t>
  </si>
  <si>
    <t>Weighted Average Cost of Capital</t>
  </si>
  <si>
    <t>Inflation Rate</t>
  </si>
  <si>
    <t>Annual inflation rate for ESL analysis</t>
  </si>
  <si>
    <t>Salvage Value %</t>
  </si>
  <si>
    <t>Expected salvage value as % of original cost</t>
  </si>
  <si>
    <t>DEPRECIATION USEFUL LIFE SCENARIOS (Months)</t>
  </si>
  <si>
    <t>Baseline Useful Life</t>
  </si>
  <si>
    <t>40 years (current accounting policy)</t>
  </si>
  <si>
    <t>Conservative Useful Life</t>
  </si>
  <si>
    <t>40 years (conservative scenario)</t>
  </si>
  <si>
    <t>Realistic Useful Life</t>
  </si>
  <si>
    <t>50 years (recommended scenario)</t>
  </si>
  <si>
    <t>Optimistic Useful Life</t>
  </si>
  <si>
    <t>75 years (optimistic scenario)</t>
  </si>
  <si>
    <t>SENSITIVITY ANALYSIS PARAMETERS</t>
  </si>
  <si>
    <t>Discount Rate - Low</t>
  </si>
  <si>
    <t>Lower bound for sensitivity analysis</t>
  </si>
  <si>
    <t>Discount Rate - High</t>
  </si>
  <si>
    <t>Upper bound for sensitivity analysis</t>
  </si>
  <si>
    <t>Tax Rate - Low</t>
  </si>
  <si>
    <t>Lower tax rate scenario</t>
  </si>
  <si>
    <t>Tax Rate - High</t>
  </si>
  <si>
    <t>Higher tax rate scenario</t>
  </si>
  <si>
    <t>UNIT CONVERSION CONSTANTS</t>
  </si>
  <si>
    <t>Billion Scaling Factor</t>
  </si>
  <si>
    <t>Convert IDR to billions (÷ by this)</t>
  </si>
  <si>
    <t>Months Per Year</t>
  </si>
  <si>
    <t>Convert monthly to annual (× by this)</t>
  </si>
  <si>
    <t>MAINTENANCE COST ESCALATION PARAMETERS</t>
  </si>
  <si>
    <t>Base Annual Maintenance Cost (IDR)</t>
  </si>
  <si>
    <t>Historical average maintenance cost</t>
  </si>
  <si>
    <t>Baseline Escalation Rate (0-40 yrs)</t>
  </si>
  <si>
    <t>Standard inflation-driven maintenance growth</t>
  </si>
  <si>
    <t>Medium Escalation Rate (40-50 yrs)</t>
  </si>
  <si>
    <t>Increased maintenance for aging assets</t>
  </si>
  <si>
    <t>High Escalation Rate (50+ yrs)</t>
  </si>
  <si>
    <t>Significant maintenance for extended life</t>
  </si>
  <si>
    <t>ASSET LIFE EXTENSION</t>
  </si>
  <si>
    <t>Financial Impact Dashboard</t>
  </si>
  <si>
    <t>Total Building Assets</t>
  </si>
  <si>
    <t>Annual Savings (50yr)</t>
  </si>
  <si>
    <t>10-Year Total Savings</t>
  </si>
  <si>
    <t>Savings %</t>
  </si>
  <si>
    <t>IDR</t>
  </si>
  <si>
    <t>Billions</t>
  </si>
  <si>
    <t>B/year</t>
  </si>
  <si>
    <t>vs</t>
  </si>
  <si>
    <t>Baseline</t>
  </si>
  <si>
    <t>EBITDA Improvement</t>
  </si>
  <si>
    <t>Net Income Improvement</t>
  </si>
  <si>
    <t>NPV @ 10%</t>
  </si>
  <si>
    <t>Building Assets</t>
  </si>
  <si>
    <t>Assets</t>
  </si>
  <si>
    <t>Analyzed</t>
  </si>
  <si>
    <t>SCENARIO COMPARISON - 10 YEAR TOTAL DEPRECIATION</t>
  </si>
  <si>
    <t>ANNUAL DEPRECIATION TREND (2025-2034)</t>
  </si>
  <si>
    <t>Scenario</t>
  </si>
  <si>
    <t>Total Depreciation (IDR B)</t>
  </si>
  <si>
    <t>Savings vs Baseline</t>
  </si>
  <si>
    <t>Year</t>
  </si>
  <si>
    <t>Realistic</t>
  </si>
  <si>
    <t>Optimistic</t>
  </si>
  <si>
    <t>Baseline (40 years)</t>
  </si>
  <si>
    <t>Realistic (50 years)</t>
  </si>
  <si>
    <t>Optimistic (75 years)</t>
  </si>
  <si>
    <t>CUMULATIVE SAVINGS OVER TIME</t>
  </si>
  <si>
    <t>NET BOOK VALUE COMPARISON - 2034</t>
  </si>
  <si>
    <t>FINANCIAL IMPACT SUMMARY</t>
  </si>
  <si>
    <t>Realistic Cumulative</t>
  </si>
  <si>
    <t>Optimistic Cumulative</t>
  </si>
  <si>
    <t>Building NBV (IDR B)</t>
  </si>
  <si>
    <t>Metric</t>
  </si>
  <si>
    <t>Realistic (50yr)</t>
  </si>
  <si>
    <t>Optimistic (75yr)</t>
  </si>
  <si>
    <t>Baseline (40yr)</t>
  </si>
  <si>
    <t>Annual Savings</t>
  </si>
  <si>
    <t>10-Year EBITDA +</t>
  </si>
  <si>
    <t>10-Year Net Income +</t>
  </si>
  <si>
    <t>SENSITIVITY ANALYSIS</t>
  </si>
  <si>
    <t>Variable</t>
  </si>
  <si>
    <t>Impact Range</t>
  </si>
  <si>
    <t>Discount Rate (8%-12%)</t>
  </si>
  <si>
    <t>Tax Rate (20%-25%)</t>
  </si>
  <si>
    <t>RECOMMENDED SCENARIO</t>
  </si>
  <si>
    <t>50-YEAR USEFUL LIFE EXTENSION (REALISTIC SCENARIO)</t>
  </si>
  <si>
    <t>✓ Annual Savings:</t>
  </si>
  <si>
    <t>IDR Billions/year</t>
  </si>
  <si>
    <t>IMPLEMENTATION TIMELINE</t>
  </si>
  <si>
    <t>✓ 10-Year Value:</t>
  </si>
  <si>
    <t>IDR Billions</t>
  </si>
  <si>
    <t>Q4 2024</t>
  </si>
  <si>
    <t>→</t>
  </si>
  <si>
    <t>Policy Approval &amp; Documentation</t>
  </si>
  <si>
    <t>✓ Savings Rate:</t>
  </si>
  <si>
    <t>vs Current Policy</t>
  </si>
  <si>
    <t>Jan 1, 2025</t>
  </si>
  <si>
    <t>Implement New Depreciation Rates</t>
  </si>
  <si>
    <t>✓ NPV:</t>
  </si>
  <si>
    <t>IDR Billions @ 10%</t>
  </si>
  <si>
    <t>Q1 2025</t>
  </si>
  <si>
    <t>Financial Statement Disclosure</t>
  </si>
  <si>
    <t>Data Sources: Asset Data Pullman (10 building assets) | Financial Statements (2018-2024) | Maintenance History</t>
  </si>
  <si>
    <t>Analysis Date: November 2024 | Assumptions: 22% Tax Rate, 10% Discount Rate, Prospective Application from 2025</t>
  </si>
  <si>
    <t>ASSET LIFE EXTENSION ANALYSIS</t>
  </si>
  <si>
    <t>Depreciation Scenario Comparison: Building Assets</t>
  </si>
  <si>
    <t>ASSUMPTIONS</t>
  </si>
  <si>
    <t>Analysis Period:</t>
  </si>
  <si>
    <t>2025 - 2034</t>
  </si>
  <si>
    <t>Asset Class:</t>
  </si>
  <si>
    <t>Buildings (Bangunan)</t>
  </si>
  <si>
    <t>Historical Depreciation Locked:</t>
  </si>
  <si>
    <t>Through December 31, 2024</t>
  </si>
  <si>
    <t>Tax Rate:</t>
  </si>
  <si>
    <t>SCENARIO DEFINITIONS</t>
  </si>
  <si>
    <t>Useful Life (Months)</t>
  </si>
  <si>
    <t>Useful Life (Years)</t>
  </si>
  <si>
    <t>Description</t>
  </si>
  <si>
    <t>Color Code</t>
  </si>
  <si>
    <t>Baseline (Current)</t>
  </si>
  <si>
    <t>Current accounting policy - 40 year life</t>
  </si>
  <si>
    <t>Black</t>
  </si>
  <si>
    <t>Conservative</t>
  </si>
  <si>
    <t>No change from current policy</t>
  </si>
  <si>
    <t>Orange</t>
  </si>
  <si>
    <t>Realistic (Recommended)</t>
  </si>
  <si>
    <t>Extended to 50 years - industry standard</t>
  </si>
  <si>
    <t>Yellow</t>
  </si>
  <si>
    <t>Extended to 75 years - maximum estimate</t>
  </si>
  <si>
    <t>Green</t>
  </si>
  <si>
    <t>BUILDING ASSETS - DETAIL</t>
  </si>
  <si>
    <t>No.</t>
  </si>
  <si>
    <t>Asset Description</t>
  </si>
  <si>
    <t>Acquisition Date</t>
  </si>
  <si>
    <t>Original Cost (IDR)</t>
  </si>
  <si>
    <t>Current Life (Months)</t>
  </si>
  <si>
    <t>Accum Depre 2024 (IDR)</t>
  </si>
  <si>
    <t>NBV 2024 (IDR)</t>
  </si>
  <si>
    <t>Monthly Depre (Current)</t>
  </si>
  <si>
    <t>Months Used Through 2024</t>
  </si>
  <si>
    <t>Pembangunan Hotel Pullman Mandalika</t>
  </si>
  <si>
    <t>Pembebanan Pekerjaan Noise Treatment Cooling Tower, PO-2023000193, 293/KONTRAK/ITDC.05-PROC/X/2023, Hotel Pullman; PT.Indocell Prima, Tahap 1 (50%), Tahap 2 (45%), Tahap 3 (5%), Progress 100% (18-10-2023) [PULLMAN]</t>
  </si>
  <si>
    <t>13/11/2023</t>
  </si>
  <si>
    <t>Pembebanan Pembangunan Pagar Pembatas Garden Villa Pullman Lombok Merunjani Mandalika Beach Resort; 281/kontrak/itdc.05-proc/VIII/2024; PO-2024000192; Mandalika</t>
  </si>
  <si>
    <t>Aktivir ke aset tetap bangunan, Hotel Pullman Tranche A</t>
  </si>
  <si>
    <t>31/12/2024</t>
  </si>
  <si>
    <t xml:space="preserve">                             - </t>
  </si>
  <si>
    <t xml:space="preserve">                                        - </t>
  </si>
  <si>
    <t>Adjustment Reklasifikasi, Pekerjaan Noise Treatment Cooling Tower, PO-2023000193, 293/KONTRAK/ITDC.05-PROC/X/2023, Hotel Pullman; PT.Indocell Prima ex. 00204/MEM-HO/11/23, 00264/MEM-HO/11/23, UM, 20%</t>
  </si>
  <si>
    <t>Koreksi Audit 2024 - Aktivir Pekerjaan Hotel Pullman</t>
  </si>
  <si>
    <t>24/12/2022</t>
  </si>
  <si>
    <t>Koreksi Audit 2024 - MMN - Pembangunan Directory Road Signage Hotel Pullman di 3 Titik</t>
  </si>
  <si>
    <t>30/11/2022</t>
  </si>
  <si>
    <t>Koreksi Audit 2024 - MMN - Aktivir Pengecoran Post Satpam Pullman</t>
  </si>
  <si>
    <t>30/11/2023</t>
  </si>
  <si>
    <t>Koreksi Audit 2024 - MMN - Aktivir Pemasangan Ceilling Aluminium</t>
  </si>
  <si>
    <t>30/07/2024</t>
  </si>
  <si>
    <t>Noise Treatment Cooling Tower, PO-2023000193, 070125001664524771, Pekerjaan Noise Treatment Cooling Tower Pullman Lombok Merujani Mandalika Beach Resort No.293/KONTRAK/ITDC.05-PROC/X/2023, Tahap Retensi 5%, PT INDOCELL PRIMA, PO-2023000193, PULLMAN [A], 12-Jun-2025</t>
  </si>
  <si>
    <t>TOTAL</t>
  </si>
  <si>
    <t>SCENARIO PROJECTIONS - REMAINING USEFUL LIFE &amp; DEPRECIATION RATES</t>
  </si>
  <si>
    <t>Asset</t>
  </si>
  <si>
    <t>Baseline (480mo)</t>
  </si>
  <si>
    <t>Realistic (600mo)</t>
  </si>
  <si>
    <t>Optimistic (900mo)</t>
  </si>
  <si>
    <t>Remaining (mo)</t>
  </si>
  <si>
    <t>New Monthly</t>
  </si>
  <si>
    <t>Annual 2025</t>
  </si>
  <si>
    <t>10-YEAR DEPRECIATION PROJECTION (2025-2034)</t>
  </si>
  <si>
    <t>Total</t>
  </si>
  <si>
    <t>Baseline (Current 480mo)</t>
  </si>
  <si>
    <t>Realistic (50yr/600mo)</t>
  </si>
  <si>
    <t>Optimistic (75yr/900mo)</t>
  </si>
  <si>
    <t>ANNUAL SAVINGS VS. BASELINE</t>
  </si>
  <si>
    <t>Realistic Scenario Savings</t>
  </si>
  <si>
    <t>Optimistic Scenario Savings</t>
  </si>
  <si>
    <t>% Savings vs Baseline</t>
  </si>
  <si>
    <t>FINANCIAL IMPACT DASHBOARD</t>
  </si>
  <si>
    <t>Asset Life Extension - 10 Year P&amp;L Impact Analysis</t>
  </si>
  <si>
    <t>Key Assumptions:</t>
  </si>
  <si>
    <t>Total Building Assets (IDR):</t>
  </si>
  <si>
    <t>NBV at 2024 (IDR):</t>
  </si>
  <si>
    <t>ANNUAL DEPRECIATION EXPENSE BY SCENARIO (IDR Billions)</t>
  </si>
  <si>
    <t>Average</t>
  </si>
  <si>
    <t>Baseline (Current 40yr)</t>
  </si>
  <si>
    <t>ANNUAL DEPRECIATION SAVINGS (IDR Billions)</t>
  </si>
  <si>
    <t>Realistic Scenario</t>
  </si>
  <si>
    <t>Optimistic Scenario</t>
  </si>
  <si>
    <t>EBITDA IMPACT (IDR Billions)</t>
  </si>
  <si>
    <t>Realistic - EBITDA Improvement</t>
  </si>
  <si>
    <t>Optimistic - EBITDA Improvement</t>
  </si>
  <si>
    <t>NET INCOME IMPACT (After Tax @ 22%) (IDR Billions)</t>
  </si>
  <si>
    <t>Realistic - Net Income Improvement</t>
  </si>
  <si>
    <t>Optimistic - Net Income Improvement</t>
  </si>
  <si>
    <t>CUMULATIVE SAVINGS (IDR Billions)</t>
  </si>
  <si>
    <t>Realistic - Cumulative Depre Savings</t>
  </si>
  <si>
    <t>Optimistic - Cumulative Depre Savings</t>
  </si>
  <si>
    <t>KEY METRICS SUMMARY - 10 YEAR PERIOD</t>
  </si>
  <si>
    <t>Realistic Savings</t>
  </si>
  <si>
    <t>Optimistic Savings</t>
  </si>
  <si>
    <t>Total Depreciation (IDR Billions)</t>
  </si>
  <si>
    <t>Average Annual Depreciation</t>
  </si>
  <si>
    <t>Total EBITDA Improvement</t>
  </si>
  <si>
    <t>N/A</t>
  </si>
  <si>
    <t>Realistic Scenario (50 Year Life Extension)</t>
  </si>
  <si>
    <t>Key Benefits:</t>
  </si>
  <si>
    <t>• Annual Depreciation Savings:</t>
  </si>
  <si>
    <t>• 10-Year EBITDA Improvement:</t>
  </si>
  <si>
    <t>• 10-Year Net Income Improvement:</t>
  </si>
  <si>
    <t>• Percentage Savings:</t>
  </si>
  <si>
    <t>MAINTENANCE CAPEX PROJECTION ANALYSIS</t>
  </si>
  <si>
    <t>10-Year Maintenance Cost Trajectory with Age-Based Escalation</t>
  </si>
  <si>
    <t>Asset Age (Years)</t>
  </si>
  <si>
    <t>BASELINE SCENARIO (40 Year Life)</t>
  </si>
  <si>
    <t>Applicable Escalation Rate</t>
  </si>
  <si>
    <t>Annual Maintenance Capex (IDR B)</t>
  </si>
  <si>
    <t>REALISTIC SCENARIO (50 Year Life)</t>
  </si>
  <si>
    <t>OPTIMISTIC SCENARIO (75 Year Life)</t>
  </si>
  <si>
    <t>MAINTENANCE COST COMPARISON</t>
  </si>
  <si>
    <t>10-Yr Total</t>
  </si>
  <si>
    <t>Annual Avg</t>
  </si>
  <si>
    <t>vs Baseline</t>
  </si>
  <si>
    <t>FREE CASH FLOW ANALYSIS WITH NPV</t>
  </si>
  <si>
    <t>Cash Impact: EBITDA Improvement + Depreciation (Non-Cash) - Maintenance Capex</t>
  </si>
  <si>
    <t>EBITDA Improvement (IDR B)</t>
  </si>
  <si>
    <t>Add: Depreciation Savings (Non-Cash)</t>
  </si>
  <si>
    <t>Less: Incremental Maintenance Capex</t>
  </si>
  <si>
    <t>Free Cash Flow (IDR B)</t>
  </si>
  <si>
    <t>FREE CASH FLOW SUMMARY COMPARISON</t>
  </si>
  <si>
    <t>10-Yr FCF Total</t>
  </si>
  <si>
    <t>NPV vs Baseline</t>
  </si>
  <si>
    <t>Baseline (40yr - No Extension)</t>
  </si>
  <si>
    <t>Realistic (50yr Extension)</t>
  </si>
  <si>
    <t>Optimistic (75yr Extension)</t>
  </si>
  <si>
    <t>KEY INSIGHT:</t>
  </si>
  <si>
    <t>Both extension scenarios generate POSITIVE NPV despite increased maintenance costs.</t>
  </si>
  <si>
    <t>Depreciation savings are non-cash adjustments, creating real cash flow benefits.</t>
  </si>
  <si>
    <t>BALANCE SHEET IMPACT ANALYSIS</t>
  </si>
  <si>
    <t>Net Book Value Projections &amp; Fixed Assets Impact</t>
  </si>
  <si>
    <t>Building Assets - Net Book Value at Dec 31, 2024:</t>
  </si>
  <si>
    <t>NET BOOK VALUE PROJECTION - BUILDING ASSETS (IDR Billions)</t>
  </si>
  <si>
    <t>Year End</t>
  </si>
  <si>
    <t>NBV DIFFERENCE VS. BASELINE (IDR Billions)</t>
  </si>
  <si>
    <t>Realistic Scenario (Higher NBV)</t>
  </si>
  <si>
    <t>Optimistic Scenario (Higher NBV)</t>
  </si>
  <si>
    <t>IMPACT ON TOTAL FIXED ASSETS</t>
  </si>
  <si>
    <t>Total Fixed Assets at Dec 31, 2024:</t>
  </si>
  <si>
    <t>Building Assets NBV:</t>
  </si>
  <si>
    <t>Other Assets NBV:</t>
  </si>
  <si>
    <t>PROJECTED TOTAL FIXED ASSETS (IDR Billions)</t>
  </si>
  <si>
    <t>BALANCE SHEET SUMMARY - END OF 2034</t>
  </si>
  <si>
    <t>Realistic Impact</t>
  </si>
  <si>
    <t>Optimistic Impact</t>
  </si>
  <si>
    <t>Building Assets NBV (IDR Billions)</t>
  </si>
  <si>
    <t>Total Fixed Assets (IDR Billions)</t>
  </si>
  <si>
    <t>% Building Assets of Total FA</t>
  </si>
  <si>
    <t>KEY OBSERVATIONS</t>
  </si>
  <si>
    <t>Impact of Asset Life Extension:</t>
  </si>
  <si>
    <t>1. Higher Net Book Value:</t>
  </si>
  <si>
    <t>Extending asset life increases NBV by reducing annual depreciation</t>
  </si>
  <si>
    <t>2. Stronger Balance Sheet:</t>
  </si>
  <si>
    <t>By 2034, Realistic scenario shows IDR 58.5 B higher NBV</t>
  </si>
  <si>
    <t>3. Improved Asset Base:</t>
  </si>
  <si>
    <t>Higher asset values support better asset turnover ratios and financing capacity</t>
  </si>
  <si>
    <t>4. No Cash Impact:</t>
  </si>
  <si>
    <t>This is an accounting change only - no actual cash expenditure required</t>
  </si>
  <si>
    <t>Testing Key Assumptions &amp; Variables</t>
  </si>
  <si>
    <t>KEY VARIABLES</t>
  </si>
  <si>
    <t>Base Case</t>
  </si>
  <si>
    <t>Low</t>
  </si>
  <si>
    <t>High</t>
  </si>
  <si>
    <t>Current Value</t>
  </si>
  <si>
    <t>Useful Life - Realistic (months)</t>
  </si>
  <si>
    <t>Useful Life - Optimistic (months)</t>
  </si>
  <si>
    <t>Discount Rate (WACC)</t>
  </si>
  <si>
    <t>NPV ANALYSIS - TAX SHIELD FROM DEPRECIATION SAVINGS</t>
  </si>
  <si>
    <t>Note: Lower depreciation reduces tax deductions, increasing tax payments</t>
  </si>
  <si>
    <t>10-Year Depre Savings</t>
  </si>
  <si>
    <t>Tax Impact (22%)</t>
  </si>
  <si>
    <t>After-Tax Benefit</t>
  </si>
  <si>
    <t>NPV @ 8%</t>
  </si>
  <si>
    <t>NPV @ 12%</t>
  </si>
  <si>
    <t>SENSITIVITY TORNADO DIAGRAM - REALISTIC SCENARIO NPV</t>
  </si>
  <si>
    <t>Variable Tested</t>
  </si>
  <si>
    <t>Low Case NPV</t>
  </si>
  <si>
    <t>Base Case NPV</t>
  </si>
  <si>
    <t>High Case NPV</t>
  </si>
  <si>
    <t>Range</t>
  </si>
  <si>
    <t>Useful Life (540-660 months)</t>
  </si>
  <si>
    <t>Manual calc needed</t>
  </si>
  <si>
    <t>TBD</t>
  </si>
  <si>
    <t>BREAKEVEN ANALYSIS</t>
  </si>
  <si>
    <t>Analysis: What minimum life extension creates material value?</t>
  </si>
  <si>
    <t>Materiality Threshold</t>
  </si>
  <si>
    <t>Target Annual Savings</t>
  </si>
  <si>
    <t>Required Life (est.)</t>
  </si>
  <si>
    <t>1% of Total Depreciation</t>
  </si>
  <si>
    <t>~490 months (~41 years)</t>
  </si>
  <si>
    <t>5% of Total Depreciation</t>
  </si>
  <si>
    <t>~520 months (~43 years)</t>
  </si>
  <si>
    <t>10% of Total Depreciation</t>
  </si>
  <si>
    <t>~540 months (~45 years)</t>
  </si>
  <si>
    <t>20% (Realistic Scenario)</t>
  </si>
  <si>
    <t>600 months (50 years)</t>
  </si>
  <si>
    <t>KEY INSIGHTS</t>
  </si>
  <si>
    <t>1. Most Sensitive Variable:</t>
  </si>
  <si>
    <t>Discount Rate has highest impact on NPV (+36% to -23% from base)</t>
  </si>
  <si>
    <t>2. Tax Impact:</t>
  </si>
  <si>
    <t>22% tax rate reduces gross savings by IDR 6.8B over 10 years (Realistic)</t>
  </si>
  <si>
    <t>3. Breakeven Point:</t>
  </si>
  <si>
    <t>Material benefit achieved at ~45 year useful life (540 months)</t>
  </si>
  <si>
    <t>4. Recommended Scenario:</t>
  </si>
  <si>
    <t>50-year life provides 22.1% savings - strong business case</t>
  </si>
  <si>
    <t>5. Conservative Approach:</t>
  </si>
  <si>
    <t>Even at 45 years (vs 40), still captures ~10% savings benefit</t>
  </si>
  <si>
    <t>SALVAGE VALUE SENSITIVITY ANALYSIS</t>
  </si>
  <si>
    <t>Impact of Different Salvage Value Assumptions on End-of-Life Economics</t>
  </si>
  <si>
    <t>Salvage Value Scenario</t>
  </si>
  <si>
    <t>90% (Current)</t>
  </si>
  <si>
    <t>70% (Conservative)</t>
  </si>
  <si>
    <t>50% (Pessimistic)</t>
  </si>
  <si>
    <t>Original Building Cost (IDR B)</t>
  </si>
  <si>
    <t>Expected Salvage Value (IDR B)</t>
  </si>
  <si>
    <t>Accumulated Depreciation (IDR B)</t>
  </si>
  <si>
    <t>NBV at End of Life (50 yrs)</t>
  </si>
  <si>
    <t>Gain/(Loss) on Disposal</t>
  </si>
  <si>
    <t>NBV at End of Life (75 yrs)</t>
  </si>
  <si>
    <t>TORNADO CHART DATA</t>
  </si>
  <si>
    <t>Low Impact</t>
  </si>
  <si>
    <t>High Impact</t>
  </si>
  <si>
    <t>HISTORICAL INTEGRATION &amp; BRIDGE ANALYSIS</t>
  </si>
  <si>
    <t>Linking Historical Financials to Projected Scenarios</t>
  </si>
  <si>
    <t>HISTORICAL DEPRECIATION &amp; AMORTIZATION EXPENSE (IDR Billions)</t>
  </si>
  <si>
    <t>CAGR</t>
  </si>
  <si>
    <t>Total Depreciation &amp; Amortization</t>
  </si>
  <si>
    <t>Year-over-Year Growth</t>
  </si>
  <si>
    <t>BRIDGE: 2024 ACTUAL → 2025 PROJECTED SCENARIOS</t>
  </si>
  <si>
    <t>Component</t>
  </si>
  <si>
    <t>2024 Actual</t>
  </si>
  <si>
    <t>2025 Baseline</t>
  </si>
  <si>
    <t>2025 Realistic</t>
  </si>
  <si>
    <t>2025 Optimistic</t>
  </si>
  <si>
    <t>Realistic vs 2024</t>
  </si>
  <si>
    <t>Optimistic vs 2024</t>
  </si>
  <si>
    <t>Building Assets Depreciation</t>
  </si>
  <si>
    <t>Other Assets Depreciation (est.)</t>
  </si>
  <si>
    <t>VARIANCE ANALYSIS - 2025 vs 2024</t>
  </si>
  <si>
    <t>Baseline Change</t>
  </si>
  <si>
    <t>Realistic Change</t>
  </si>
  <si>
    <t>Optimistic Change</t>
  </si>
  <si>
    <t>Absolute Change (IDR Billions)</t>
  </si>
  <si>
    <t>% Change vs 2024</t>
  </si>
  <si>
    <t>1. Historical Growth:</t>
  </si>
  <si>
    <t>2. 2025 Baseline Projection:</t>
  </si>
  <si>
    <t>Would increase by 0.0 B (continuing current policy)</t>
  </si>
  <si>
    <t>3. Realistic Scenario Impact:</t>
  </si>
  <si>
    <t>Reduces 2025 depreciation by 3.1 B vs 2024</t>
  </si>
  <si>
    <t>4. Implementation:</t>
  </si>
  <si>
    <t>Policy change effective Jan 1, 2025 - no retroactive adjustment needed</t>
  </si>
  <si>
    <t>EXECUTIVE SUMMARY</t>
  </si>
  <si>
    <t>Asset Life Extension Analysis - Building Assets</t>
  </si>
  <si>
    <t>EXECUTIVE OVERVIEW</t>
  </si>
  <si>
    <t>This analysis evaluates the financial impact of extending building asset useful life from the current 40-year standard to 50 or 75 years, based on industry benchmarks and asset condition assessments. The extension would reduce annual depreciation expense, improving EBITDA and Net Income over a 10-year projection period (2025-2034).</t>
  </si>
  <si>
    <t>KEY FINANCIAL METRICS (10-YEAR TOTALS)</t>
  </si>
  <si>
    <t>Current (40yr)</t>
  </si>
  <si>
    <t>Benefit</t>
  </si>
  <si>
    <t>Building Assets - Original Cost</t>
  </si>
  <si>
    <t>Total Depreciation (2025-2034)</t>
  </si>
  <si>
    <t>Net Income Improvement (After Tax)</t>
  </si>
  <si>
    <t>NPV of Savings @ 10% Discount</t>
  </si>
  <si>
    <t>Depreciation Savings %</t>
  </si>
  <si>
    <t>RECOMMENDATION</t>
  </si>
  <si>
    <t>RECOMMENDED SCENARIO: 50-YEAR USEFUL LIFE (REALISTIC)</t>
  </si>
  <si>
    <t>Rationale:</t>
  </si>
  <si>
    <t>• Industry Standard: 50-year life aligns with commercial real estate industry standards</t>
  </si>
  <si>
    <t>• Asset Condition: Maintenance history supports extended useful life (see Maintenance History sheet)</t>
  </si>
  <si>
    <t>• Material Benefit: IDR 30.8 billion savings over 10 years (22.1% reduction)</t>
  </si>
  <si>
    <t>• Conservative Approach: More defensible than 75-year extension for audit purposes</t>
  </si>
  <si>
    <t>• Immediate Impact: Improves 2025 EBITDA by IDR 3.1 billion annually</t>
  </si>
  <si>
    <t>Phase</t>
  </si>
  <si>
    <t>Action</t>
  </si>
  <si>
    <t>Responsible</t>
  </si>
  <si>
    <t>Timeline</t>
  </si>
  <si>
    <t>1. Policy Approval</t>
  </si>
  <si>
    <t>Board/Management approval of accounting policy change</t>
  </si>
  <si>
    <t>CFO / Finance</t>
  </si>
  <si>
    <t>2. Documentation</t>
  </si>
  <si>
    <t>Document rationale, asset condition, industry benchmarks</t>
  </si>
  <si>
    <t>Finance / Engineering</t>
  </si>
  <si>
    <t>3. System Update</t>
  </si>
  <si>
    <t>Update asset management system with new useful life parameters</t>
  </si>
  <si>
    <t>IT / Finance</t>
  </si>
  <si>
    <t>Dec 2024</t>
  </si>
  <si>
    <t>4. Implementation</t>
  </si>
  <si>
    <t>Apply new depreciation rates effective January 1, 2025</t>
  </si>
  <si>
    <t>Finance</t>
  </si>
  <si>
    <t>5. Disclosure</t>
  </si>
  <si>
    <t>Update financial statement footnotes for accounting policy change</t>
  </si>
  <si>
    <t>Finance / Audit</t>
  </si>
  <si>
    <t>RISK CONSIDERATIONS &amp; MITIGATION</t>
  </si>
  <si>
    <t>Risk</t>
  </si>
  <si>
    <t>Mitigation</t>
  </si>
  <si>
    <t>Auditor Challenge</t>
  </si>
  <si>
    <t>Document asset condition assessments, maintenance records, and industry comparables</t>
  </si>
  <si>
    <t>Stakeholder Perception</t>
  </si>
  <si>
    <t>Communicate as industry alignment, not earnings manipulation</t>
  </si>
  <si>
    <t>Future Impairment Risk</t>
  </si>
  <si>
    <t>Annual impairment testing, maintain strong maintenance program</t>
  </si>
  <si>
    <t>Tax Authority Review</t>
  </si>
  <si>
    <t>Ensure consistent treatment for tax vs book purposes, document rationale</t>
  </si>
  <si>
    <t>DATA SOURCES &amp; SUPPORTING DOCUMENTATION</t>
  </si>
  <si>
    <t>Source</t>
  </si>
  <si>
    <t>Reference</t>
  </si>
  <si>
    <t>Building Asset Data</t>
  </si>
  <si>
    <t>Asset Data Pullman sheet, rows 221-230 (10 building assets)</t>
  </si>
  <si>
    <t>Historical Financials</t>
  </si>
  <si>
    <t>Financial_Statements sheet, 2018-2024 depreciation (row 228)</t>
  </si>
  <si>
    <t>Industry Benchmark</t>
  </si>
  <si>
    <t>Asset Data Circuit Mandalika sheet, 480-month (40-year) precedent</t>
  </si>
  <si>
    <t>Asset Condition</t>
  </si>
  <si>
    <t>Maintenance History sheet, supporting extended life assessment</t>
  </si>
  <si>
    <t>Calculation Models</t>
  </si>
  <si>
    <t>See detailed sheets: Depreciation_Scenario_Analysis, Financial_Impact_Dashboard</t>
  </si>
  <si>
    <t>KEY ASSUMPTIONS &amp; METHODOLOGY</t>
  </si>
  <si>
    <t>• Accumulated depreciation through Dec 31, 2024 is locked - no retroactive adjustments</t>
  </si>
  <si>
    <t>• New depreciation rates apply prospectively from Jan 1, 2025</t>
  </si>
  <si>
    <t>• Remaining useful life calculated as: New Total Life - Months Used Through 2024</t>
  </si>
  <si>
    <t>• Tax rate: 22% applied to calculate after-tax Net Income impact</t>
  </si>
  <si>
    <t>• Discount rate: 10% WACC for NPV calculations</t>
  </si>
  <si>
    <t>• Other assets (non-building) maintain current depreciation schedules</t>
  </si>
  <si>
    <t>• Straight-line depreciation method, no salvage value assumed</t>
  </si>
  <si>
    <t>RECOMMENDED NEXT STEPS</t>
  </si>
  <si>
    <t>1. Review analysis with CFO and Finance Leadership</t>
  </si>
  <si>
    <t>2. Engage external auditors for preliminary feedback on 50-year life extension</t>
  </si>
  <si>
    <t>3. Obtain engineering/technical assessment supporting extended useful life</t>
  </si>
  <si>
    <t>4. Prepare Board presentation with recommendation</t>
  </si>
  <si>
    <t>5. If approved, update systems and documentation for Jan 1, 2025 implementation</t>
  </si>
  <si>
    <t>Analysis prepared: November 2024</t>
  </si>
  <si>
    <t>Model version: 1.0 - Asset Life Extension Financial Impact Analysis</t>
  </si>
  <si>
    <t>ENHANCED ANALYSIS: COMPREHENSIVE CASH FLOW IMPACT</t>
  </si>
  <si>
    <t>MAINTENANCE COST TRAJECTORY</t>
  </si>
  <si>
    <t>Variance</t>
  </si>
  <si>
    <t>10-Yr Maintenance Capex (IDR B)</t>
  </si>
  <si>
    <t>Annual Average Maintenance</t>
  </si>
  <si>
    <t>Key Finding: Maintenance costs remain flat in 10-year window (assets age 25-34 years)</t>
  </si>
  <si>
    <t>FREE CASH FLOW NPV ANALYSIS @ 10% DISCOUNT RATE</t>
  </si>
  <si>
    <t>NPV Benefit</t>
  </si>
  <si>
    <t>FCF Formula: EBITDA Improvement + Depreciation Savings (Non-Cash) - Incremental Maintenance</t>
  </si>
  <si>
    <t>Critical Insight: Both scenarios generate POSITIVE NPV despite increased maintenance costs</t>
  </si>
  <si>
    <t>SALVAGE VALUE RISK ASSESSMENT</t>
  </si>
  <si>
    <t>End-of-Life NBV (50yrs) (IDR B)</t>
  </si>
  <si>
    <t>Salvage Value Range (IDR B)</t>
  </si>
  <si>
    <t>40% variance</t>
  </si>
  <si>
    <t>Impact on 10-Year Analysis: MINIMAL - Salvage value affects end-of-life (2060+), not 2025-2034 period</t>
  </si>
  <si>
    <t>COMPREHENSIVE RECOMMENDATION</t>
  </si>
  <si>
    <t>✓ Asset Life Extension Creates Real Economic Value</t>
  </si>
  <si>
    <t>Three-Pillar Financial Case:</t>
  </si>
  <si>
    <t>1. CASH FLOW POSITIVE: NPV of IDR 37.8B (Realistic) to IDR 83.6B (Optimistic) over 10 years</t>
  </si>
  <si>
    <t>2. MAINTENANCE NEUTRAL: No incremental maintenance costs in near-term (years 25-34 of asset life)</t>
  </si>
  <si>
    <t>3. SALVAGE VALUE INSENSITIVE: End-of-life disposal risks are 35+ years away, minimal P&amp;L impact</t>
  </si>
  <si>
    <t>Key Decision Criteria:</t>
  </si>
  <si>
    <t>• Free Cash Flow analysis confirms depreciation savings exceed any incremental costs</t>
  </si>
  <si>
    <t>• NPV analysis demonstrates value creation at 10% discount rate</t>
  </si>
  <si>
    <t>• Maintenance cost escalation is manageable and deferred beyond 10-year horizon</t>
  </si>
  <si>
    <t>• Salvage value sensitivity shows limited downside risk to 10-year projections</t>
  </si>
  <si>
    <t>FINAL RECOMMENDATION: PROCEED WITH 50-YEAR USEFUL LIFE EXTENSION</t>
  </si>
  <si>
    <t>Supporting Analysis References:</t>
  </si>
  <si>
    <t>• Maintenance Capex Projections: Financial_Impact_Dashboard rows 52-74</t>
  </si>
  <si>
    <t>• Free Cash Flow Analysis: Financial_Impact_Dashboard rows 76-101</t>
  </si>
  <si>
    <t>• Salvage Value Sensitivity: Sensitivity_Analysis rows 39-55</t>
  </si>
  <si>
    <t>• Maintenance Escalation Parameters: Inputs rows 25-29</t>
  </si>
  <si>
    <t>Kategori</t>
  </si>
  <si>
    <t>Sub Kategori</t>
  </si>
  <si>
    <t>Deskripsi Aset</t>
  </si>
  <si>
    <t>Lokasi</t>
  </si>
  <si>
    <t>Tgl Perolehan</t>
  </si>
  <si>
    <t>Nilai Perolehan</t>
  </si>
  <si>
    <t>Masa Manfaat</t>
  </si>
  <si>
    <t>Depre / Bulan</t>
  </si>
  <si>
    <t>Alokasi Masa Manfaat Per Tahun</t>
  </si>
  <si>
    <t>Akm. Depre s/d 2024</t>
  </si>
  <si>
    <t>Beban Depre s/d Juli 2025</t>
  </si>
  <si>
    <t>Akm. Depre s/d Juli 2025</t>
  </si>
  <si>
    <t>Nilai Sisa Buku Per Juli 2025</t>
  </si>
  <si>
    <t>Aset Tetap</t>
  </si>
  <si>
    <t>Perlengkapan</t>
  </si>
  <si>
    <t>Koreksi Audit 2024 - MMN Meja Komputer untuk Operasional</t>
  </si>
  <si>
    <t>Pullman - Mandalika</t>
  </si>
  <si>
    <t>30/07/2021</t>
  </si>
  <si>
    <t xml:space="preserve">                                           - </t>
  </si>
  <si>
    <t>Koreksi Audit 2024 - MMN Standing Light Portable 2 Cabang 50 Watt, 10 Unit</t>
  </si>
  <si>
    <t xml:space="preserve"> </t>
  </si>
  <si>
    <t>Koreksi Audit 2024 - MMN Gas Welding Set For Refrigeration Pipe, 2 Unit</t>
  </si>
  <si>
    <t>Koreksi Audit 2024 - MMN Welding PPR Pipe 75mm-11mm, 2 Unit</t>
  </si>
  <si>
    <t>Koreksi Audit 2024 - MMN Spot Light Portable 50 Watt, 10 Unit</t>
  </si>
  <si>
    <t>Koreksi Audit 2024 - MMN Welding PPR Pipe 20mm-63mm, 2 Unit</t>
  </si>
  <si>
    <t>Koreksi Audit 2024 - MMN Pembelian Standing, Signage Stainless Steel A3</t>
  </si>
  <si>
    <t>Koreksi Audit 2024 - MMN DP 50% Pembelian Pool Towel Trolley</t>
  </si>
  <si>
    <t>14/09/2022</t>
  </si>
  <si>
    <t>Koreksi Audit 2024 - MMN Executive Slim Director Chair Black High</t>
  </si>
  <si>
    <t>22/09/2022</t>
  </si>
  <si>
    <t>Koreksi Audit 2024 - MMN Roes 163 Visitor Chair Black</t>
  </si>
  <si>
    <t>Koreksi Audit 2024 - MMN Monthana 7M Manager Desk 160 L (U/3)</t>
  </si>
  <si>
    <t>Koreksi Audit 2024 - MMN Monthana Staff Desk 1206 (U/3)</t>
  </si>
  <si>
    <t>Koreksi Audit 2024 - MMN Pembelian 10 Unit Towel Basket Rattan in Darkbrown Color</t>
  </si>
  <si>
    <t>30/09/2022</t>
  </si>
  <si>
    <t>Koreksi Audit 2024 - MMN Pembelian 1 Unit Stand Sign Maintenance, Sistem Roda Plus Rem Pengunci Bawah (Material Stainless Holo Frame Acrylic)</t>
  </si>
  <si>
    <t>Koreksi Audit 2024 - MMN Indoor Plant Aer Restaurant (Plus Maintenance)</t>
  </si>
  <si>
    <t>Koreksi Audit 2024 - MMN Orchit Standing Setting (Plus Maintenance)</t>
  </si>
  <si>
    <t>Koreksi Audit 2024 - MMN Pembelian 4 Unit Scale Digital Tanita KD.2000 5Kg</t>
  </si>
  <si>
    <t>Koreksi Audit 2024 - MMN Pembelian Sliding Flat Glass Freezer</t>
  </si>
  <si>
    <t>Koreksi Audit 2024 - MMN Pembelian Digital Platform Scale 150KG W/Tera</t>
  </si>
  <si>
    <t>17/10/2022</t>
  </si>
  <si>
    <t>Koreksi Audit 2024 - MMN Pembelian Shure BLX14 / SM35 Wireless Headset System</t>
  </si>
  <si>
    <t>28/10/2022</t>
  </si>
  <si>
    <t>Koreksi Audit 2024 - MMN Pembelian 5 Unit Standing Signed untuk FnB</t>
  </si>
  <si>
    <t>Koreksi Audit 2024 - MMN Pembelian Yale Door Chain dan Vingcard Lift Controller</t>
  </si>
  <si>
    <t>14/11/2022</t>
  </si>
  <si>
    <t>Koreksi Audit 2024 - MMN Pembelian 3Pcs Standing Lifebuoy</t>
  </si>
  <si>
    <t>Koreksi Audit 2024 - MMN Pembelian Rak Buku Anak dan Rak Sepatu Anak</t>
  </si>
  <si>
    <t>18/11/2022</t>
  </si>
  <si>
    <t>Koreksi Audit 2024 - MMN Pembelian Navitek NT Pro With Touchscreen Untuk IT</t>
  </si>
  <si>
    <t>19/11/2022</t>
  </si>
  <si>
    <t>Koreksi Audit 2024 - MMN Pembelian Cabinet File for Engineering</t>
  </si>
  <si>
    <t>25/11/2022</t>
  </si>
  <si>
    <t>Koreksi Audit 2024 - MMN Freezer 4 Doors HF - 128</t>
  </si>
  <si>
    <t>26/12/2022</t>
  </si>
  <si>
    <t>Koreksi Audit 2024 - MMN Pembelian Accu Gel, Antena Kenbotong UHF, Cable Charger, Kabel RG8, Repeater, CDR500, Duplexer, Kabel Cor, &amp; Jumper</t>
  </si>
  <si>
    <t>Koreksi Audit 2024 - MMN Pembelian 5pcs S/S Cleaning Beach Troley</t>
  </si>
  <si>
    <t>Koreksi Audit 2024 - MMN Orchid Standing Setting, Indoor Plant AER Restaurant Plus Maintenance</t>
  </si>
  <si>
    <t>Koreksi Audit 2024 - MMN Pembelian File Cabinet 4 Shelf 4 Door</t>
  </si>
  <si>
    <t>14/12/2022</t>
  </si>
  <si>
    <t>Koreksi Audit 2024 - MMN Pembelian Shelving Steel 5 Shelf 120 x 44 dan Storage 5 Shelf Rack 180 x 70 x 25</t>
  </si>
  <si>
    <t>15/12/2022</t>
  </si>
  <si>
    <t>Koreksi Audit 2024 - MMN Slat 35mm - Stick Chane Oak</t>
  </si>
  <si>
    <t>Koreksi Audit 2024 - MMN Getra Water Boiler CP - 15</t>
  </si>
  <si>
    <t>21/12/2022</t>
  </si>
  <si>
    <t>Koreksi Audit 2024 - MMN Pembuatan Signed Akrilik Logo PT. MMN</t>
  </si>
  <si>
    <t>Koreksi Audit 2024 - MMN Pembelian Vingcard Sigm, RFID, Black Titanium</t>
  </si>
  <si>
    <t>Koreksi Audit 2024 - MMN Pembelian Parlight Wisdom</t>
  </si>
  <si>
    <t>27/12/2022</t>
  </si>
  <si>
    <t>Koreksi Audit 2024 - MMN Lemari Set Atas Office untuk FO Office</t>
  </si>
  <si>
    <t>Koreksi Audit 2024 - MMN Jiwins Round Bin Set With Cover and Polly 75.7 ltr</t>
  </si>
  <si>
    <t>30/12/2022</t>
  </si>
  <si>
    <t>Koreksi Audit 2024 - MMN Orchid Standing Setting (Plus Maintenance)</t>
  </si>
  <si>
    <t>Koreksi Audit 2024 - MMN Pembelian Neon Box Basement Guest Entrance dan Whiteboard Emergency Response Team Organization</t>
  </si>
  <si>
    <t>27/01/2023</t>
  </si>
  <si>
    <t>Koreksi Audit 2024 - MMN Aktivir Pembelian Pool Towel Trolley</t>
  </si>
  <si>
    <t>Koreksi Audit 2024 - MMN Aktivir Pembelian Pembelian Standing Hanger - Stainless</t>
  </si>
  <si>
    <t>Koreksi Audit 2024 - MMN Aktivir Pembelian Panel Rack ABBA 19</t>
  </si>
  <si>
    <t>Koreksi Audit 2024 - MMN Pembelian Beach Sign, Prohibition Pool Sign, dan Ongkos Kirim + Pemasangan</t>
  </si>
  <si>
    <t>Koreksi Audit 2024 - MMN Pembelian Storage 5 Shelf Rack</t>
  </si>
  <si>
    <t>14/03/2023</t>
  </si>
  <si>
    <t>Koreksi Audit 2024 - MMN Pembelian Storage 5 Shelf Rack / Rak Besi</t>
  </si>
  <si>
    <t>20/03/2023</t>
  </si>
  <si>
    <t>Koreksi Audit 2024 - MMN Pembelian Standing Safety Equipment</t>
  </si>
  <si>
    <t>Koreksi Audit 2024 - MMN Pembelian Storage 4 Shelf Rack</t>
  </si>
  <si>
    <t>Koreksi Audit 2024 - MMN Pembelian Shure BLX24/BETA58 Handheld Wireless System</t>
  </si>
  <si>
    <t>26/04/2023</t>
  </si>
  <si>
    <t>Koreksi Audit 2024 - MMN Pembelian Sparepart Mesin Laundry Padding Polyster dan Pembayaran Maintenance</t>
  </si>
  <si>
    <t>22/05/2023</t>
  </si>
  <si>
    <t>Koreksi Audit 2024 - MMN Pembelian Video Wall Display</t>
  </si>
  <si>
    <t>Koreksi Audit 2024 - MMN Pembelian OZTI Hi - Limit 170-140'C</t>
  </si>
  <si>
    <t>13/06/2023</t>
  </si>
  <si>
    <t>Koreksi Audit 2024 - MMN Pembelian Tatakan Kayu</t>
  </si>
  <si>
    <t>Koreksi Audit 2024 - MMN Pembelian Vingcard LCU Sigma RFID</t>
  </si>
  <si>
    <t>21/06/2023</t>
  </si>
  <si>
    <t>Koreksi Audit 2024 - MMN Pembelian Seng BJLS 25m x 180cm x 0.6mm dan Ducting AC/PU 120x4m</t>
  </si>
  <si>
    <t>Koreksi Audit 2024 - MMN Pembelian Headshet Addasoud Crystal 2832 Duo + Cable to RJ9</t>
  </si>
  <si>
    <t>Koreksi Audit 2024 - MMN Pembelian LVingcard LCU Classic</t>
  </si>
  <si>
    <t>Koreksi Audit 2024 - MMN Pembelian Taut Wall Mount Lavatory Faucet (200MM Spout), 
Angle Valve 1/2, Flexible 30CM, dan Aleo Deck Mount Bath &amp; Shower 3 Hole</t>
  </si>
  <si>
    <t>Koreksi Audit 2024 - MMN Aktivir Glass Handle</t>
  </si>
  <si>
    <t>Koreksi Audit 2024 - MMN Aktivir Pintu Koboi Bar Luar dan Dalam</t>
  </si>
  <si>
    <t>Koreksi Audit 2024 - MMN Aktivir Mattress King Koil</t>
  </si>
  <si>
    <t xml:space="preserve">Koreksi Audit 2024 - MMN Switch Aruba Instant On, 1930, 24G, 4SFP + 370W </t>
  </si>
  <si>
    <t>26/12/2023</t>
  </si>
  <si>
    <t>Koreksi Audit 2024 - MMN Aktivir Blast Freezer 10 Tray</t>
  </si>
  <si>
    <t>31/12/2023</t>
  </si>
  <si>
    <t>Koreksi Audit 2024 - MMN Pembelian Vingcard LCA RFID</t>
  </si>
  <si>
    <t>23/01/2024</t>
  </si>
  <si>
    <t>Koreksi Audit 2024 - MMN Pembelian Cover Daybed Pullman Sunproof Dan Cover Matras Sunbed Sunproof Cartenza</t>
  </si>
  <si>
    <t>Koreksi Audit 2024 - MMN Pembelian Hanger Trolley Stainless Steel Uk. 200 x 80 x 200cm</t>
  </si>
  <si>
    <t>25/06/2024</t>
  </si>
  <si>
    <t>Koreksi Audit 2024 - MMN Pembelian 24 Pcs Payung Jati 3m Bulat  Kain Sunproof Cartenza dan Batu Paras Kotak Stand Payung Uk. 30 x 30 x 40</t>
  </si>
  <si>
    <t>Koreksi Audit 2024 - MMN Pembelian 2 Unit Heating Lamp A-Type</t>
  </si>
  <si>
    <t>23/07/2024</t>
  </si>
  <si>
    <t>Koreksi Audit 2024 - MMN Aktivir Gerobak Tradisional</t>
  </si>
  <si>
    <t>Koreksi Audit 2024 - MMN Aktivir Dessert Fork, Dessert Knife, Table Knife, Soup Spoon, Table Spoon, dan Tea Spoon Untuk Moto GP 2024</t>
  </si>
  <si>
    <t>Koreksi Audit 2024 - MMN Aktivir Pintu Kaca Sleding &amp; Kaca Swing</t>
  </si>
  <si>
    <t>Koreksi Audit 2024 - MMN Pembelian 2 Unit Screen Tripod MS 96T, Size 244 x 244</t>
  </si>
  <si>
    <t>18/11/2024</t>
  </si>
  <si>
    <t>Koreksi Audit 2024 - MMN Pembelian 6 Unit 3 Steps Trolley S/S Uk. 81 x 46 x 85cm</t>
  </si>
  <si>
    <t>21/11/2024</t>
  </si>
  <si>
    <t>Aset MMN - Beach Villa &amp; Garden Villa Facilities Kelambu / Net Mosquito</t>
  </si>
  <si>
    <t>Aset MMN - Laundry Bin Truck</t>
  </si>
  <si>
    <t>Kendaraan</t>
  </si>
  <si>
    <t>Koreksi Audit 2024 - MMN - Pembelian 1 Unit Kendaraan Isuzu Traga Box</t>
  </si>
  <si>
    <t>Peralatan</t>
  </si>
  <si>
    <t>Tagihan IT Setup Fee dari Accor</t>
  </si>
  <si>
    <t>20/05/2022</t>
  </si>
  <si>
    <t>Aktivir Ke Aset Tetap Peralatan Kantor, Pullman 2022</t>
  </si>
  <si>
    <t>Koreksi Audit 2024 - MMN -  Samsung Galaxy Tab S7 FE S/128GB Mystic Black &amp; Powerbank Indoscreen Point Hikaru Plus Compact Power Delivery 10.000 MAH</t>
  </si>
  <si>
    <t>Koreksi Audit 2024 - MMN -  Pembelian Alat Komunikasi Direksi PT MMN, 1 Unit Iphone 12 Pro 256GB</t>
  </si>
  <si>
    <t>Koreksi Audit 2024 - MMN -  Pembelian 1 Unit HP Xiaomi Note 10SM8/128 New</t>
  </si>
  <si>
    <t>31/05/2022</t>
  </si>
  <si>
    <t>Koreksi Audit 2024 - MMN -  Pembelian 2 Unit Ruijie RG-RAP6260</t>
  </si>
  <si>
    <t>26/07/2022</t>
  </si>
  <si>
    <t>Koreksi Audit 2024 - MMN -  Pembelian  3 Unit Ruijie AP RG 720-I</t>
  </si>
  <si>
    <t>Koreksi Audit 2024 - MMN -  Pembelian Aruba AP-375 (RW) Outdoor Pole11 ac AP</t>
  </si>
  <si>
    <t>Koreksi Audit 2024 - MMN -  Pembelian Bottle Dispenser</t>
  </si>
  <si>
    <t>Koreksi Audit 2024 - MMN -  Pembelian Mobile Phone Untuk Operational Talent &amp; Culture</t>
  </si>
  <si>
    <t>Koreksi Audit 2024 - MMN -  Zach Task Chair Low Back Black</t>
  </si>
  <si>
    <t>Koreksi Audit 2024 - MMN -  Pembelian 2 Unit Grill BBQ SUS 304 w/ Shelv</t>
  </si>
  <si>
    <t>Koreksi Audit 2024 - MMN -  Aktivir Pembelian 2 Unit Bison Towel Dispenser</t>
  </si>
  <si>
    <t>Koreksi Audit 2024 - MMN -  Aktivir Pembelian 1 Unit High Presure Cleaner 170 Bar</t>
  </si>
  <si>
    <t>Koreksi Audit 2024 - MMN -  Pembelian 2 Unit Bracket Motorized Proyektor Lift Brite TLFTX</t>
  </si>
  <si>
    <t>Koreksi Audit 2024 - MMN -  Aktivir Pembelian 1 Unit Speaker Design Max DM 3C</t>
  </si>
  <si>
    <t>Koreksi Audit 2024 - MMN -  Aktivir Pembelian 1 Unit Wet/Dry Vacum Cleaner 60 Liter</t>
  </si>
  <si>
    <t>Koreksi Audit 2024 - MMN -  Aktivir Pembelian 1 Unit Mesin Pop Corn Type ET-POP6A-R &amp; 1 Unit Mesin Cotton Candy</t>
  </si>
  <si>
    <t>Koreksi Audit 2024 - MMN -  Aktivir Pembelian 1 Unit Scruber &amp; Polisher 17" 154 RPM 1100W</t>
  </si>
  <si>
    <t>Koreksi Audit 2024 - MMN -  Pembelian Wifi Elite, Smart Temperature and Humidity Monitoring Switch, With Module Alarm Sounder + Silent Button</t>
  </si>
  <si>
    <t>Koreksi Audit 2024 - MMN -  Pembelian Machine Orange Juicer 3 Unit</t>
  </si>
  <si>
    <t>Koreksi Audit 2024 - MMN -  Pembelian Mesin Obras/Neci, Singger, 14HD854 dan Mesin Jahit, Singger 4423 untuk HK</t>
  </si>
  <si>
    <t>Koreksi Audit 2024 - MMN -  Pembelian Xiaomi Redmi Pad dan Softcase Pad untuk FO</t>
  </si>
  <si>
    <t>Koreksi Audit 2024 - MMN -  Pembelian Orange Direct Press Electric</t>
  </si>
  <si>
    <t>20/12/2022</t>
  </si>
  <si>
    <t>Koreksi Audit 2024 - MMN -  Pembelian Gang Chair Y-Series 4S Silver</t>
  </si>
  <si>
    <t>Koreksi Audit 2024 - MMN -  Micros Hardware dan Maintenance</t>
  </si>
  <si>
    <t>Koreksi Audit 2024 - MMN -  Pembelian 1 Unit Printer HP Smart Tank 615 (Print, Scan, Copy, ADF, Fax, Wireless)</t>
  </si>
  <si>
    <t>Koreksi Audit 2024 - MMN -  Pembelian Kamera Panacast 8100 - 119</t>
  </si>
  <si>
    <t>Koreksi Audit 2024 - MMN -  Pembelian Printer HP Laser Jet Pro Colour</t>
  </si>
  <si>
    <t>Koreksi Audit 2024 - MMN -  Pembelian Sushi PH Tester</t>
  </si>
  <si>
    <t>16/02/2023</t>
  </si>
  <si>
    <t>Koreksi Audit 2024 - MMN -  Pembelian 2Pcs Persentation Remote, Kabel LAN Belden UTP Cat6/300m, dan Hardisk HDD Seagate One Touch 4TB Silver</t>
  </si>
  <si>
    <t>Koreksi Audit 2024 - MMN -  Pembelian 2Pcs Mesin Hitung Uang Prime Dynamic 995EV UV</t>
  </si>
  <si>
    <t>Koreksi Audit 2024 - MMN -  Pembelian 3 Unit AC Green Split 2PK</t>
  </si>
  <si>
    <t>Koreksi Audit 2024 - MMN -  Pembelian Electronic Platform Scale</t>
  </si>
  <si>
    <t>Koreksi Audit 2024 - MMN -  Pembelian Handphone Kantor Samsung Galaxy A34 5G 8/256GB</t>
  </si>
  <si>
    <t>Koreksi Audit 2024 - MMN -  Pembelian Gimbal DJI RS 3 Mini untuk Sales Event BI</t>
  </si>
  <si>
    <t>17/07/2023</t>
  </si>
  <si>
    <t>Koreksi Audit 2024 - MMN -  Pembelian Pressure Independen Control Valves</t>
  </si>
  <si>
    <t>Koreksi Audit 2024 - MMN -  Pembelian Laptop HP Pavx 360144</t>
  </si>
  <si>
    <t>18/08/2023</t>
  </si>
  <si>
    <t>Koreksi Audit 2024 - MMN -  Pembelian 2Pcs Bose Smart Speaker 500 Black Untuk Villa</t>
  </si>
  <si>
    <t>22/08/2023</t>
  </si>
  <si>
    <t>Koreksi Audit 2024 - MMN -  Pembelian AC Gree 2PK &amp; 1PK, dan Pipa AC + Kabel Kontrol</t>
  </si>
  <si>
    <t>Koreksi Audit 2024 - MMN -  Access Point Aruba AP 505 dan AP CBL SERU Console Adapter Cable</t>
  </si>
  <si>
    <t>Koreksi Audit 2024 - MMN -  Pembelian Coconut Brander 9cm Logo Pullman dan Ongkos Kirim</t>
  </si>
  <si>
    <t>15/07/2023</t>
  </si>
  <si>
    <t>Koreksi Audit 2024 - MMN -  Pembelian Headset Addasound Crystal, dan Pesawat Telephone</t>
  </si>
  <si>
    <t>21/09/2023</t>
  </si>
  <si>
    <t>Koreksi Audit 2024 - MMN -  Pembelian 2 Unit Laptop HP Pavillion X360 14inch Core i3 - 1215U, 8GB dan Flash Disk SanDisk 64GB</t>
  </si>
  <si>
    <t>23/09/2023</t>
  </si>
  <si>
    <t>Koreksi Audit 2024 - MMN -  Pembelian 3 Unit AC Gree 2PK, Brecket Outdoor, Kipas Pipa, Pipa Drain, dan Pipa AC 2PK</t>
  </si>
  <si>
    <t>Koreksi Audit 2024 - MMN -  Pembelian 2 Unit Trolley Bakery Pan BPT - 15</t>
  </si>
  <si>
    <t>Koreksi Audit 2024 - MMN -  Pembelian Sanding Machine Makita</t>
  </si>
  <si>
    <t>Koreksi Audit 2024 - MMN -  Pembelian Access Point Aruba AP - 505, Aruba Instant On 1930 24G 4SFP, dan Aruba Instant On 1G SFP</t>
  </si>
  <si>
    <t>25/10/2023</t>
  </si>
  <si>
    <t>Koreksi Audit 2024 - MMN -  Aktivir Pembelian Hi Trax For Xray dan Instalation / Pemasangan</t>
  </si>
  <si>
    <t>Koreksi Audit 2024 - MMN -  Aktivir Air Conditioning Kitchen Equipment</t>
  </si>
  <si>
    <t>Koreksi Audit 2024 - MMN -  Aktivir Bottle Dispenser Shower Gel</t>
  </si>
  <si>
    <t>Koreksi Audit 2024 - MMN -  Pembelian Hardisk HDD Internal WD 6TB</t>
  </si>
  <si>
    <t>23/11/2023</t>
  </si>
  <si>
    <t>Koreksi Audit 2024 - MMN -  Hospitality Smart PTV Samsung 75 Inch</t>
  </si>
  <si>
    <t>Koreksi Audit 2024 - MMN -  Pembelian 2 Unit Tekiro Pemotong Rumput Baterai XV - 20V</t>
  </si>
  <si>
    <t>Koreksi Audit 2024 - MMN -  Pembelian AC Gree GWC 18M005 S (2PK)</t>
  </si>
  <si>
    <t>Koreksi Audit 2024 - MMN -  Pembelian 2 Unit Samsung A05 Untuk Departement Administrasi dan General</t>
  </si>
  <si>
    <t>20/12/2023</t>
  </si>
  <si>
    <t>Koreksi Audit 2024 - MMN -  Pembelian Camera Sony A7 Mark IV, DJI Mini 4 Pro Combo</t>
  </si>
  <si>
    <t>29/12/2023</t>
  </si>
  <si>
    <t>Koreksi Audit 2024 - MMN -  Aktivir Paket Gong Premium</t>
  </si>
  <si>
    <t>Koreksi Audit 2024 - MMN -  2 Custom Built PC, Intel Core i7 - 12700F, 2TB</t>
  </si>
  <si>
    <t>Koreksi Audit 2024 - MMN -  Pembelian Axial Direct  Fan Type VAD/4-7 10/10 (28") Kapasitas 16000m3/h</t>
  </si>
  <si>
    <t>Koreksi Audit 2024 - MMN -  Pembelian 1 Unit Hand Polisher RYU 7inch, 1200W</t>
  </si>
  <si>
    <t>Koreksi Audit 2024 - MMN -  Pembelian Mesin Vacuum Sealer DZ - 500T</t>
  </si>
  <si>
    <t>Koreksi Audit 2024 - MMN -  Pembelian Vacum Cleaner</t>
  </si>
  <si>
    <t xml:space="preserve">Koreksi Audit 2024 - MMN -  Micros Hardware </t>
  </si>
  <si>
    <t>Koreksi Audit 2024 - MMN -  Pembelian Ruiji Acces Point RG - AP 720 L dan Konektor UTP Belden RJ54</t>
  </si>
  <si>
    <t>25/01/2024</t>
  </si>
  <si>
    <t>Koreksi Audit 2024 - MMN -  Sight Glass Spirax Sarcon, dan Door Assembly</t>
  </si>
  <si>
    <t>Koreksi Audit 2024 - MMN -  Pembelian HDD Internal WD 6TB, 3.5inch</t>
  </si>
  <si>
    <t>Koreksi Audit 2024 - MMN -  Pembelian Topper 515 Wet &amp; Dry Vacuum</t>
  </si>
  <si>
    <t>Koreksi Audit 2024 - MMN -  Pembelian AC Gree 0,5 Moo, AC Gree 09 Moo, AC Gree 2PK, dan AC Gree 1PK</t>
  </si>
  <si>
    <t>15/02/2024</t>
  </si>
  <si>
    <t>Koreksi Audit 2024 - MMN -  Pembelian Smartphone Samsung GalaxyA05 RAM 4gb, 64GB Untuk Departemen FB Reservation</t>
  </si>
  <si>
    <t>20/02/2024</t>
  </si>
  <si>
    <t>Koreksi Audit 2024 - MMN -  Simphony Data Programming dan Maintenance</t>
  </si>
  <si>
    <t>23/02/2024</t>
  </si>
  <si>
    <t>Koreksi Audit 2024 - MMN -  Pembelian 2 Unit Up Right Freezer 4 Doors - Star Cool, Mood BGS - 1000F</t>
  </si>
  <si>
    <t>Koreksi Audit 2024 - MMN -  Pembelian Laptop Kantor</t>
  </si>
  <si>
    <t>Koreksi Audit 2024 - MMN -  Pembelian Steam Trap TD - 10 NA 15A 2.0MPA</t>
  </si>
  <si>
    <t>19/03/2024</t>
  </si>
  <si>
    <t>Koreksi Audit 2024 - MMN -  Pembelian AC Gree 2PK</t>
  </si>
  <si>
    <t>Koreksi Audit 2024 - MMN -  Pembelian Laptop HP Pav x360 14-ek0162tu Intel Core i3-1215U Ram 8GB</t>
  </si>
  <si>
    <t>Koreksi Audit 2024 - MMN -  Pembelian 2 Unit Mesin Pemotong Rumput Cordless</t>
  </si>
  <si>
    <t>Koreksi Audit 2024 - MMN -  Pembelian Printer Epson L1800</t>
  </si>
  <si>
    <t>Koreksi Audit 2024 - MMN -  Pembelian Hotel Iou Mix Control</t>
  </si>
  <si>
    <t>28/02/2024</t>
  </si>
  <si>
    <t>Koreksi Audit 2024 - MMN -  Ceiling Lift</t>
  </si>
  <si>
    <t>Koreksi Audit 2024 - MMN -  Pembelian 2 Unit Ethernet Mikrotik CCR2004 - 16GB</t>
  </si>
  <si>
    <t>Koreksi Audit 2024 - MMN -  Pembelian 5 Set Box Joie Signature Eclipse</t>
  </si>
  <si>
    <t>16/08/2024</t>
  </si>
  <si>
    <t>Koreksi Audit 2024 - MMN -  Pembelian Secure Paper Shredder EZSS - 6315</t>
  </si>
  <si>
    <t>20/08/2024</t>
  </si>
  <si>
    <t>Koreksi Audit 2024 - MMN -  Pembelian HP Samsung Galaxy05 RAM 4GB, 64GB Untuk Departemen Spa Pullman</t>
  </si>
  <si>
    <t>26/08/2024</t>
  </si>
  <si>
    <t>Koreksi Audit 2024 - MMN -  Pembelian 3 Unit Smart TV Samsung Hospitality 55HJ690U</t>
  </si>
  <si>
    <t>Koreksi Audit 2024 - MMN -  Pembelian 5 Unit Automatic Pop Up Slot Toaster Getra</t>
  </si>
  <si>
    <t>Koreksi Audit 2024 - MMN -  Pembelian Planetary Mixer Sinmag 40L Bowl Beater</t>
  </si>
  <si>
    <t>Koreksi Audit 2024 - MMN -  Pembelian Spiral Mixer Sinmag Flour 12.5</t>
  </si>
  <si>
    <t>Koreksi Audit 2024 - MMN -  Pembelian Burner Steamer Piano 24 Line</t>
  </si>
  <si>
    <t>17/09/2024</t>
  </si>
  <si>
    <t>Koreksi Audit 2024 - MMN -  Pembelian Noodel Maker Getra DHH-180C</t>
  </si>
  <si>
    <t>Koreksi Audit 2024 - MMN -  Pembelian 7 Unit Boiler Akebono ZJ-250 S/S</t>
  </si>
  <si>
    <t>Koreksi Audit 2024 - MMN -  Pembelian 1 Unit Mesin Cuci LG FV1411S4PN</t>
  </si>
  <si>
    <t>26/09/2024</t>
  </si>
  <si>
    <t>Koreksi Audit 2024 - MMN -  Pembelian 1 Unit Mesin Cuci LG RD08NHP5W</t>
  </si>
  <si>
    <t>Koreksi Audit 2024 - MMN -  Pembelian Fluke 971 Temperature Humidity Meter</t>
  </si>
  <si>
    <t>Koreksi Audit 2024 - MMN -  Pembelian 14 Pcs Hydraulic Chafer Untuk Moto GP Event</t>
  </si>
  <si>
    <t>Koreksi Audit 2024 - MMN -  Pembelian 14 Pcs Bean Bag Colour Keong Big Sunproof Cartenza</t>
  </si>
  <si>
    <t>Koreksi Audit 2024 - MMN -  Pembelian 5 Unit Vacuum Cleaner LP 1/16 Eco B Dolphin Ex</t>
  </si>
  <si>
    <t>Koreksi Audit 2024 - MMN -  Pembelian 1 Unit Vacuum Cleaner Model Topper 429 Flowmix</t>
  </si>
  <si>
    <t>Koreksi Audit 2024 - MMN -  Unit Single Wall Food Carrier &amp; Unit Food Carrier Trolley</t>
  </si>
  <si>
    <t>Koreksi Audit 2024 - MMN -  Pembelian Tank Storage Electric Water Heater</t>
  </si>
  <si>
    <t>15/11/2024</t>
  </si>
  <si>
    <t>Koreksi Audit 2024 - MMN -  Pembelian Laptop HP Pavillion</t>
  </si>
  <si>
    <t>Koreksi Audit 2024 - MMN -  Pembelian Simphony Data Programming</t>
  </si>
  <si>
    <t>28/11/2024</t>
  </si>
  <si>
    <t>Koreksi Audit 2024 - MMN -  Pembelian Bass Elektrik Yamaha TRBX &amp; Nux Mini Pedal Brownie</t>
  </si>
  <si>
    <t>Koreksi Audit 2024 - MMN -  Pembelian Gitar Elektrik Yamaha, Drum Digital Yamaha, dan Keyboard Portable Yamaha</t>
  </si>
  <si>
    <t>Koreksi Audit 2024 - MMN -  Pembelian 16 Pcs Payung Pantai Jati Sunproof Cartenza</t>
  </si>
  <si>
    <t>17/12/2024</t>
  </si>
  <si>
    <t>Koreksi Audit 2024 - MMN -  Pembelian Cover Only Cabana Sunproof Cartenza</t>
  </si>
  <si>
    <t>Koreksi Audit 2024 - MMN -  Pembelian 5 Pcs Payung Pantai Jati Sunproof Cartenza</t>
  </si>
  <si>
    <t>Koreksi Audit 2024 - MMN -  Pembelian 3 Unit Laundry Trolley</t>
  </si>
  <si>
    <t>Koreksi Audit 2024 - MMN -  Pembelian Generator AiPower SM1100l</t>
  </si>
  <si>
    <t>19/12/2024</t>
  </si>
  <si>
    <t>Koreksi Audit 2024 - MMN -  2 Unit Rack File Finance 350 x 190 cm</t>
  </si>
  <si>
    <t>Koreksi Audit 2024 - MMN -  1 Unit Rack File Finance</t>
  </si>
  <si>
    <t>Koreksi Audit 2024 Efek pembebanan depresiasi proyek mandalika berdasarkan tanggal FHO</t>
  </si>
  <si>
    <t>00/01/1900</t>
  </si>
  <si>
    <t xml:space="preserve">           - </t>
  </si>
  <si>
    <t>Adj. Balancing kuncian saldo akm. Depre peralatan 2024</t>
  </si>
  <si>
    <t>Koreksi Audit 2024 - Efek Depre (porsi 2022) atas OS&amp;E Hotel Pullman</t>
  </si>
  <si>
    <t>Koreksi Audit 2024 - Efek Depre (porsi 2023) atas adj. Nilai OS&amp;E - Kontra Akun Akm. Peralatan</t>
  </si>
  <si>
    <t>Koreksi Audit 2024 - Efek Depre (porsi 2024) atas adj. Nilai OS&amp;E - Kontra Akun Akm. Peralatan</t>
  </si>
  <si>
    <t>Aset MMN Pembelian DJI Mini 4 Pro Alcraft &amp; Gimbal Module</t>
  </si>
  <si>
    <t>15/01/2025</t>
  </si>
  <si>
    <t>Aset MMN Pembelian 4 Unit Samsung Hospitality TV 55HJ69OU</t>
  </si>
  <si>
    <t>Aset MMN Pembelian 7 Unit AC Mitsubishi 2.5Pk dan Material Jasa Pasang</t>
  </si>
  <si>
    <t>20/01/2025</t>
  </si>
  <si>
    <t>Aset MMN Pembelian Laptop HP Pavillion Core 5-12DU, RAM 16GB, SSD 512GB</t>
  </si>
  <si>
    <t>Aset MMN Full Payment 2 Unit Rack File Finance 350 x 190 cm</t>
  </si>
  <si>
    <t>Aset MMN Full Payment 1 Unit Rack File Finance 400 x 190cm</t>
  </si>
  <si>
    <t>Aset MMN Pembelian Lawn Mower 18 Inch NRLM18ZS</t>
  </si>
  <si>
    <t>Aset MMN Pembelian 2 Unit Mistyfan 60L 26Inc 305W Set</t>
  </si>
  <si>
    <t>18/02/2025</t>
  </si>
  <si>
    <t>Aset MMN Pembelian Mirrorless Digital Camera Sony FE Lens 70-200</t>
  </si>
  <si>
    <t>25/02/2025</t>
  </si>
  <si>
    <t>Aset MMN Pembelian 1 Unit Iphone 15 New 256GB Untuk Operasional Graphic Designer</t>
  </si>
  <si>
    <t>Aset MMN - Printer Epson Eco Tank L 5270</t>
  </si>
  <si>
    <t>Aset MMN - Cold Oil Press Machine</t>
  </si>
  <si>
    <t>Aset MMN - Dim Sum Trolley</t>
  </si>
  <si>
    <t>Aset MMN - Timbangan Digital Morizt 500Kg</t>
  </si>
  <si>
    <t>Aset MMN - 1 Unit Kipas Angin Krisbow 20Inch</t>
  </si>
  <si>
    <t>Aset MMN - Pembelian HP E22 G5 FHD Monitor</t>
  </si>
  <si>
    <t>Aset MMN - Drain Cleaner RIGD KIT A-30 K-50</t>
  </si>
  <si>
    <t>Aset MMN - 2 Unit Blender Hamilton Beach 1,8liter</t>
  </si>
  <si>
    <t>Aset MMN - Paper Shredder Machine Secure</t>
  </si>
  <si>
    <t>Mesin</t>
  </si>
  <si>
    <t>Aktivir Ke Aset Tetap Mesin, Pullman 2022</t>
  </si>
  <si>
    <t>Landscape</t>
  </si>
  <si>
    <t>Aktivir ke Aset Tetap Landscaping, Pullman Tahun 2022, Mandalika</t>
  </si>
  <si>
    <t>Bangunan</t>
  </si>
  <si>
    <t>Aset Tidak Berwujud</t>
  </si>
  <si>
    <t>Lisensi</t>
  </si>
  <si>
    <t>Koreksi Audit 2024 - MMN - Lisensi Microsoft</t>
  </si>
  <si>
    <t>Sistem</t>
  </si>
  <si>
    <t>Koreksi Audit 2024 - MMN - Tagihan Sistem Oracle 2022</t>
  </si>
  <si>
    <t>Koreksi Audit 2024 - MMN - Tagihan Sistem Oracle 2023</t>
  </si>
  <si>
    <t>Koreksi Audit 2024 - MMN - Tagihan Sistem Oracle 2024</t>
  </si>
  <si>
    <t>Sub Total</t>
  </si>
  <si>
    <t>Kategori Aset</t>
  </si>
  <si>
    <t>Segmen</t>
  </si>
  <si>
    <t>Detail Pekerjaan</t>
  </si>
  <si>
    <t xml:space="preserve"> Nilai Perolehan </t>
  </si>
  <si>
    <t>Depre
Per Bulan</t>
  </si>
  <si>
    <t>Depre
2021</t>
  </si>
  <si>
    <t>Depre
2022</t>
  </si>
  <si>
    <t>Depre
2023</t>
  </si>
  <si>
    <t>Depre
2024</t>
  </si>
  <si>
    <t>Depre
s/d Agst 2025</t>
  </si>
  <si>
    <t>Acc. Depre
s/d Agst 2025</t>
  </si>
  <si>
    <t xml:space="preserve">Jalan Sirkuit </t>
  </si>
  <si>
    <t>Mandalika</t>
  </si>
  <si>
    <t>Race</t>
  </si>
  <si>
    <t>Jalan Kawasan Khusus (JKK) Sirkuit Mandalika (PHO 5-10-2021), Kantor Pusat</t>
  </si>
  <si>
    <t>Kunci saldo s/d 2024, Dampak Perubahan Masa Manfaat pada Tahun Berjalan 2025 (kertas kerja s/d Mei 2025)</t>
  </si>
  <si>
    <t>Jalan Kawasan Khusus (JKK) Sirkuit Mandalika (PHO 5-10-2021), Project Mandalika</t>
  </si>
  <si>
    <t>Depre Per Bulan</t>
  </si>
  <si>
    <t>Depre 2021</t>
  </si>
  <si>
    <t>Depre 2022</t>
  </si>
  <si>
    <t>Depre 2023</t>
  </si>
  <si>
    <t>Depre 2024</t>
  </si>
  <si>
    <t>Depre s/d Juni 2025</t>
  </si>
  <si>
    <t>Acc. Depre s/d Juni 2025</t>
  </si>
  <si>
    <t>Adjustment total dari awal (hitungan baru)</t>
  </si>
  <si>
    <t>Beban Depresiasi Re-kalkulasi</t>
  </si>
  <si>
    <t>Selisih Beban Depresiasi Per Tahun</t>
  </si>
  <si>
    <t>v</t>
  </si>
  <si>
    <t>% Item 1 atas Dampak Perubahan Umur, Masuk Tahun berjalan</t>
  </si>
  <si>
    <t>% Item 2 atas Dampak Perubahan Umur, Masuk Tahun berjalan</t>
  </si>
  <si>
    <t xml:space="preserve"> NO </t>
  </si>
  <si>
    <t>Month</t>
  </si>
  <si>
    <t xml:space="preserve"> Amount </t>
  </si>
  <si>
    <t>Perbaikan</t>
  </si>
  <si>
    <t>Pemasangan Floor Tiles, Niro Granite, Lux GLX34, Explosion Bl - Ballroom</t>
  </si>
  <si>
    <t>Floor Tiles, Grandeur GDR04 Pietra Black Hi Gloss - Ballroom</t>
  </si>
  <si>
    <t>Pemasangan Granit GDR04 Pietra Black Hi Gloss 120c  Kawan Rinjani Teknik - Ballroom</t>
  </si>
  <si>
    <t>Pembuatan Cover AC  - Villa 119 -117</t>
  </si>
  <si>
    <t>AC, Gree, Mitsubishi, split wall, MS-JR24VF, 2.5PK  Villa</t>
  </si>
  <si>
    <t>Air Curtain, kitchen asian, GK-2509YS2-CE, 900x1</t>
  </si>
  <si>
    <t>Air Curtain, kitchen indonesia, GK-2512AS2-CE, 119</t>
  </si>
  <si>
    <t>Sliding Glass Door, Living Room, 228x224cm villa</t>
  </si>
  <si>
    <t>Sliding Glass Door, Bed Room, 252x264cm Villa</t>
  </si>
  <si>
    <t>Pintu kaca Swing, Bathroom G116, T251 cm, P262.3 c</t>
  </si>
  <si>
    <t>Sliding Glass Door for Bathroom G109, 110, 111, 112, 113, 115, 116</t>
  </si>
  <si>
    <t>Sliding Glass Door for Living Room G 109, 110, 111, 112, 113, 115, 116</t>
  </si>
  <si>
    <t>Instalation UPS PLN</t>
  </si>
  <si>
    <t>Blade, Fan Cooling Tower &amp; Service</t>
  </si>
  <si>
    <t>December2024</t>
  </si>
  <si>
    <t>Blade, Fan Cooling Tower 2 &amp; Service</t>
  </si>
  <si>
    <t>Pulley Fan Cooling Tower, Bearing, Bubut shaft, &amp;</t>
  </si>
  <si>
    <t>Sand Filters, P Series, 145kg, 1.5inch, 0.31m2</t>
  </si>
  <si>
    <t>Penguatan, Cooling, Tower 2</t>
  </si>
  <si>
    <t>Sand Filter, Kolam, Emaux P650</t>
  </si>
  <si>
    <t>Pengerjaan Blade Cooling tower, 24,27,30, &amp; Motor</t>
  </si>
  <si>
    <t>AC for Chill Out &amp; SPA</t>
  </si>
  <si>
    <t>January2025</t>
  </si>
  <si>
    <t>Sand Filter, Kolam, Dab V650</t>
  </si>
  <si>
    <t>Blade cooling Tower, 3</t>
  </si>
  <si>
    <t>Welding, the cooling tower fan, support frame, CT</t>
  </si>
  <si>
    <t>Preliminary, Cooling Tower 1, &amp; Cooling Tower 3</t>
  </si>
  <si>
    <t>Patching, of cooling tower, fiber covers, CT 1&amp;3</t>
  </si>
  <si>
    <t>Addition of cooling fan support frame towers, CT 1</t>
  </si>
  <si>
    <t>Pembuatan Cover AC</t>
  </si>
  <si>
    <t>AC, Mitsubishi, split wall, MS-JR24VF, 2.5PK</t>
  </si>
  <si>
    <t>Pembelian kayu Ulin untuk penggantian pool deck</t>
  </si>
  <si>
    <t>Perbaikan pool - injeksi kebocoran</t>
  </si>
  <si>
    <t>PT PENGEMBANGAN PARIWISATA INDONESIA (PERSERO)</t>
  </si>
  <si>
    <t>KOMPARASI SALDO</t>
  </si>
  <si>
    <t xml:space="preserve"> KONSOLIDASI </t>
  </si>
  <si>
    <t>NO.</t>
  </si>
  <si>
    <t>URAIAN</t>
  </si>
  <si>
    <t xml:space="preserve"> AUDITED </t>
  </si>
  <si>
    <t xml:space="preserve"> TAHUN 2018 </t>
  </si>
  <si>
    <t xml:space="preserve"> TAHUN 2019 </t>
  </si>
  <si>
    <t xml:space="preserve"> TAHUN 2020 </t>
  </si>
  <si>
    <t xml:space="preserve"> TAHUN 2021* </t>
  </si>
  <si>
    <t xml:space="preserve"> TAHUN 2022 </t>
  </si>
  <si>
    <t xml:space="preserve"> TAHUN 2023 </t>
  </si>
  <si>
    <t xml:space="preserve"> TAHUN 2024 </t>
  </si>
  <si>
    <t xml:space="preserve"> Penyajian Kembali </t>
  </si>
  <si>
    <t>A.</t>
  </si>
  <si>
    <t>LABA (RUGI) KOMPREHENSIF</t>
  </si>
  <si>
    <t>PENDAPATAN OPERASI</t>
  </si>
  <si>
    <t>Kompensasi Lahan</t>
  </si>
  <si>
    <t>LB-R-001</t>
  </si>
  <si>
    <t>Kompensasi Minimum</t>
  </si>
  <si>
    <t>LB-R-002</t>
  </si>
  <si>
    <t>Kompensasi Persentase</t>
  </si>
  <si>
    <t>LB-R-003</t>
  </si>
  <si>
    <t>Kompensasi Sekaligus</t>
  </si>
  <si>
    <t>LB-R-004</t>
  </si>
  <si>
    <t>Penggantian Asosiasi</t>
  </si>
  <si>
    <t>LB-R-005</t>
  </si>
  <si>
    <t>Kompensasi Lainnya</t>
  </si>
  <si>
    <t>Jumlah Pendapatan Kompensasi Lahan</t>
  </si>
  <si>
    <t>Pendapatan Tambahan</t>
  </si>
  <si>
    <t>LB-R-006</t>
  </si>
  <si>
    <t>Jasa Pengelolaan Air</t>
  </si>
  <si>
    <t>LB-R-007</t>
  </si>
  <si>
    <t>Pendapatan Lainnya</t>
  </si>
  <si>
    <t>LB-R-027</t>
  </si>
  <si>
    <t>Pendapatan Sirkuit Lainnya</t>
  </si>
  <si>
    <t>LB-R-014</t>
  </si>
  <si>
    <t>Jasa Akomodasi</t>
  </si>
  <si>
    <t xml:space="preserve">                                   - </t>
  </si>
  <si>
    <t>LB-R-015</t>
  </si>
  <si>
    <t>Pendapatan BBM</t>
  </si>
  <si>
    <t>LB-R-028</t>
  </si>
  <si>
    <t>Pendapatan Aquabike</t>
  </si>
  <si>
    <t>LB-R-016</t>
  </si>
  <si>
    <t>Watersport</t>
  </si>
  <si>
    <t>LB-R-017</t>
  </si>
  <si>
    <t>Air Bersih Nusa Dua</t>
  </si>
  <si>
    <t>LB-R-022</t>
  </si>
  <si>
    <t>Air Bersih Mandalika</t>
  </si>
  <si>
    <t>LB-R-018</t>
  </si>
  <si>
    <t>ICT Nusa Dua</t>
  </si>
  <si>
    <t>LB-R-023</t>
  </si>
  <si>
    <t>ICT Mandalika</t>
  </si>
  <si>
    <t xml:space="preserve">   </t>
  </si>
  <si>
    <t>LB-R-019</t>
  </si>
  <si>
    <t>Agen Distributor</t>
  </si>
  <si>
    <t>LB-R-020</t>
  </si>
  <si>
    <t>Jasa Owner Rep</t>
  </si>
  <si>
    <t>LB-R-024</t>
  </si>
  <si>
    <t>Pendapatan Penjualan Lahan</t>
  </si>
  <si>
    <t>LB-R-025</t>
  </si>
  <si>
    <t>Destination Management</t>
  </si>
  <si>
    <t>LB-R-026</t>
  </si>
  <si>
    <t>MICE Golo Mori</t>
  </si>
  <si>
    <t>LB-R-021</t>
  </si>
  <si>
    <t>Jasa Pengelolaan (Management Fee)</t>
  </si>
  <si>
    <t>LB-R-009</t>
  </si>
  <si>
    <t>Pendapatan Hotel Pullman</t>
  </si>
  <si>
    <t>LB-R-008</t>
  </si>
  <si>
    <t>Penyelenggaraan Event MotoGP</t>
  </si>
  <si>
    <t>LB-R-010</t>
  </si>
  <si>
    <t>Penyelenggaraan Event WSBK</t>
  </si>
  <si>
    <t>Jumlah Pendapatan Tambahan</t>
  </si>
  <si>
    <t>Jumlah Pendapatan Operasional</t>
  </si>
  <si>
    <t>LB-E-022</t>
  </si>
  <si>
    <t>HPP Motogp</t>
  </si>
  <si>
    <t>LB-E-023</t>
  </si>
  <si>
    <t>HPP WSBK</t>
  </si>
  <si>
    <t>LB-E-024</t>
  </si>
  <si>
    <t>HPP Bisnis Lainnya</t>
  </si>
  <si>
    <t>LB-E-032</t>
  </si>
  <si>
    <t>BPP Aquabike</t>
  </si>
  <si>
    <t>LB-E-031</t>
  </si>
  <si>
    <t>BPP Penjualan Lahan</t>
  </si>
  <si>
    <t>LB-E-025</t>
  </si>
  <si>
    <t>HPP Hotel</t>
  </si>
  <si>
    <t>LB-E-026</t>
  </si>
  <si>
    <t>HPP SPBU</t>
  </si>
  <si>
    <t>LB-E-027</t>
  </si>
  <si>
    <t>HPP Watersport</t>
  </si>
  <si>
    <t>LB-E-028</t>
  </si>
  <si>
    <t>HPP Akomodasi</t>
  </si>
  <si>
    <t>LB-E-029</t>
  </si>
  <si>
    <t>HPP Air Bersih</t>
  </si>
  <si>
    <t>LB-E-030</t>
  </si>
  <si>
    <t>BPP Golomori</t>
  </si>
  <si>
    <t>HPP Depresiasi</t>
  </si>
  <si>
    <t>HARGA POKOK PENJUALAN</t>
  </si>
  <si>
    <t>LABA (RUGI) KOTOR</t>
  </si>
  <si>
    <t>Jumlah Beban Operasi</t>
  </si>
  <si>
    <t>LABA (RUGI) OPERASI</t>
  </si>
  <si>
    <t>Jumlah Pendapatan (Beban) Non Operasional</t>
  </si>
  <si>
    <t>LABA (RUGI) SEBELUM PAJAK</t>
  </si>
  <si>
    <t>MANFAAT (BEBAN) PAJAK PENGHASILAN</t>
  </si>
  <si>
    <t>LB-E-009</t>
  </si>
  <si>
    <t>Pajak Final</t>
  </si>
  <si>
    <t>LB-E-010</t>
  </si>
  <si>
    <t>Pajak Kini</t>
  </si>
  <si>
    <t>LB-E-011</t>
  </si>
  <si>
    <t>Pajak Tangguhan</t>
  </si>
  <si>
    <t>Jumlah Manfaat (Beban) Pajak Penghasilan</t>
  </si>
  <si>
    <t>LABA (RUGI) BERSIH</t>
  </si>
  <si>
    <t>LB-NCI-001</t>
  </si>
  <si>
    <t>Diatribusikan ke Kepentingan Pengendali</t>
  </si>
  <si>
    <t>LB-NCI-002</t>
  </si>
  <si>
    <t>Diatribusikan ke Kepentingan Non Pengendali</t>
  </si>
  <si>
    <t>PENGHASILAN (KERUGIAN) KOMPREHENSIF LAIN</t>
  </si>
  <si>
    <t>Pos yang Tidak akan direklasifikasi ke Laba (Rugi)</t>
  </si>
  <si>
    <t>LB-K-012</t>
  </si>
  <si>
    <t>Perubahan Nilai Wajar atas Investasi Saham</t>
  </si>
  <si>
    <t>LB-K-014</t>
  </si>
  <si>
    <t>Kerugian Pengukuran Kembali atas Liabilitas Imbalan Kerja</t>
  </si>
  <si>
    <t>LB-K-013</t>
  </si>
  <si>
    <t>Keuntungan Bersih yang Belum Direalisasi dari kenaikan nilai wajar surat berharga yang tersedia untuk dijual</t>
  </si>
  <si>
    <t>Pos yang akan direklasifikasi ke Laba (Rugi)</t>
  </si>
  <si>
    <t>-</t>
  </si>
  <si>
    <t>LABA (RUGI) BERSIH KOMPREHENSIF</t>
  </si>
  <si>
    <t>B.</t>
  </si>
  <si>
    <t>POSISI KEUANGAN</t>
  </si>
  <si>
    <t>Total Aset Lancar</t>
  </si>
  <si>
    <t>Total Nilai Penyertaan</t>
  </si>
  <si>
    <t>PS-A-020</t>
  </si>
  <si>
    <t>PROPERTI INVESTASI</t>
  </si>
  <si>
    <t>ASET  TETAP</t>
  </si>
  <si>
    <t>PS-A-021</t>
  </si>
  <si>
    <t>T a n a h</t>
  </si>
  <si>
    <t>PS-A-022</t>
  </si>
  <si>
    <t>Landscaping &amp; Gardening</t>
  </si>
  <si>
    <t>PS-A-023</t>
  </si>
  <si>
    <t>PS-A-024</t>
  </si>
  <si>
    <t>Mesin dan peralatan</t>
  </si>
  <si>
    <t>PS-A-025</t>
  </si>
  <si>
    <t>Peralatan Kantor dan Rekreasi</t>
  </si>
  <si>
    <t>PS-A-026</t>
  </si>
  <si>
    <t>Perlengkapan Kantor</t>
  </si>
  <si>
    <t>PS-A-027</t>
  </si>
  <si>
    <t>Kendaraan Bermotor</t>
  </si>
  <si>
    <t>PS-A-028</t>
  </si>
  <si>
    <t>Aktiva dalam Penyelesaian</t>
  </si>
  <si>
    <t>Total Aset Tetap</t>
  </si>
  <si>
    <t>PS-A-029</t>
  </si>
  <si>
    <t>Akumulasi Penyusutan</t>
  </si>
  <si>
    <t>PS-A-030</t>
  </si>
  <si>
    <t>Penurunan Nilai</t>
  </si>
  <si>
    <t>Nilai Bersih Aset Tetap</t>
  </si>
  <si>
    <t>BIAYA DITANGGUHKAN</t>
  </si>
  <si>
    <t>ASET  LAIN-LAIN</t>
  </si>
  <si>
    <t>PS-A-031</t>
  </si>
  <si>
    <t>Aset Hak-Guna (nilai bersih)</t>
  </si>
  <si>
    <t>PS-A-032</t>
  </si>
  <si>
    <t>Kas yang Dibatasi Penggunaannya</t>
  </si>
  <si>
    <t>PS-A-033</t>
  </si>
  <si>
    <t>PS-A-034</t>
  </si>
  <si>
    <t>Uang Jaminan</t>
  </si>
  <si>
    <t>PS-A-035</t>
  </si>
  <si>
    <t>Surat Berharga - Neto dari Bagian Lancar</t>
  </si>
  <si>
    <t>PS-A-036</t>
  </si>
  <si>
    <t>Aset lainnya</t>
  </si>
  <si>
    <t>PS-A-037</t>
  </si>
  <si>
    <t>Cadangan Kerugian Penurunan Nilai</t>
  </si>
  <si>
    <t>PS-A-038</t>
  </si>
  <si>
    <t>Aktiva Pajak Tangguhan</t>
  </si>
  <si>
    <t>PS-A-039</t>
  </si>
  <si>
    <t>Goodwill</t>
  </si>
  <si>
    <t>Nilai Bersih Aset Lain-Lain</t>
  </si>
  <si>
    <t>JUMLAH AKTIVA</t>
  </si>
  <si>
    <t>LIABILITAS  JANGKA  PENDEK</t>
  </si>
  <si>
    <t>PS-L-001</t>
  </si>
  <si>
    <t>Hutang Usaha</t>
  </si>
  <si>
    <t>PS-L-002</t>
  </si>
  <si>
    <t>Hutang Sewa Hak-Guna</t>
  </si>
  <si>
    <t>PS-L-004</t>
  </si>
  <si>
    <t>Hutang Pajak</t>
  </si>
  <si>
    <t>PS-L-005</t>
  </si>
  <si>
    <t>Hutang Lain - lain</t>
  </si>
  <si>
    <t>PS-L-006</t>
  </si>
  <si>
    <t>Biaya yang masih harus dibayar</t>
  </si>
  <si>
    <t>PS-L-007</t>
  </si>
  <si>
    <t>Pendapatan diterima dimuka Jk. Pendek</t>
  </si>
  <si>
    <t>PS-L-003</t>
  </si>
  <si>
    <t>Hutang Asuransi</t>
  </si>
  <si>
    <t>PS-L-008</t>
  </si>
  <si>
    <t>Pinjaman Bank Jangka Pendek</t>
  </si>
  <si>
    <t>PS-L-015</t>
  </si>
  <si>
    <t>Liabilitas Imbalan Pasca Kerja - Jangka Pendek</t>
  </si>
  <si>
    <t>Total Liabilitas Jangka Pendek</t>
  </si>
  <si>
    <t>LIABILITAS  JANGKA  PANJANG</t>
  </si>
  <si>
    <t>PS-L-013</t>
  </si>
  <si>
    <t>Liabilitas Sewa Guna Jk. Panjang</t>
  </si>
  <si>
    <t>PS-L-009</t>
  </si>
  <si>
    <t>Hutang Bunga Pinjaman Jk Panjang</t>
  </si>
  <si>
    <t>PS-L-010</t>
  </si>
  <si>
    <t>Pendapatan diterima dimuka Jk. Panjang</t>
  </si>
  <si>
    <t>PS-L-011</t>
  </si>
  <si>
    <t>Pinjaman Bank Jk. Panjang</t>
  </si>
  <si>
    <t>PS-L-014</t>
  </si>
  <si>
    <t>Hutang Lain-Lain Jk Panjang</t>
  </si>
  <si>
    <t>PS-L-012</t>
  </si>
  <si>
    <t>Liabilitas Imbalan Kerja</t>
  </si>
  <si>
    <t>PS-L-017</t>
  </si>
  <si>
    <t>Kewajiban Pajak Tangguhan</t>
  </si>
  <si>
    <t>Total Liabilitas Jangka Panjang</t>
  </si>
  <si>
    <t>TOTAL LIABILITAS</t>
  </si>
  <si>
    <t>EKUITAS</t>
  </si>
  <si>
    <t>PS-E-001</t>
  </si>
  <si>
    <t>Modal Disetor</t>
  </si>
  <si>
    <t>PS-E-002</t>
  </si>
  <si>
    <t>Uang Muka Setoran Modal</t>
  </si>
  <si>
    <t>PS-E-003</t>
  </si>
  <si>
    <t>Tambahan Modal Disetor</t>
  </si>
  <si>
    <t>Modal yang ditempatkan dan disetor</t>
  </si>
  <si>
    <t>PS-E-004</t>
  </si>
  <si>
    <t>Modal Donasi</t>
  </si>
  <si>
    <t>PS-E-005</t>
  </si>
  <si>
    <t>Penghasilan Komprehensif</t>
  </si>
  <si>
    <t>Total Ekuitas</t>
  </si>
  <si>
    <t>SALDO LABA</t>
  </si>
  <si>
    <t>PS-E-006</t>
  </si>
  <si>
    <t>Sudah ditentukan penggunaannya</t>
  </si>
  <si>
    <t>PS-E-007</t>
  </si>
  <si>
    <t>Belum ditentukan penggunaannya</t>
  </si>
  <si>
    <t>PS-E-XWZ</t>
  </si>
  <si>
    <t>Total Saldo Laba</t>
  </si>
  <si>
    <t>PS-E-008</t>
  </si>
  <si>
    <t>KEPENTINGAN NON PENGENDALI</t>
  </si>
  <si>
    <t>TOTAL EKUITAS</t>
  </si>
  <si>
    <t>JUMLAH PASIVA</t>
  </si>
  <si>
    <t xml:space="preserve">                                  - </t>
  </si>
  <si>
    <t>C.</t>
  </si>
  <si>
    <t>PROGNOSA ARUS KAS</t>
  </si>
  <si>
    <t>CF-A-001</t>
  </si>
  <si>
    <t>Penerimaan Dari Pelanggan</t>
  </si>
  <si>
    <t>CF-A-002</t>
  </si>
  <si>
    <t>Penerimaan Bunga</t>
  </si>
  <si>
    <t>CF-A-003</t>
  </si>
  <si>
    <t xml:space="preserve">Penerimaan Operasional Lainnya </t>
  </si>
  <si>
    <t>CF-A-004</t>
  </si>
  <si>
    <t xml:space="preserve">Pembayaran Kepada Pemasok </t>
  </si>
  <si>
    <t>CF-A-005</t>
  </si>
  <si>
    <t>Pembayaran Pajak</t>
  </si>
  <si>
    <t>CF-A-006</t>
  </si>
  <si>
    <t>Pembayaran Beban Gaji dan Tunjangan</t>
  </si>
  <si>
    <t>CF-A-007</t>
  </si>
  <si>
    <t>Biaya Operasional Lainnya</t>
  </si>
  <si>
    <t>CF-A-022</t>
  </si>
  <si>
    <t>Pembayaran Bunga Pinjaman Jangka Panjang</t>
  </si>
  <si>
    <t>CF-A-023</t>
  </si>
  <si>
    <t>Pembayaran Bunga Pinjaman Jangka Pendek</t>
  </si>
  <si>
    <t>CF-A-037</t>
  </si>
  <si>
    <t>Penambahan pada dana yang dibatasi penggunaannya terkait rekening kompensasi lahan</t>
  </si>
  <si>
    <t>CF-A-038</t>
  </si>
  <si>
    <t>Pembayaran bunga sewa</t>
  </si>
  <si>
    <t>CF-A-008</t>
  </si>
  <si>
    <t>Transaksi Antar Kantor</t>
  </si>
  <si>
    <t xml:space="preserve">Arus Kas Bersih Bersih Diperoleh dari (Digunakan untuk) Aktivitas Operasi </t>
  </si>
  <si>
    <t>CF-A-009</t>
  </si>
  <si>
    <t>Penerimaan/Pengeluaran Deposito Berjangka</t>
  </si>
  <si>
    <t>CF-A-010</t>
  </si>
  <si>
    <t>Penerimaan/Pengeluaran Investasi Saham</t>
  </si>
  <si>
    <t>CF-A-011</t>
  </si>
  <si>
    <t>Akuisisi Entitas Anak (Netto)</t>
  </si>
  <si>
    <t>CF-A-012</t>
  </si>
  <si>
    <t>Penerimaan/Pengeluaraan Hutang Pihak Berelasi</t>
  </si>
  <si>
    <t>CF-A-013</t>
  </si>
  <si>
    <t xml:space="preserve">Penerimaan/Pengeluaraan Investasi Pada Surat Berharga </t>
  </si>
  <si>
    <t>CF-A-014</t>
  </si>
  <si>
    <t xml:space="preserve">Penerimaan Bunga Investasi Pada Surat Berharga </t>
  </si>
  <si>
    <t>CF-A-015</t>
  </si>
  <si>
    <t>Pembelian/Penjualan Aset Tetap</t>
  </si>
  <si>
    <t>CF-A-016</t>
  </si>
  <si>
    <t xml:space="preserve">Pengeluaran/Penerimaan Aset Lain-lain </t>
  </si>
  <si>
    <t xml:space="preserve">Arus Kas Bersih Bersih Diperoleh dari (Digunakan untuk) Aktivitas Investasi </t>
  </si>
  <si>
    <t>CF-A-017</t>
  </si>
  <si>
    <t>CF-A-018</t>
  </si>
  <si>
    <t>Penyertaan dari Pihak Non Pengendali</t>
  </si>
  <si>
    <t>CF-A-019</t>
  </si>
  <si>
    <t>Penerimaan/Pembayaran Hutang Jangka Panjang</t>
  </si>
  <si>
    <t>CF-A-020</t>
  </si>
  <si>
    <t>Penerimaan/Pembayaran Hutang Jangka Pendek</t>
  </si>
  <si>
    <t>CF-A-024</t>
  </si>
  <si>
    <t>Pembayaran Dividen</t>
  </si>
  <si>
    <t xml:space="preserve">Pembayaran Program Kemitraan dan Bina Lingkungan </t>
  </si>
  <si>
    <t>CF-A-025</t>
  </si>
  <si>
    <t>Penerimaan/Pembayaran Pinjaman Lainnya</t>
  </si>
  <si>
    <t>Penerimaan/Pembayaran dari Pihak Non Pengendali</t>
  </si>
  <si>
    <t>CF-A-027</t>
  </si>
  <si>
    <t>Penerimaan/Pembayaran Lainnya</t>
  </si>
  <si>
    <t>CF-A-026</t>
  </si>
  <si>
    <t>Penyertaan Modal Negara</t>
  </si>
  <si>
    <t>CF-A-030</t>
  </si>
  <si>
    <t>Pembayaran (Penerimaan) Liabilitas Sewa</t>
  </si>
  <si>
    <t>CF-A-032</t>
  </si>
  <si>
    <t>Penempatan pada Kas dan Bank yang dibatasi penggunannya</t>
  </si>
  <si>
    <t xml:space="preserve">Arus Kas Bersih Bersih Digunakan Untuk Aktivitas Pendanaan </t>
  </si>
  <si>
    <t>KENAIKAN (PENURUNAN) KAS DAN SETARA KAS</t>
  </si>
  <si>
    <t>CF-A-029</t>
  </si>
  <si>
    <t>SALDO KAS DAN SETARA KAS AWAL PERIODE</t>
  </si>
  <si>
    <t>CF-A-034</t>
  </si>
  <si>
    <t>NETO DAMPAK KURS</t>
  </si>
  <si>
    <t>SALDO KAS DAN SETARA KAS AKHIR PERIODE</t>
  </si>
  <si>
    <t>Kontrol</t>
  </si>
  <si>
    <t>Balance Neraca</t>
  </si>
  <si>
    <t>Balance Saldo Kas</t>
  </si>
  <si>
    <t>Balance WS Input PNL</t>
  </si>
  <si>
    <t>Balance WS Input PS</t>
  </si>
  <si>
    <t>Balance Ekuitas dan Induk</t>
  </si>
  <si>
    <t>Pembalance BS</t>
  </si>
  <si>
    <t>Laba Operasi</t>
  </si>
  <si>
    <t>Keuntungan Beda Kurs</t>
  </si>
  <si>
    <t>Beban Kerugian Beda Kurs</t>
  </si>
  <si>
    <t>Beban Penyusutan dan Amortisasi</t>
  </si>
  <si>
    <t>EBITDA</t>
  </si>
  <si>
    <t>Pendapatan Operasional</t>
  </si>
  <si>
    <t>EBITDA Margin</t>
  </si>
  <si>
    <t>BOPO</t>
  </si>
  <si>
    <t>Beban Operasional</t>
  </si>
  <si>
    <t>Net Income Margin</t>
  </si>
  <si>
    <t>Laba (RugI) Bersih</t>
  </si>
  <si>
    <t>Revenue Stream</t>
  </si>
  <si>
    <t>Pemilik Destinasi</t>
  </si>
  <si>
    <t>Aset Produktif</t>
  </si>
  <si>
    <t>Manajemen Destinasi</t>
  </si>
  <si>
    <t>Utilitas Properti</t>
  </si>
  <si>
    <t>Jumlah</t>
  </si>
  <si>
    <t>DER</t>
  </si>
  <si>
    <t>DEBT to EBITDA</t>
  </si>
  <si>
    <t>Jumlah Liabilitas</t>
  </si>
  <si>
    <t>ROA</t>
  </si>
  <si>
    <t>Laba (Rugi) Bersih</t>
  </si>
  <si>
    <t>Total Aset</t>
  </si>
  <si>
    <t>ROE</t>
  </si>
  <si>
    <t>Rasio Lancar</t>
  </si>
  <si>
    <t>Aset Lancar</t>
  </si>
  <si>
    <t>Liabilitas Lancar</t>
  </si>
  <si>
    <t>Rasio Kas</t>
  </si>
  <si>
    <t>Kas setara Kas</t>
  </si>
  <si>
    <t>IBD to EBITDA</t>
  </si>
  <si>
    <t>IBD</t>
  </si>
  <si>
    <t>Asset Turnover</t>
  </si>
  <si>
    <t>Interest Bearing Debt (IBD)</t>
  </si>
  <si>
    <t>Total Invested Capital (IC)</t>
  </si>
  <si>
    <t>IBD/IC</t>
  </si>
  <si>
    <t>INPUT ASSUMPTIONS</t>
  </si>
  <si>
    <t>Inflation Rate (Annual)</t>
  </si>
  <si>
    <t>Based on Bank Indonesia historical data</t>
  </si>
  <si>
    <t>Confidence Level</t>
  </si>
  <si>
    <t>Used for O&amp;M cost standard deviation calculations</t>
  </si>
  <si>
    <t>Discount Rate</t>
  </si>
  <si>
    <t>Analysis Base Year</t>
  </si>
  <si>
    <t>ASSET INFORMATION</t>
  </si>
  <si>
    <t>Asset Category</t>
  </si>
  <si>
    <t>Total Value (IDR)</t>
  </si>
  <si>
    <t>Acquisition Year</t>
  </si>
  <si>
    <t>Building &amp; Equipment (Pullman)</t>
  </si>
  <si>
    <t>O&amp;M COST STATISTICS</t>
  </si>
  <si>
    <t>Number of Observations</t>
  </si>
  <si>
    <t>Mean Annual O&amp;M Cost</t>
  </si>
  <si>
    <t>Standard Deviation (±)</t>
  </si>
  <si>
    <t>Std Dev (%)</t>
  </si>
  <si>
    <t>Upper Bound (Mean + StdDev)</t>
  </si>
  <si>
    <t>Lower Bound (Mean - StdDev)</t>
  </si>
  <si>
    <t>ESL CALCULATION TABLE</t>
  </si>
  <si>
    <t>Age</t>
  </si>
  <si>
    <t>Annual Investment Cost (AIC)</t>
  </si>
  <si>
    <t>Annual O&amp;M Cost (AOC)</t>
  </si>
  <si>
    <t>Total Annual Cost (TAC)</t>
  </si>
  <si>
    <t>INTERPRETATION NOTES:</t>
  </si>
  <si>
    <t>← Minimum TAC occurs around this age</t>
  </si>
  <si>
    <t>• TAC (Total Annual Cost) = AIC + AOC</t>
  </si>
  <si>
    <t>• AIC (Annual Investment Cost) represents capital recovery and depreciation</t>
  </si>
  <si>
    <t>• ESL occurs at the minimum point of the TAC curve</t>
  </si>
  <si>
    <t>• The optimal replacement year is when TAC is minimized</t>
  </si>
  <si>
    <t>MINIMUM TAC ANALYSIS:</t>
  </si>
  <si>
    <t>Minimum TAC Value:</t>
  </si>
  <si>
    <t>Year at Minimum TAC:</t>
  </si>
  <si>
    <t>Asset Age at ESL:</t>
  </si>
  <si>
    <t>Remaining Economic Life:</t>
  </si>
  <si>
    <t>years from base year</t>
  </si>
  <si>
    <t>ESL RESULTS SUMMARY</t>
  </si>
  <si>
    <t>Assumed Life</t>
  </si>
  <si>
    <t>ESL (Years)</t>
  </si>
  <si>
    <t>ESL Year Range</t>
  </si>
  <si>
    <t>Status</t>
  </si>
  <si>
    <t>Within Design Life</t>
  </si>
  <si>
    <t>PROPOSED STANDARDS (Chapter VI):</t>
  </si>
  <si>
    <t>• Pavement Assets (Runway, Taxiway, Apron):</t>
  </si>
  <si>
    <t>60 years</t>
  </si>
  <si>
    <t>With minimum 4x overlay in 20 years</t>
  </si>
  <si>
    <t>• Building Structures (Terminal, Cargo, etc):</t>
  </si>
  <si>
    <t>50 years</t>
  </si>
  <si>
    <t>As per initial design specification</t>
  </si>
  <si>
    <t>KEY FINDINGS:</t>
  </si>
  <si>
    <t>✓ ESL calculations show assets can exceed design life with proper O&amp;M</t>
  </si>
  <si>
    <t>METHODOLOGY NOTES</t>
  </si>
  <si>
    <t>1. AIC (Annual Investment Cost): Represents capital recovery based on asset value, depreciation, and sinking fund calculations</t>
  </si>
  <si>
    <t>2. AOC (Annual O&amp;M Cost): Operating and maintenance costs adjusted for inflation and age deterioration factor</t>
  </si>
  <si>
    <t>3. TAC (Total Annual Cost): Sum of AIC and AOC, minimum point indicates optimal economic service life</t>
  </si>
  <si>
    <t>4. Inflation Rate: 4.06% based on Bank Indonesia historical data</t>
  </si>
  <si>
    <t>5. Age Factor: O&amp;M costs increase with asset age due to deterioration (up to 50% over design life)</t>
  </si>
  <si>
    <t>6. Data Source: Maintenance History from actual operations, Asset Data from capitalization records</t>
  </si>
  <si>
    <t>ECONOMIC SERVICE LIFE (ESL) ANALYSIS - PULLMAN</t>
  </si>
  <si>
    <t>✓ Current PT Injourney maintenance strategy effectively extends asset life</t>
  </si>
  <si>
    <t>✓ Pullman Building &amp; Equipment ESL: 1 year vs. 30.9 year design standard</t>
  </si>
  <si>
    <t>✓ Low ESL indicates high initial capital recovery cost relative to O&amp;M</t>
  </si>
  <si>
    <t>PULLMAN HOTEL - MARKET VALUE PROJECTION ANALYSIS</t>
  </si>
  <si>
    <t>Categorical Depreciation Approach (2025-2045)</t>
  </si>
  <si>
    <t>Baseline Date: July 2025</t>
  </si>
  <si>
    <t>CATEGORY AGGREGATION SUMMARY</t>
  </si>
  <si>
    <t>Asset Count</t>
  </si>
  <si>
    <t>Current NBV (B IDR)</t>
  </si>
  <si>
    <t>Total Acq Cost (B IDR)</t>
  </si>
  <si>
    <t>Avg Life (Months)</t>
  </si>
  <si>
    <t>Avg Life (Years)</t>
  </si>
  <si>
    <t>Current Depre %</t>
  </si>
  <si>
    <t>Remaining Life (Months)</t>
  </si>
  <si>
    <t>Remaining Life (Years)</t>
  </si>
  <si>
    <t>Annual Depre (B IDR)</t>
  </si>
  <si>
    <t>Monthly Depre (B IDR)</t>
  </si>
  <si>
    <t>TOTAL PORTFOLIO</t>
  </si>
  <si>
    <t>MARKET VALUE PROJECTION BY CATEGORY (2025-2045)</t>
  </si>
  <si>
    <t>Total Portfolio</t>
  </si>
  <si>
    <t>% of Original</t>
  </si>
  <si>
    <t>KEY METRICS &amp; MILESTONES</t>
  </si>
  <si>
    <t>Current Total Market Value (July 2025):</t>
  </si>
  <si>
    <t>Projected Value - 2030:</t>
  </si>
  <si>
    <t>Projected Value - 2035:</t>
  </si>
  <si>
    <t>Projected Value - 2040:</t>
  </si>
  <si>
    <t>Projected Value - 2045:</t>
  </si>
  <si>
    <t>Total Depreciation (2025-2045):</t>
  </si>
  <si>
    <t>Total Depreciation %:</t>
  </si>
  <si>
    <t>Average Annual Depreciation:</t>
  </si>
  <si>
    <t>Average Annual Depreciation Rate:</t>
  </si>
  <si>
    <t>ASSET REPLACEMENT REQUIREMENTS BY DECADE</t>
  </si>
  <si>
    <t>Period</t>
  </si>
  <si>
    <t>Years</t>
  </si>
  <si>
    <t>Market Value Decline (B IDR)</t>
  </si>
  <si>
    <t>% of Total Value Lost</t>
  </si>
  <si>
    <t>Primary Categories Affected</t>
  </si>
  <si>
    <t>2025-2030</t>
  </si>
  <si>
    <t>Equipment, Perlengkapan, Systems</t>
  </si>
  <si>
    <t>2030-2035</t>
  </si>
  <si>
    <t>Machinery fully depreciated</t>
  </si>
  <si>
    <t>2035-2040</t>
  </si>
  <si>
    <t>Continued building decline</t>
  </si>
  <si>
    <t>2040-2045</t>
  </si>
  <si>
    <t>Buildings &amp; Landscape only</t>
  </si>
  <si>
    <t>Total 2025-2045</t>
  </si>
  <si>
    <t>20 years</t>
  </si>
  <si>
    <t>All categories</t>
  </si>
  <si>
    <t>METHODOLOGY &amp; NOTES</t>
  </si>
  <si>
    <t>1. Baseline: July 2025 Net Book Value of 644.1 Billion IDR</t>
  </si>
  <si>
    <t>2. Depreciation Method: Straight-line depreciation based on weighted average remaining useful life per category</t>
  </si>
  <si>
    <t>3. Category Weighting: Average useful life calculated using acquisition cost as weight factor</t>
  </si>
  <si>
    <t>4. Remaining Life: Calculated as Average Life × (1 - Current Depreciation %)</t>
  </si>
  <si>
    <t>5. Market Value Floor: All projections floored at zero (assets cannot have negative value)</t>
  </si>
  <si>
    <t>Key Findings:</t>
  </si>
  <si>
    <t>• Short-lived assets (Equipment, Perlengkapan, Systems, Lisensi) depreciate within 5 years (by 2029-2030)</t>
  </si>
  <si>
    <t>• Machinery (96-month life) fully depreciates by 2030</t>
  </si>
  <si>
    <t>• Buildings and Landscape (40-year useful life) drive long-term portfolio value</t>
  </si>
  <si>
    <t>• Portfolio retains ~36.5% of current value by 2045</t>
  </si>
  <si>
    <t>• Most aggressive depreciation occurs 2025-2030 (30.7% value loss)</t>
  </si>
  <si>
    <t>• Replacement priority: Equipment/Systems (immediate), Machinery (2028-2030), Buildings (2040+)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</si>
</sst>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[$$-409]* #,##0.00_);_([$$-409]* \(#,##0.00\);_([$$-409]* &quot;-&quot;??_);_(@_)"/>
    <numFmt numFmtId="165" formatCode="#,##0.0"/>
    <numFmt numFmtId="166" formatCode="0.0%"/>
    <numFmt numFmtId="167" formatCode="0.0"/>
    <numFmt numFmtId="168" formatCode="mm/dd/yyyy"/>
    <numFmt numFmtId="169" formatCode="_(* #,##0_);_(* \(#,##0\);_(* &quot;-&quot;_);_(@_)"/>
    <numFmt numFmtId="170" formatCode="_(* #,##0.00_);_(* \(#,##0.00\);_(* &quot;-&quot;??_);_(@_)"/>
    <numFmt numFmtId="171" formatCode="_(* #,##0.00_);_(* \(#,##0.00\);_(* &quot;-&quot;_);_(@_)"/>
  </numFmts>
  <fonts count="75">
    <font>
      <sz val="12"/>
      <color theme="1"/>
      <name val="Calibri"/>
      <scheme val="minor"/>
    </font>
    <font>
      <b/>
      <sz val="14"/>
      <color rgb="FF203764"/>
      <name val="sans-serif"/>
    </font>
    <font>
      <b/>
      <sz val="11"/>
      <color rgb="FFFFFFFF"/>
      <name val="sans-serif"/>
    </font>
    <font>
      <sz val="10"/>
      <name val="sans-serif"/>
    </font>
    <font>
      <b/>
      <sz val="10"/>
      <color rgb="FF0000FF"/>
      <name val="sans-serif"/>
    </font>
    <font>
      <i/>
      <sz val="9"/>
      <color rgb="FF666666"/>
      <name val="sans-serif"/>
    </font>
    <font>
      <sz val="10"/>
      <color rgb="FFFFFFFF"/>
      <name val="sans-serif"/>
    </font>
    <font>
      <sz val="12"/>
      <name val="Calibri"/>
      <scheme val="minor"/>
    </font>
    <font>
      <b/>
      <sz val="18"/>
      <color rgb="FFFFFFFF"/>
      <name val="sans-serif"/>
    </font>
    <font>
      <sz val="11"/>
      <color rgb="FFFFFFFF"/>
      <name val="sans-serif"/>
    </font>
    <font>
      <b/>
      <sz val="16"/>
      <color rgb="FF008000"/>
      <name val="sans-serif"/>
    </font>
    <font>
      <b/>
      <sz val="16"/>
      <color rgb="FF203764"/>
      <name val="sans-serif"/>
    </font>
    <font>
      <b/>
      <sz val="10"/>
      <name val="sans-serif"/>
    </font>
    <font>
      <sz val="12"/>
      <color rgb="FF008000"/>
      <name val="Calibri"/>
      <scheme val="minor"/>
    </font>
    <font>
      <sz val="12"/>
      <color rgb="FF0000FF"/>
      <name val="Calibri"/>
      <scheme val="minor"/>
    </font>
    <font>
      <b/>
      <sz val="12"/>
      <color rgb="FFFFFFFF"/>
      <name val="sans-serif"/>
    </font>
    <font>
      <b/>
      <sz val="11"/>
      <color rgb="FF203764"/>
      <name val="sans-serif"/>
    </font>
    <font>
      <b/>
      <sz val="12"/>
      <color rgb="FF008000"/>
      <name val="sans-serif"/>
    </font>
    <font>
      <b/>
      <sz val="10"/>
      <color rgb="FFFFFFFF"/>
      <name val="sans-serif"/>
    </font>
    <font>
      <i/>
      <sz val="9"/>
      <color rgb="FF969696"/>
      <name val="sans-serif"/>
    </font>
    <font>
      <sz val="11"/>
      <color rgb="FF646464"/>
      <name val="sans-serif"/>
    </font>
    <font>
      <sz val="12"/>
      <color rgb="FF000000"/>
      <name val="Calibri"/>
      <scheme val="minor"/>
    </font>
    <font>
      <sz val="11"/>
      <color rgb="FF0000FF"/>
      <name val="sans-serif"/>
    </font>
    <font>
      <b/>
      <sz val="12"/>
      <color rgb="FF203764"/>
      <name val="sans-serif"/>
    </font>
    <font>
      <b/>
      <sz val="11"/>
      <name val="sans-serif"/>
    </font>
    <font>
      <sz val="10"/>
      <color rgb="FF646464"/>
      <name val="sans-serif"/>
    </font>
    <font>
      <b/>
      <sz val="10"/>
      <color theme="1"/>
      <name val="sans-serif"/>
    </font>
    <font>
      <i/>
      <sz val="9"/>
      <color rgb="FF646464"/>
      <name val="sans-serif"/>
    </font>
    <font>
      <sz val="12"/>
      <color rgb="FF646464"/>
      <name val="sans-serif"/>
    </font>
    <font>
      <b/>
      <sz val="10"/>
      <color rgb="FF203764"/>
      <name val="sans-serif"/>
    </font>
    <font>
      <b/>
      <sz val="10"/>
      <color rgb="FFD63031"/>
      <name val="sans-serif"/>
    </font>
    <font>
      <b/>
      <sz val="11"/>
      <color rgb="FF27AE60"/>
      <name val="sans-serif"/>
    </font>
    <font>
      <sz val="10"/>
      <color theme="1"/>
      <name val="sans-serif"/>
    </font>
    <font>
      <b/>
      <sz val="10"/>
      <color rgb="FFFFFFFF"/>
      <name val="Century Gothic"/>
    </font>
    <font>
      <sz val="10"/>
      <color theme="1"/>
      <name val="Century Gothic"/>
    </font>
    <font>
      <sz val="10"/>
      <color rgb="FFFFFFFF"/>
      <name val="Century Gothic"/>
    </font>
    <font>
      <sz val="10"/>
      <name val="Century Gothic"/>
    </font>
    <font>
      <b/>
      <i/>
      <sz val="10"/>
      <color rgb="FFFF0000"/>
      <name val="Century Gothic"/>
    </font>
    <font>
      <b/>
      <sz val="10"/>
      <name val="Century Gothic"/>
    </font>
    <font>
      <b/>
      <sz val="10"/>
      <color rgb="FFFF0000"/>
      <name val="Century Gothic"/>
    </font>
    <font>
      <b/>
      <sz val="13"/>
      <name val="Arial"/>
    </font>
    <font>
      <sz val="11"/>
      <name val="Arial"/>
    </font>
    <font>
      <sz val="13"/>
      <name val="Arial"/>
    </font>
    <font>
      <b/>
      <sz val="16"/>
      <name val="Arial"/>
    </font>
    <font>
      <i/>
      <sz val="9"/>
      <name val="Century Gothic"/>
    </font>
    <font>
      <sz val="9"/>
      <name val="Century Gothic"/>
    </font>
    <font>
      <sz val="9"/>
      <color rgb="FFFFFFFF"/>
      <name val="Century Gothic"/>
    </font>
    <font>
      <sz val="9"/>
      <color rgb="FFFF0000"/>
      <name val="Century Gothic"/>
    </font>
    <font>
      <b/>
      <sz val="14"/>
      <name val="Century Gothic"/>
    </font>
    <font>
      <i/>
      <sz val="10"/>
      <name val="Century Gothic"/>
    </font>
    <font>
      <b/>
      <i/>
      <sz val="9"/>
      <name val="Century Gothic"/>
    </font>
    <font>
      <b/>
      <sz val="9"/>
      <name val="Century Gothic"/>
    </font>
    <font>
      <b/>
      <sz val="9"/>
      <color rgb="FFFFFFFF"/>
      <name val="Century Gothic"/>
    </font>
    <font>
      <b/>
      <i/>
      <sz val="8"/>
      <name val="Century Gothic"/>
    </font>
    <font>
      <i/>
      <sz val="9"/>
      <color rgb="FF757171"/>
      <name val="Century Gothic"/>
    </font>
    <font>
      <sz val="9"/>
      <color rgb="FF757171"/>
      <name val="Century Gothic"/>
    </font>
    <font>
      <b/>
      <sz val="14"/>
      <name val="Wingdings 2"/>
    </font>
    <font>
      <i/>
      <sz val="9"/>
      <color rgb="FFFFFFFF"/>
      <name val="Century Gothic"/>
    </font>
    <font>
      <b/>
      <sz val="9"/>
      <color rgb="FFFF0000"/>
      <name val="Century Gothic"/>
    </font>
    <font>
      <i/>
      <sz val="8"/>
      <name val="Century Gothic"/>
    </font>
    <font>
      <b/>
      <i/>
      <u/>
      <sz val="9"/>
      <name val="Century Gothic"/>
    </font>
    <font>
      <i/>
      <sz val="8"/>
      <color rgb="FFFFFFFF"/>
      <name val="Century Gothic"/>
    </font>
    <font>
      <i/>
      <sz val="8"/>
      <color rgb="FFFF0000"/>
      <name val="Century Gothic"/>
    </font>
    <font>
      <b/>
      <i/>
      <sz val="9"/>
      <color rgb="FFFFFFFF"/>
      <name val="Century Gothic"/>
    </font>
    <font>
      <i/>
      <sz val="9"/>
      <color rgb="FFFF0000"/>
      <name val="Century Gothic"/>
    </font>
    <font>
      <b/>
      <sz val="16"/>
      <color rgb="FFFFFFFF"/>
      <name val="Calibri"/>
    </font>
    <font>
      <b/>
      <sz val="12"/>
      <color rgb="FFFFFFFF"/>
      <name val="Calibri"/>
    </font>
    <font>
      <sz val="10"/>
      <name val="Calibri"/>
    </font>
    <font>
      <b/>
      <sz val="10"/>
      <name val="Calibri"/>
    </font>
    <font>
      <sz val="9"/>
      <name val="Calibri"/>
    </font>
    <font>
      <i/>
      <sz val="9"/>
      <color rgb="FFC00000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E7E6E6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27AE60"/>
      </patternFill>
    </fill>
    <fill>
      <patternFill patternType="solid">
        <fgColor rgb="FFF4B084"/>
      </patternFill>
    </fill>
    <fill>
      <patternFill patternType="solid">
        <fgColor rgb="FFD0CECE"/>
      </patternFill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757171"/>
      </patternFill>
    </fill>
    <fill>
      <patternFill patternType="solid">
        <fgColor rgb="FFFFE69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medium">
        <color rgb="FF203764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medium">
        <color rgb="FF203764"/>
      </top>
      <bottom/>
      <diagonal/>
    </border>
  </borders>
  <cellStyleXfs count="1">
    <xf numFmtId="0" fontId="0" fillId="0" borderId="1"/>
  </cellStyleXfs>
  <cellXfs count="347">
    <xf numFmtId="0" fontId="0" fillId="0" borderId="1" xfId="0"/>
    <xf numFmtId="0" fontId="1" fillId="0" borderId="1" xfId="0" applyFont="1" applyAlignment="1">
      <alignment horizontal="center" vertical="top"/>
    </xf>
    <xf numFmtId="0" fontId="2" fillId="2" borderId="1" xfId="0" applyFont="1" applyFill="1" applyAlignment="1">
      <alignment horizontal="center" vertical="top"/>
    </xf>
    <xf numFmtId="0" fontId="3" fillId="0" borderId="1" xfId="0" applyFont="1" applyAlignment="1">
      <alignment vertical="top"/>
    </xf>
    <xf numFmtId="10" fontId="4" fillId="3" borderId="1" xfId="0" applyNumberFormat="1" applyFont="1" applyFill="1" applyAlignment="1">
      <alignment vertical="top"/>
    </xf>
    <xf numFmtId="0" fontId="5" fillId="0" borderId="1" xfId="0" applyFont="1" applyAlignment="1">
      <alignment vertical="top"/>
    </xf>
    <xf numFmtId="0" fontId="6" fillId="2" borderId="1" xfId="0" applyFont="1" applyFill="1" applyAlignment="1">
      <alignment vertical="top"/>
    </xf>
    <xf numFmtId="3" fontId="4" fillId="3" borderId="1" xfId="0" applyNumberFormat="1" applyFont="1" applyFill="1" applyAlignment="1">
      <alignment vertical="top"/>
    </xf>
    <xf numFmtId="164" fontId="7" fillId="0" borderId="1" xfId="0" applyNumberFormat="1" applyFont="1" applyAlignment="1">
      <alignment vertical="top"/>
    </xf>
    <xf numFmtId="0" fontId="8" fillId="2" borderId="1" xfId="0" applyFont="1" applyFill="1" applyAlignment="1">
      <alignment vertical="top"/>
    </xf>
    <xf numFmtId="0" fontId="7" fillId="2" borderId="1" xfId="0" applyFont="1" applyFill="1" applyAlignment="1">
      <alignment vertical="top"/>
    </xf>
    <xf numFmtId="0" fontId="9" fillId="4" borderId="1" xfId="0" applyFont="1" applyFill="1" applyAlignment="1">
      <alignment vertical="top"/>
    </xf>
    <xf numFmtId="0" fontId="2" fillId="4" borderId="1" xfId="0" applyFont="1" applyFill="1" applyAlignment="1">
      <alignment horizontal="center" vertical="top"/>
    </xf>
    <xf numFmtId="165" fontId="10" fillId="5" borderId="1" xfId="0" applyNumberFormat="1" applyFont="1" applyFill="1" applyAlignment="1">
      <alignment horizontal="center" vertical="top"/>
    </xf>
    <xf numFmtId="0" fontId="11" fillId="5" borderId="1" xfId="0" applyFont="1" applyFill="1" applyAlignment="1">
      <alignment horizontal="center" vertical="top"/>
    </xf>
    <xf numFmtId="166" fontId="10" fillId="5" borderId="1" xfId="0" applyNumberFormat="1" applyFont="1" applyFill="1" applyAlignment="1">
      <alignment horizontal="center" vertical="top"/>
    </xf>
    <xf numFmtId="1" fontId="11" fillId="5" borderId="1" xfId="0" applyNumberFormat="1" applyFont="1" applyFill="1" applyAlignment="1">
      <alignment horizontal="center" vertical="top"/>
    </xf>
    <xf numFmtId="0" fontId="12" fillId="5" borderId="1" xfId="0" applyFont="1" applyFill="1" applyAlignment="1">
      <alignment vertical="top"/>
    </xf>
    <xf numFmtId="0" fontId="7" fillId="6" borderId="1" xfId="0" applyFont="1" applyFill="1" applyAlignment="1">
      <alignment vertical="top"/>
    </xf>
    <xf numFmtId="165" fontId="13" fillId="6" borderId="1" xfId="0" applyNumberFormat="1" applyFont="1" applyFill="1" applyAlignment="1">
      <alignment vertical="top"/>
    </xf>
    <xf numFmtId="165" fontId="14" fillId="6" borderId="1" xfId="0" applyNumberFormat="1" applyFont="1" applyFill="1" applyAlignment="1">
      <alignment vertical="top"/>
    </xf>
    <xf numFmtId="1" fontId="7" fillId="6" borderId="1" xfId="0" applyNumberFormat="1" applyFont="1" applyFill="1" applyAlignment="1">
      <alignment vertical="top"/>
    </xf>
    <xf numFmtId="166" fontId="13" fillId="6" borderId="1" xfId="0" applyNumberFormat="1" applyFont="1" applyFill="1" applyAlignment="1">
      <alignment vertical="top"/>
    </xf>
    <xf numFmtId="0" fontId="15" fillId="7" borderId="1" xfId="0" applyFont="1" applyFill="1" applyAlignment="1">
      <alignment horizontal="center" vertical="top"/>
    </xf>
    <xf numFmtId="0" fontId="16" fillId="8" borderId="1" xfId="0" applyFont="1" applyFill="1" applyAlignment="1">
      <alignment horizontal="center" vertical="top"/>
    </xf>
    <xf numFmtId="0" fontId="3" fillId="8" borderId="1" xfId="0" applyFont="1" applyFill="1" applyAlignment="1">
      <alignment vertical="top"/>
    </xf>
    <xf numFmtId="165" fontId="17" fillId="8" borderId="1" xfId="0" applyNumberFormat="1" applyFont="1" applyFill="1" applyAlignment="1">
      <alignment vertical="top"/>
    </xf>
    <xf numFmtId="0" fontId="18" fillId="4" borderId="1" xfId="0" applyFont="1" applyFill="1" applyAlignment="1">
      <alignment horizontal="center" vertical="top"/>
    </xf>
    <xf numFmtId="0" fontId="3" fillId="6" borderId="1" xfId="0" applyFont="1" applyFill="1" applyAlignment="1">
      <alignment vertical="top"/>
    </xf>
    <xf numFmtId="166" fontId="17" fillId="8" borderId="1" xfId="0" applyNumberFormat="1" applyFont="1" applyFill="1" applyAlignment="1">
      <alignment vertical="top"/>
    </xf>
    <xf numFmtId="0" fontId="19" fillId="6" borderId="1" xfId="0" applyFont="1" applyFill="1" applyAlignment="1">
      <alignment vertical="top"/>
    </xf>
    <xf numFmtId="0" fontId="1" fillId="0" borderId="1" xfId="0" applyFont="1" applyAlignment="1">
      <alignment vertical="top"/>
    </xf>
    <xf numFmtId="0" fontId="20" fillId="0" borderId="1" xfId="0" applyFont="1" applyAlignment="1">
      <alignment vertical="top"/>
    </xf>
    <xf numFmtId="0" fontId="16" fillId="0" borderId="1" xfId="0" applyFont="1" applyAlignment="1">
      <alignment vertical="top"/>
    </xf>
    <xf numFmtId="0" fontId="12" fillId="0" borderId="1" xfId="0" applyFont="1" applyAlignment="1">
      <alignment vertical="top"/>
    </xf>
    <xf numFmtId="166" fontId="3" fillId="0" borderId="1" xfId="0" applyNumberFormat="1" applyFont="1" applyAlignment="1">
      <alignment vertical="top"/>
    </xf>
    <xf numFmtId="0" fontId="9" fillId="2" borderId="1" xfId="0" applyFont="1" applyFill="1" applyAlignment="1">
      <alignment vertical="top"/>
    </xf>
    <xf numFmtId="0" fontId="7" fillId="5" borderId="1" xfId="0" applyFont="1" applyFill="1" applyAlignment="1">
      <alignment vertical="top"/>
    </xf>
    <xf numFmtId="3" fontId="14" fillId="5" borderId="1" xfId="0" applyNumberFormat="1" applyFont="1" applyFill="1" applyAlignment="1">
      <alignment vertical="top"/>
    </xf>
    <xf numFmtId="167" fontId="7" fillId="5" borderId="1" xfId="0" applyNumberFormat="1" applyFont="1" applyFill="1" applyAlignment="1">
      <alignment vertical="top"/>
    </xf>
    <xf numFmtId="168" fontId="7" fillId="5" borderId="1" xfId="0" applyNumberFormat="1" applyFont="1" applyFill="1" applyAlignment="1">
      <alignment vertical="top"/>
    </xf>
    <xf numFmtId="164" fontId="7" fillId="5" borderId="1" xfId="0" applyNumberFormat="1" applyFont="1" applyFill="1" applyAlignment="1">
      <alignment vertical="top"/>
    </xf>
    <xf numFmtId="3" fontId="7" fillId="5" borderId="1" xfId="0" applyNumberFormat="1" applyFont="1" applyFill="1" applyAlignment="1">
      <alignment vertical="top"/>
    </xf>
    <xf numFmtId="0" fontId="18" fillId="2" borderId="1" xfId="0" applyFont="1" applyFill="1" applyAlignment="1">
      <alignment vertical="top"/>
    </xf>
    <xf numFmtId="164" fontId="18" fillId="2" borderId="1" xfId="0" applyNumberFormat="1" applyFont="1" applyFill="1" applyAlignment="1">
      <alignment vertical="top"/>
    </xf>
    <xf numFmtId="167" fontId="21" fillId="5" borderId="1" xfId="0" applyNumberFormat="1" applyFont="1" applyFill="1" applyAlignment="1">
      <alignment vertical="top"/>
    </xf>
    <xf numFmtId="164" fontId="21" fillId="5" borderId="1" xfId="0" applyNumberFormat="1" applyFont="1" applyFill="1" applyAlignment="1">
      <alignment vertical="top"/>
    </xf>
    <xf numFmtId="1" fontId="9" fillId="2" borderId="1" xfId="0" applyNumberFormat="1" applyFont="1" applyFill="1" applyAlignment="1">
      <alignment vertical="top"/>
    </xf>
    <xf numFmtId="1" fontId="22" fillId="2" borderId="1" xfId="0" applyNumberFormat="1" applyFont="1" applyFill="1" applyAlignment="1">
      <alignment vertical="top"/>
    </xf>
    <xf numFmtId="0" fontId="7" fillId="9" borderId="1" xfId="0" applyFont="1" applyFill="1" applyAlignment="1">
      <alignment vertical="top"/>
    </xf>
    <xf numFmtId="164" fontId="21" fillId="9" borderId="1" xfId="0" applyNumberFormat="1" applyFont="1" applyFill="1" applyAlignment="1">
      <alignment vertical="top"/>
    </xf>
    <xf numFmtId="166" fontId="7" fillId="5" borderId="1" xfId="0" applyNumberFormat="1" applyFont="1" applyFill="1" applyAlignment="1">
      <alignment vertical="top"/>
    </xf>
    <xf numFmtId="164" fontId="3" fillId="0" borderId="1" xfId="0" applyNumberFormat="1" applyFont="1" applyAlignment="1">
      <alignment vertical="top"/>
    </xf>
    <xf numFmtId="166" fontId="0" fillId="0" borderId="1" xfId="0" applyNumberFormat="1"/>
    <xf numFmtId="165" fontId="13" fillId="5" borderId="1" xfId="0" applyNumberFormat="1" applyFont="1" applyFill="1" applyAlignment="1">
      <alignment vertical="top"/>
    </xf>
    <xf numFmtId="165" fontId="21" fillId="5" borderId="1" xfId="0" applyNumberFormat="1" applyFont="1" applyFill="1" applyAlignment="1">
      <alignment vertical="top"/>
    </xf>
    <xf numFmtId="165" fontId="21" fillId="9" borderId="1" xfId="0" applyNumberFormat="1" applyFont="1" applyFill="1" applyAlignment="1">
      <alignment vertical="top"/>
    </xf>
    <xf numFmtId="165" fontId="7" fillId="5" borderId="1" xfId="0" applyNumberFormat="1" applyFont="1" applyFill="1" applyAlignment="1">
      <alignment vertical="top"/>
    </xf>
    <xf numFmtId="0" fontId="9" fillId="2" borderId="1" xfId="0" applyFont="1" applyFill="1" applyAlignment="1">
      <alignment horizontal="center" vertical="top"/>
    </xf>
    <xf numFmtId="166" fontId="14" fillId="5" borderId="1" xfId="0" applyNumberFormat="1" applyFont="1" applyFill="1" applyAlignment="1">
      <alignment vertical="top"/>
    </xf>
    <xf numFmtId="166" fontId="21" fillId="5" borderId="1" xfId="0" applyNumberFormat="1" applyFont="1" applyFill="1" applyAlignment="1">
      <alignment vertical="top"/>
    </xf>
    <xf numFmtId="0" fontId="23" fillId="0" borderId="1" xfId="0" applyFont="1" applyAlignment="1">
      <alignment vertical="top"/>
    </xf>
    <xf numFmtId="0" fontId="24" fillId="10" borderId="1" xfId="0" applyFont="1" applyFill="1" applyAlignment="1">
      <alignment vertical="top"/>
    </xf>
    <xf numFmtId="0" fontId="3" fillId="10" borderId="1" xfId="0" applyFont="1" applyFill="1" applyAlignment="1">
      <alignment vertical="top"/>
    </xf>
    <xf numFmtId="165" fontId="3" fillId="10" borderId="1" xfId="0" applyNumberFormat="1" applyFont="1" applyFill="1" applyAlignment="1">
      <alignment vertical="top"/>
    </xf>
    <xf numFmtId="166" fontId="3" fillId="10" borderId="1" xfId="0" applyNumberFormat="1" applyFont="1" applyFill="1" applyAlignment="1">
      <alignment vertical="top"/>
    </xf>
    <xf numFmtId="0" fontId="16" fillId="0" borderId="1" xfId="0" applyFont="1"/>
    <xf numFmtId="0" fontId="25" fillId="0" borderId="1" xfId="0" applyFont="1"/>
    <xf numFmtId="0" fontId="9" fillId="2" borderId="1" xfId="0" applyFont="1" applyFill="1" applyAlignment="1">
      <alignment horizontal="center"/>
    </xf>
    <xf numFmtId="0" fontId="0" fillId="5" borderId="1" xfId="0" applyFill="1"/>
    <xf numFmtId="0" fontId="0" fillId="6" borderId="1" xfId="0" applyFill="1" applyAlignment="1">
      <alignment horizontal="center"/>
    </xf>
    <xf numFmtId="0" fontId="26" fillId="5" borderId="1" xfId="0" applyFont="1" applyFill="1"/>
    <xf numFmtId="10" fontId="0" fillId="0" borderId="1" xfId="0" applyNumberFormat="1"/>
    <xf numFmtId="165" fontId="0" fillId="0" borderId="1" xfId="0" applyNumberFormat="1"/>
    <xf numFmtId="0" fontId="18" fillId="2" borderId="1" xfId="0" applyFont="1" applyFill="1"/>
    <xf numFmtId="0" fontId="2" fillId="2" borderId="1" xfId="0" applyFont="1" applyFill="1"/>
    <xf numFmtId="0" fontId="26" fillId="0" borderId="1" xfId="0" applyFont="1"/>
    <xf numFmtId="165" fontId="14" fillId="9" borderId="1" xfId="0" applyNumberFormat="1" applyFont="1" applyFill="1" applyAlignment="1">
      <alignment vertical="top"/>
    </xf>
    <xf numFmtId="0" fontId="0" fillId="0" borderId="2" xfId="0" applyBorder="1" applyAlignment="1">
      <alignment horizontal="center" vertical="center"/>
    </xf>
    <xf numFmtId="0" fontId="9" fillId="2" borderId="1" xfId="0" applyFont="1" applyFill="1" applyAlignment="1">
      <alignment horizontal="center" vertical="center"/>
    </xf>
    <xf numFmtId="3" fontId="14" fillId="5" borderId="1" xfId="0" applyNumberFormat="1" applyFont="1" applyFill="1" applyAlignment="1">
      <alignment horizontal="center" vertical="center"/>
    </xf>
    <xf numFmtId="3" fontId="13" fillId="5" borderId="1" xfId="0" applyNumberFormat="1" applyFont="1" applyFill="1" applyAlignment="1">
      <alignment horizontal="center" vertical="center"/>
    </xf>
    <xf numFmtId="166" fontId="14" fillId="5" borderId="1" xfId="0" applyNumberFormat="1" applyFont="1" applyFill="1" applyAlignment="1">
      <alignment horizontal="center" vertical="center"/>
    </xf>
    <xf numFmtId="166" fontId="13" fillId="5" borderId="1" xfId="0" applyNumberFormat="1" applyFont="1" applyFill="1" applyAlignment="1">
      <alignment horizontal="center" vertical="center"/>
    </xf>
    <xf numFmtId="0" fontId="27" fillId="0" borderId="1" xfId="0" applyFont="1" applyAlignment="1">
      <alignment vertical="top"/>
    </xf>
    <xf numFmtId="0" fontId="3" fillId="10" borderId="1" xfId="0" applyFont="1" applyFill="1" applyAlignment="1">
      <alignment vertical="center"/>
    </xf>
    <xf numFmtId="0" fontId="18" fillId="2" borderId="1" xfId="0" applyFont="1" applyFill="1" applyAlignment="1">
      <alignment horizontal="center"/>
    </xf>
    <xf numFmtId="3" fontId="0" fillId="0" borderId="1" xfId="0" applyNumberFormat="1"/>
    <xf numFmtId="3" fontId="13" fillId="5" borderId="1" xfId="0" applyNumberFormat="1" applyFont="1" applyFill="1" applyAlignment="1">
      <alignment vertical="top"/>
    </xf>
    <xf numFmtId="165" fontId="14" fillId="5" borderId="1" xfId="0" applyNumberFormat="1" applyFont="1" applyFill="1" applyAlignment="1">
      <alignment vertical="top"/>
    </xf>
    <xf numFmtId="166" fontId="21" fillId="9" borderId="1" xfId="0" applyNumberFormat="1" applyFont="1" applyFill="1" applyAlignment="1">
      <alignment vertical="top"/>
    </xf>
    <xf numFmtId="0" fontId="33" fillId="2" borderId="3" xfId="0" applyFont="1" applyFill="1" applyBorder="1" applyAlignment="1">
      <alignment horizontal="center"/>
    </xf>
    <xf numFmtId="0" fontId="34" fillId="5" borderId="3" xfId="0" applyFont="1" applyFill="1" applyBorder="1" applyAlignment="1">
      <alignment horizontal="center"/>
    </xf>
    <xf numFmtId="0" fontId="34" fillId="5" borderId="3" xfId="0" applyFont="1" applyFill="1" applyBorder="1" applyAlignment="1">
      <alignment horizontal="left"/>
    </xf>
    <xf numFmtId="14" fontId="34" fillId="5" borderId="3" xfId="0" applyNumberFormat="1" applyFont="1" applyFill="1" applyBorder="1" applyAlignment="1">
      <alignment horizontal="center"/>
    </xf>
    <xf numFmtId="41" fontId="34" fillId="5" borderId="3" xfId="0" applyNumberFormat="1" applyFont="1" applyFill="1" applyBorder="1" applyAlignment="1">
      <alignment horizontal="center"/>
    </xf>
    <xf numFmtId="0" fontId="34" fillId="5" borderId="3" xfId="0" applyFont="1" applyFill="1" applyBorder="1"/>
    <xf numFmtId="169" fontId="34" fillId="5" borderId="3" xfId="0" applyNumberFormat="1" applyFont="1" applyFill="1" applyBorder="1"/>
    <xf numFmtId="41" fontId="34" fillId="5" borderId="3" xfId="0" applyNumberFormat="1" applyFont="1" applyFill="1" applyBorder="1"/>
    <xf numFmtId="41" fontId="33" fillId="2" borderId="3" xfId="0" applyNumberFormat="1" applyFont="1" applyFill="1" applyBorder="1"/>
    <xf numFmtId="0" fontId="35" fillId="2" borderId="3" xfId="0" applyFont="1" applyFill="1" applyBorder="1"/>
    <xf numFmtId="0" fontId="36" fillId="0" borderId="1" xfId="0" applyFont="1"/>
    <xf numFmtId="0" fontId="36" fillId="0" borderId="1" xfId="0" applyFont="1" applyAlignment="1">
      <alignment horizontal="center"/>
    </xf>
    <xf numFmtId="41" fontId="36" fillId="0" borderId="1" xfId="0" applyNumberFormat="1" applyFont="1" applyAlignment="1">
      <alignment horizontal="center"/>
    </xf>
    <xf numFmtId="0" fontId="36" fillId="0" borderId="1" xfId="0" applyFont="1" applyAlignment="1">
      <alignment horizontal="center" wrapText="1"/>
    </xf>
    <xf numFmtId="0" fontId="33" fillId="2" borderId="1" xfId="0" applyFont="1" applyFill="1" applyAlignment="1">
      <alignment horizontal="center" vertical="center"/>
    </xf>
    <xf numFmtId="41" fontId="33" fillId="2" borderId="1" xfId="0" applyNumberFormat="1" applyFont="1" applyFill="1" applyAlignment="1">
      <alignment horizontal="center" vertical="center"/>
    </xf>
    <xf numFmtId="0" fontId="33" fillId="2" borderId="1" xfId="0" applyFont="1" applyFill="1" applyAlignment="1">
      <alignment horizontal="center" wrapText="1"/>
    </xf>
    <xf numFmtId="0" fontId="36" fillId="0" borderId="1" xfId="0" applyFont="1" applyAlignment="1">
      <alignment horizontal="left"/>
    </xf>
    <xf numFmtId="14" fontId="36" fillId="0" borderId="1" xfId="0" applyNumberFormat="1" applyFont="1" applyAlignment="1">
      <alignment horizontal="center"/>
    </xf>
    <xf numFmtId="41" fontId="36" fillId="0" borderId="1" xfId="0" applyNumberFormat="1" applyFont="1" applyAlignment="1">
      <alignment horizontal="center" wrapText="1"/>
    </xf>
    <xf numFmtId="43" fontId="36" fillId="0" borderId="1" xfId="0" applyNumberFormat="1" applyFont="1" applyAlignment="1">
      <alignment horizontal="center" wrapText="1"/>
    </xf>
    <xf numFmtId="0" fontId="37" fillId="0" borderId="1" xfId="0" applyFont="1" applyAlignment="1">
      <alignment horizontal="left"/>
    </xf>
    <xf numFmtId="0" fontId="38" fillId="12" borderId="1" xfId="0" applyFont="1" applyFill="1" applyAlignment="1">
      <alignment horizontal="center"/>
    </xf>
    <xf numFmtId="41" fontId="38" fillId="12" borderId="1" xfId="0" applyNumberFormat="1" applyFont="1" applyFill="1" applyAlignment="1">
      <alignment horizontal="center"/>
    </xf>
    <xf numFmtId="41" fontId="38" fillId="12" borderId="1" xfId="0" applyNumberFormat="1" applyFont="1" applyFill="1" applyAlignment="1">
      <alignment horizontal="center" wrapText="1"/>
    </xf>
    <xf numFmtId="0" fontId="33" fillId="2" borderId="1" xfId="0" applyFont="1" applyFill="1" applyAlignment="1">
      <alignment horizontal="center"/>
    </xf>
    <xf numFmtId="41" fontId="33" fillId="2" borderId="1" xfId="0" applyNumberFormat="1" applyFont="1" applyFill="1" applyAlignment="1">
      <alignment horizontal="center"/>
    </xf>
    <xf numFmtId="0" fontId="36" fillId="12" borderId="1" xfId="0" applyFont="1" applyFill="1" applyAlignment="1">
      <alignment horizontal="center"/>
    </xf>
    <xf numFmtId="41" fontId="38" fillId="0" borderId="1" xfId="0" applyNumberFormat="1" applyFont="1" applyAlignment="1">
      <alignment horizontal="center" wrapText="1"/>
    </xf>
    <xf numFmtId="0" fontId="38" fillId="12" borderId="1" xfId="0" applyFont="1" applyFill="1" applyAlignment="1">
      <alignment horizontal="left" wrapText="1"/>
    </xf>
    <xf numFmtId="0" fontId="39" fillId="0" borderId="1" xfId="0" applyFont="1" applyAlignment="1">
      <alignment horizontal="center" wrapText="1"/>
    </xf>
    <xf numFmtId="41" fontId="38" fillId="0" borderId="1" xfId="0" applyNumberFormat="1" applyFont="1" applyAlignment="1">
      <alignment horizontal="center"/>
    </xf>
    <xf numFmtId="170" fontId="40" fillId="13" borderId="4" xfId="0" applyNumberFormat="1" applyFont="1" applyFill="1" applyBorder="1" applyAlignment="1">
      <alignment horizontal="center" vertical="center"/>
    </xf>
    <xf numFmtId="0" fontId="40" fillId="13" borderId="5" xfId="0" applyFont="1" applyFill="1" applyBorder="1" applyAlignment="1">
      <alignment horizontal="left" vertical="center"/>
    </xf>
    <xf numFmtId="14" fontId="40" fillId="13" borderId="4" xfId="0" applyNumberFormat="1" applyFont="1" applyFill="1" applyBorder="1" applyAlignment="1">
      <alignment horizontal="center" vertical="center" wrapText="1"/>
    </xf>
    <xf numFmtId="170" fontId="40" fillId="13" borderId="6" xfId="0" applyNumberFormat="1" applyFont="1" applyFill="1" applyBorder="1" applyAlignment="1">
      <alignment horizontal="center" vertical="center"/>
    </xf>
    <xf numFmtId="0" fontId="41" fillId="0" borderId="7" xfId="0" applyFont="1" applyBorder="1" applyAlignment="1">
      <alignment vertical="center"/>
    </xf>
    <xf numFmtId="0" fontId="42" fillId="0" borderId="8" xfId="0" applyFont="1" applyBorder="1" applyAlignment="1">
      <alignment horizontal="left" vertical="center"/>
    </xf>
    <xf numFmtId="14" fontId="42" fillId="0" borderId="9" xfId="0" applyNumberFormat="1" applyFont="1" applyBorder="1" applyAlignment="1">
      <alignment horizontal="center" vertical="center" wrapText="1"/>
    </xf>
    <xf numFmtId="170" fontId="42" fillId="0" borderId="9" xfId="0" applyNumberFormat="1" applyFont="1" applyBorder="1" applyAlignment="1">
      <alignment horizontal="center" vertical="center"/>
    </xf>
    <xf numFmtId="0" fontId="41" fillId="0" borderId="10" xfId="0" applyFont="1" applyBorder="1" applyAlignment="1">
      <alignment vertical="center"/>
    </xf>
    <xf numFmtId="0" fontId="43" fillId="0" borderId="8" xfId="0" applyFont="1" applyBorder="1" applyAlignment="1">
      <alignment horizontal="left" vertical="center"/>
    </xf>
    <xf numFmtId="0" fontId="41" fillId="0" borderId="10" xfId="0" applyFont="1" applyBorder="1" applyAlignment="1">
      <alignment horizontal="center" vertical="center"/>
    </xf>
    <xf numFmtId="0" fontId="41" fillId="14" borderId="10" xfId="0" applyFont="1" applyFill="1" applyBorder="1" applyAlignment="1">
      <alignment horizontal="center" vertical="center"/>
    </xf>
    <xf numFmtId="0" fontId="42" fillId="14" borderId="8" xfId="0" applyFont="1" applyFill="1" applyBorder="1" applyAlignment="1">
      <alignment horizontal="left" vertical="center"/>
    </xf>
    <xf numFmtId="14" fontId="42" fillId="14" borderId="9" xfId="0" applyNumberFormat="1" applyFont="1" applyFill="1" applyBorder="1" applyAlignment="1">
      <alignment horizontal="center" vertical="center" wrapText="1"/>
    </xf>
    <xf numFmtId="170" fontId="42" fillId="14" borderId="9" xfId="0" applyNumberFormat="1" applyFont="1" applyFill="1" applyBorder="1" applyAlignment="1">
      <alignment horizontal="center" vertical="center"/>
    </xf>
    <xf numFmtId="0" fontId="41" fillId="3" borderId="10" xfId="0" applyFont="1" applyFill="1" applyBorder="1" applyAlignment="1">
      <alignment horizontal="center" vertical="center"/>
    </xf>
    <xf numFmtId="170" fontId="42" fillId="0" borderId="11" xfId="0" applyNumberFormat="1" applyFont="1" applyBorder="1" applyAlignment="1">
      <alignment horizontal="center" vertical="center"/>
    </xf>
    <xf numFmtId="0" fontId="40" fillId="13" borderId="8" xfId="0" applyFont="1" applyFill="1" applyBorder="1" applyAlignment="1">
      <alignment horizontal="left" vertical="center"/>
    </xf>
    <xf numFmtId="14" fontId="40" fillId="13" borderId="9" xfId="0" applyNumberFormat="1" applyFont="1" applyFill="1" applyBorder="1" applyAlignment="1">
      <alignment horizontal="center" vertical="center" wrapText="1"/>
    </xf>
    <xf numFmtId="170" fontId="40" fillId="13" borderId="9" xfId="0" applyNumberFormat="1" applyFont="1" applyFill="1" applyBorder="1" applyAlignment="1">
      <alignment horizontal="center" vertical="center"/>
    </xf>
    <xf numFmtId="0" fontId="44" fillId="14" borderId="1" xfId="0" applyFont="1" applyFill="1"/>
    <xf numFmtId="0" fontId="45" fillId="14" borderId="1" xfId="0" applyFont="1" applyFill="1"/>
    <xf numFmtId="0" fontId="45" fillId="14" borderId="1" xfId="0" applyFont="1" applyFill="1" applyAlignment="1">
      <alignment horizontal="left"/>
    </xf>
    <xf numFmtId="41" fontId="45" fillId="14" borderId="1" xfId="0" applyNumberFormat="1" applyFont="1" applyFill="1" applyAlignment="1">
      <alignment horizontal="center"/>
    </xf>
    <xf numFmtId="0" fontId="46" fillId="14" borderId="1" xfId="0" applyFont="1" applyFill="1"/>
    <xf numFmtId="0" fontId="47" fillId="14" borderId="1" xfId="0" applyFont="1" applyFill="1"/>
    <xf numFmtId="0" fontId="38" fillId="14" borderId="1" xfId="0" applyFont="1" applyFill="1" applyAlignment="1">
      <alignment vertical="center"/>
    </xf>
    <xf numFmtId="0" fontId="48" fillId="14" borderId="1" xfId="0" applyFont="1" applyFill="1" applyAlignment="1">
      <alignment vertical="center"/>
    </xf>
    <xf numFmtId="0" fontId="49" fillId="14" borderId="1" xfId="0" applyFont="1" applyFill="1" applyAlignment="1">
      <alignment vertical="center"/>
    </xf>
    <xf numFmtId="41" fontId="47" fillId="14" borderId="1" xfId="0" applyNumberFormat="1" applyFont="1" applyFill="1" applyAlignment="1">
      <alignment horizontal="center" vertical="center"/>
    </xf>
    <xf numFmtId="0" fontId="50" fillId="14" borderId="1" xfId="0" applyFont="1" applyFill="1" applyAlignment="1">
      <alignment horizontal="center"/>
    </xf>
    <xf numFmtId="0" fontId="51" fillId="14" borderId="1" xfId="0" applyFont="1" applyFill="1" applyAlignment="1">
      <alignment horizontal="left"/>
    </xf>
    <xf numFmtId="41" fontId="51" fillId="14" borderId="1" xfId="0" applyNumberFormat="1" applyFont="1" applyFill="1" applyAlignment="1">
      <alignment horizontal="center"/>
    </xf>
    <xf numFmtId="41" fontId="52" fillId="15" borderId="13" xfId="0" applyNumberFormat="1" applyFont="1" applyFill="1" applyBorder="1" applyAlignment="1">
      <alignment horizontal="center"/>
    </xf>
    <xf numFmtId="41" fontId="52" fillId="15" borderId="11" xfId="0" applyNumberFormat="1" applyFont="1" applyFill="1" applyBorder="1" applyAlignment="1">
      <alignment horizontal="center"/>
    </xf>
    <xf numFmtId="0" fontId="51" fillId="14" borderId="9" xfId="0" applyFont="1" applyFill="1" applyBorder="1" applyAlignment="1">
      <alignment horizontal="center" vertical="center"/>
    </xf>
    <xf numFmtId="0" fontId="51" fillId="14" borderId="9" xfId="0" applyFont="1" applyFill="1" applyBorder="1" applyAlignment="1">
      <alignment horizontal="left" vertical="center" wrapText="1"/>
    </xf>
    <xf numFmtId="41" fontId="53" fillId="14" borderId="9" xfId="0" applyNumberFormat="1" applyFont="1" applyFill="1" applyBorder="1" applyAlignment="1">
      <alignment horizontal="center"/>
    </xf>
    <xf numFmtId="41" fontId="51" fillId="14" borderId="9" xfId="0" applyNumberFormat="1" applyFont="1" applyFill="1" applyBorder="1" applyAlignment="1">
      <alignment horizontal="center"/>
    </xf>
    <xf numFmtId="14" fontId="53" fillId="16" borderId="9" xfId="0" applyNumberFormat="1" applyFont="1" applyFill="1" applyBorder="1" applyAlignment="1">
      <alignment horizontal="center"/>
    </xf>
    <xf numFmtId="0" fontId="52" fillId="15" borderId="9" xfId="0" applyFont="1" applyFill="1" applyBorder="1" applyAlignment="1">
      <alignment horizontal="center"/>
    </xf>
    <xf numFmtId="0" fontId="52" fillId="15" borderId="9" xfId="0" applyFont="1" applyFill="1" applyBorder="1" applyAlignment="1">
      <alignment horizontal="left" vertical="center" wrapText="1"/>
    </xf>
    <xf numFmtId="41" fontId="52" fillId="15" borderId="9" xfId="0" applyNumberFormat="1" applyFont="1" applyFill="1" applyBorder="1" applyAlignment="1">
      <alignment horizontal="center"/>
    </xf>
    <xf numFmtId="0" fontId="45" fillId="14" borderId="9" xfId="0" applyFont="1" applyFill="1" applyBorder="1"/>
    <xf numFmtId="0" fontId="51" fillId="14" borderId="9" xfId="0" applyFont="1" applyFill="1" applyBorder="1" applyAlignment="1">
      <alignment horizontal="left" wrapText="1"/>
    </xf>
    <xf numFmtId="41" fontId="45" fillId="14" borderId="9" xfId="0" applyNumberFormat="1" applyFont="1" applyFill="1" applyBorder="1" applyAlignment="1">
      <alignment horizontal="center"/>
    </xf>
    <xf numFmtId="0" fontId="44" fillId="14" borderId="1" xfId="0" applyFont="1" applyFill="1" applyAlignment="1">
      <alignment horizontal="center" vertical="center"/>
    </xf>
    <xf numFmtId="0" fontId="45" fillId="14" borderId="9" xfId="0" applyFont="1" applyFill="1" applyBorder="1" applyAlignment="1">
      <alignment horizontal="left" vertical="center" wrapText="1"/>
    </xf>
    <xf numFmtId="0" fontId="51" fillId="13" borderId="9" xfId="0" applyFont="1" applyFill="1" applyBorder="1" applyAlignment="1">
      <alignment horizontal="left" vertical="center" wrapText="1"/>
    </xf>
    <xf numFmtId="41" fontId="51" fillId="13" borderId="9" xfId="0" applyNumberFormat="1" applyFont="1" applyFill="1" applyBorder="1" applyAlignment="1">
      <alignment horizontal="center"/>
    </xf>
    <xf numFmtId="41" fontId="47" fillId="14" borderId="9" xfId="0" applyNumberFormat="1" applyFont="1" applyFill="1" applyBorder="1" applyAlignment="1">
      <alignment horizontal="center"/>
    </xf>
    <xf numFmtId="0" fontId="51" fillId="13" borderId="9" xfId="0" applyFont="1" applyFill="1" applyBorder="1" applyAlignment="1">
      <alignment horizontal="left" vertical="center"/>
    </xf>
    <xf numFmtId="0" fontId="51" fillId="6" borderId="9" xfId="0" applyFont="1" applyFill="1" applyBorder="1" applyAlignment="1">
      <alignment horizontal="left" vertical="center"/>
    </xf>
    <xf numFmtId="41" fontId="51" fillId="6" borderId="9" xfId="0" applyNumberFormat="1" applyFont="1" applyFill="1" applyBorder="1" applyAlignment="1">
      <alignment horizontal="center"/>
    </xf>
    <xf numFmtId="0" fontId="44" fillId="14" borderId="1" xfId="0" applyFont="1" applyFill="1" applyAlignment="1">
      <alignment horizontal="center"/>
    </xf>
    <xf numFmtId="0" fontId="54" fillId="14" borderId="9" xfId="0" applyFont="1" applyFill="1" applyBorder="1" applyAlignment="1">
      <alignment horizontal="left" vertical="center"/>
    </xf>
    <xf numFmtId="41" fontId="55" fillId="14" borderId="9" xfId="0" applyNumberFormat="1" applyFont="1" applyFill="1" applyBorder="1" applyAlignment="1">
      <alignment horizontal="center"/>
    </xf>
    <xf numFmtId="0" fontId="45" fillId="14" borderId="9" xfId="0" applyFont="1" applyFill="1" applyBorder="1" applyAlignment="1">
      <alignment horizontal="right" vertical="center"/>
    </xf>
    <xf numFmtId="0" fontId="46" fillId="14" borderId="1" xfId="0" applyFont="1" applyFill="1" applyAlignment="1">
      <alignment horizontal="right" vertical="center"/>
    </xf>
    <xf numFmtId="0" fontId="47" fillId="14" borderId="1" xfId="0" applyFont="1" applyFill="1" applyAlignment="1">
      <alignment horizontal="right" vertical="center"/>
    </xf>
    <xf numFmtId="0" fontId="38" fillId="14" borderId="9" xfId="0" applyFont="1" applyFill="1" applyBorder="1" applyAlignment="1">
      <alignment horizontal="left" vertical="center"/>
    </xf>
    <xf numFmtId="0" fontId="36" fillId="14" borderId="9" xfId="0" applyFont="1" applyFill="1" applyBorder="1" applyAlignment="1">
      <alignment horizontal="left" vertical="center"/>
    </xf>
    <xf numFmtId="41" fontId="56" fillId="14" borderId="9" xfId="0" applyNumberFormat="1" applyFont="1" applyFill="1" applyBorder="1" applyAlignment="1">
      <alignment horizontal="center"/>
    </xf>
    <xf numFmtId="0" fontId="52" fillId="15" borderId="9" xfId="0" applyFont="1" applyFill="1" applyBorder="1" applyAlignment="1">
      <alignment horizontal="left" vertical="center"/>
    </xf>
    <xf numFmtId="41" fontId="46" fillId="15" borderId="9" xfId="0" applyNumberFormat="1" applyFont="1" applyFill="1" applyBorder="1" applyAlignment="1">
      <alignment horizontal="center"/>
    </xf>
    <xf numFmtId="0" fontId="51" fillId="6" borderId="9" xfId="0" applyFont="1" applyFill="1" applyBorder="1" applyAlignment="1">
      <alignment horizontal="left"/>
    </xf>
    <xf numFmtId="169" fontId="47" fillId="14" borderId="1" xfId="0" applyNumberFormat="1" applyFont="1" applyFill="1"/>
    <xf numFmtId="0" fontId="45" fillId="14" borderId="9" xfId="0" applyFont="1" applyFill="1" applyBorder="1" applyAlignment="1">
      <alignment horizontal="left"/>
    </xf>
    <xf numFmtId="0" fontId="51" fillId="14" borderId="9" xfId="0" applyFont="1" applyFill="1" applyBorder="1" applyAlignment="1">
      <alignment horizontal="left"/>
    </xf>
    <xf numFmtId="49" fontId="45" fillId="14" borderId="9" xfId="0" applyNumberFormat="1" applyFont="1" applyFill="1" applyBorder="1" applyAlignment="1">
      <alignment horizontal="left"/>
    </xf>
    <xf numFmtId="0" fontId="57" fillId="14" borderId="1" xfId="0" applyFont="1" applyFill="1"/>
    <xf numFmtId="0" fontId="46" fillId="14" borderId="9" xfId="0" applyFont="1" applyFill="1" applyBorder="1"/>
    <xf numFmtId="49" fontId="52" fillId="15" borderId="9" xfId="0" applyNumberFormat="1" applyFont="1" applyFill="1" applyBorder="1" applyAlignment="1">
      <alignment horizontal="left"/>
    </xf>
    <xf numFmtId="0" fontId="52" fillId="15" borderId="9" xfId="0" applyFont="1" applyFill="1" applyBorder="1" applyAlignment="1">
      <alignment horizontal="left"/>
    </xf>
    <xf numFmtId="41" fontId="44" fillId="14" borderId="1" xfId="0" applyNumberFormat="1" applyFont="1" applyFill="1"/>
    <xf numFmtId="41" fontId="45" fillId="14" borderId="9" xfId="0" applyNumberFormat="1" applyFont="1" applyFill="1" applyBorder="1"/>
    <xf numFmtId="41" fontId="45" fillId="14" borderId="9" xfId="0" applyNumberFormat="1" applyFont="1" applyFill="1" applyBorder="1" applyAlignment="1">
      <alignment horizontal="left"/>
    </xf>
    <xf numFmtId="41" fontId="50" fillId="14" borderId="9" xfId="0" applyNumberFormat="1" applyFont="1" applyFill="1" applyBorder="1" applyAlignment="1">
      <alignment horizontal="center"/>
    </xf>
    <xf numFmtId="41" fontId="46" fillId="14" borderId="1" xfId="0" applyNumberFormat="1" applyFont="1" applyFill="1"/>
    <xf numFmtId="41" fontId="47" fillId="14" borderId="1" xfId="0" applyNumberFormat="1" applyFont="1" applyFill="1"/>
    <xf numFmtId="0" fontId="51" fillId="6" borderId="9" xfId="0" applyFont="1" applyFill="1" applyBorder="1" applyAlignment="1">
      <alignment horizontal="left" wrapText="1"/>
    </xf>
    <xf numFmtId="41" fontId="51" fillId="6" borderId="9" xfId="0" applyNumberFormat="1" applyFont="1" applyFill="1" applyBorder="1" applyAlignment="1">
      <alignment horizontal="center" vertical="center"/>
    </xf>
    <xf numFmtId="0" fontId="45" fillId="14" borderId="1" xfId="0" applyFont="1" applyFill="1" applyAlignment="1">
      <alignment horizontal="center"/>
    </xf>
    <xf numFmtId="0" fontId="44" fillId="14" borderId="1" xfId="0" applyFont="1" applyFill="1" applyAlignment="1">
      <alignment vertical="center"/>
    </xf>
    <xf numFmtId="0" fontId="45" fillId="14" borderId="9" xfId="0" applyFont="1" applyFill="1" applyBorder="1" applyAlignment="1">
      <alignment vertical="center"/>
    </xf>
    <xf numFmtId="0" fontId="51" fillId="6" borderId="9" xfId="0" applyFont="1" applyFill="1" applyBorder="1" applyAlignment="1">
      <alignment horizontal="left" vertical="center" wrapText="1"/>
    </xf>
    <xf numFmtId="41" fontId="51" fillId="6" borderId="11" xfId="0" applyNumberFormat="1" applyFont="1" applyFill="1" applyBorder="1" applyAlignment="1">
      <alignment horizontal="center" vertical="center"/>
    </xf>
    <xf numFmtId="0" fontId="46" fillId="14" borderId="1" xfId="0" applyFont="1" applyFill="1" applyAlignment="1">
      <alignment vertical="center"/>
    </xf>
    <xf numFmtId="0" fontId="47" fillId="14" borderId="1" xfId="0" applyFont="1" applyFill="1" applyAlignment="1">
      <alignment vertical="center"/>
    </xf>
    <xf numFmtId="0" fontId="51" fillId="17" borderId="9" xfId="0" applyFont="1" applyFill="1" applyBorder="1" applyAlignment="1">
      <alignment horizontal="left"/>
    </xf>
    <xf numFmtId="41" fontId="51" fillId="17" borderId="3" xfId="0" applyNumberFormat="1" applyFont="1" applyFill="1" applyBorder="1" applyAlignment="1">
      <alignment horizontal="center"/>
    </xf>
    <xf numFmtId="0" fontId="51" fillId="14" borderId="9" xfId="0" applyFont="1" applyFill="1" applyBorder="1"/>
    <xf numFmtId="0" fontId="52" fillId="14" borderId="1" xfId="0" applyFont="1" applyFill="1"/>
    <xf numFmtId="0" fontId="58" fillId="14" borderId="1" xfId="0" applyFont="1" applyFill="1"/>
    <xf numFmtId="41" fontId="51" fillId="14" borderId="11" xfId="0" applyNumberFormat="1" applyFont="1" applyFill="1" applyBorder="1" applyAlignment="1">
      <alignment horizontal="center"/>
    </xf>
    <xf numFmtId="41" fontId="51" fillId="17" borderId="9" xfId="0" applyNumberFormat="1" applyFont="1" applyFill="1" applyBorder="1" applyAlignment="1">
      <alignment horizontal="center"/>
    </xf>
    <xf numFmtId="0" fontId="45" fillId="14" borderId="14" xfId="0" applyFont="1" applyFill="1" applyBorder="1"/>
    <xf numFmtId="0" fontId="45" fillId="14" borderId="14" xfId="0" applyFont="1" applyFill="1" applyBorder="1" applyAlignment="1">
      <alignment horizontal="left"/>
    </xf>
    <xf numFmtId="41" fontId="45" fillId="14" borderId="14" xfId="0" applyNumberFormat="1" applyFont="1" applyFill="1" applyBorder="1" applyAlignment="1">
      <alignment horizontal="center"/>
    </xf>
    <xf numFmtId="0" fontId="59" fillId="14" borderId="1" xfId="0" applyFont="1" applyFill="1"/>
    <xf numFmtId="0" fontId="60" fillId="6" borderId="1" xfId="0" applyFont="1" applyFill="1" applyAlignment="1">
      <alignment horizontal="left" vertical="center"/>
    </xf>
    <xf numFmtId="41" fontId="44" fillId="6" borderId="1" xfId="0" applyNumberFormat="1" applyFont="1" applyFill="1" applyAlignment="1">
      <alignment horizontal="center"/>
    </xf>
    <xf numFmtId="0" fontId="61" fillId="14" borderId="1" xfId="0" applyFont="1" applyFill="1"/>
    <xf numFmtId="0" fontId="62" fillId="14" borderId="1" xfId="0" applyFont="1" applyFill="1"/>
    <xf numFmtId="41" fontId="59" fillId="6" borderId="1" xfId="0" applyNumberFormat="1" applyFont="1" applyFill="1" applyAlignment="1">
      <alignment horizontal="center"/>
    </xf>
    <xf numFmtId="0" fontId="44" fillId="6" borderId="1" xfId="0" applyFont="1" applyFill="1" applyAlignment="1">
      <alignment horizontal="left" vertical="center"/>
    </xf>
    <xf numFmtId="0" fontId="44" fillId="6" borderId="1" xfId="0" applyFont="1" applyFill="1" applyAlignment="1">
      <alignment horizontal="left"/>
    </xf>
    <xf numFmtId="41" fontId="59" fillId="14" borderId="1" xfId="0" applyNumberFormat="1" applyFont="1" applyFill="1" applyAlignment="1">
      <alignment horizontal="center"/>
    </xf>
    <xf numFmtId="0" fontId="44" fillId="14" borderId="1" xfId="0" applyFont="1" applyFill="1" applyAlignment="1">
      <alignment horizontal="left"/>
    </xf>
    <xf numFmtId="41" fontId="44" fillId="14" borderId="1" xfId="0" applyNumberFormat="1" applyFont="1" applyFill="1" applyAlignment="1">
      <alignment horizontal="center"/>
    </xf>
    <xf numFmtId="41" fontId="61" fillId="18" borderId="1" xfId="0" applyNumberFormat="1" applyFont="1" applyFill="1" applyAlignment="1">
      <alignment horizontal="center"/>
    </xf>
    <xf numFmtId="0" fontId="57" fillId="18" borderId="1" xfId="0" applyFont="1" applyFill="1" applyAlignment="1">
      <alignment horizontal="left"/>
    </xf>
    <xf numFmtId="41" fontId="63" fillId="18" borderId="1" xfId="0" applyNumberFormat="1" applyFont="1" applyFill="1" applyAlignment="1">
      <alignment horizontal="center"/>
    </xf>
    <xf numFmtId="0" fontId="63" fillId="18" borderId="1" xfId="0" applyFont="1" applyFill="1" applyAlignment="1">
      <alignment horizontal="left"/>
    </xf>
    <xf numFmtId="41" fontId="63" fillId="18" borderId="15" xfId="0" applyNumberFormat="1" applyFont="1" applyFill="1" applyBorder="1" applyAlignment="1">
      <alignment horizontal="center"/>
    </xf>
    <xf numFmtId="0" fontId="50" fillId="14" borderId="1" xfId="0" applyFont="1" applyFill="1" applyAlignment="1">
      <alignment horizontal="left"/>
    </xf>
    <xf numFmtId="41" fontId="50" fillId="14" borderId="1" xfId="0" applyNumberFormat="1" applyFont="1" applyFill="1" applyAlignment="1">
      <alignment horizontal="center"/>
    </xf>
    <xf numFmtId="171" fontId="50" fillId="14" borderId="1" xfId="0" applyNumberFormat="1" applyFont="1" applyFill="1" applyAlignment="1">
      <alignment horizontal="center"/>
    </xf>
    <xf numFmtId="171" fontId="51" fillId="14" borderId="1" xfId="0" applyNumberFormat="1" applyFont="1" applyFill="1" applyAlignment="1">
      <alignment horizontal="center"/>
    </xf>
    <xf numFmtId="1" fontId="50" fillId="14" borderId="1" xfId="0" applyNumberFormat="1" applyFont="1" applyFill="1" applyAlignment="1">
      <alignment horizontal="center"/>
    </xf>
    <xf numFmtId="0" fontId="64" fillId="14" borderId="1" xfId="0" applyFont="1" applyFill="1"/>
    <xf numFmtId="0" fontId="68" fillId="19" borderId="1" xfId="0" applyFont="1" applyFill="1" applyAlignment="1">
      <alignment vertical="top"/>
    </xf>
    <xf numFmtId="0" fontId="65" fillId="2" borderId="1" xfId="0" applyFont="1" applyFill="1" applyAlignment="1">
      <alignment horizontal="center" vertical="center"/>
    </xf>
    <xf numFmtId="0" fontId="66" fillId="4" borderId="1" xfId="0" applyFont="1" applyFill="1" applyAlignment="1">
      <alignment horizontal="center" vertical="center"/>
    </xf>
    <xf numFmtId="0" fontId="67" fillId="0" borderId="1" xfId="0" applyFont="1" applyAlignment="1">
      <alignment vertical="center"/>
    </xf>
    <xf numFmtId="10" fontId="68" fillId="3" borderId="1" xfId="0" applyNumberFormat="1" applyFont="1" applyFill="1" applyAlignment="1">
      <alignment horizontal="center" vertical="center"/>
    </xf>
    <xf numFmtId="0" fontId="68" fillId="3" borderId="1" xfId="0" applyFont="1" applyFill="1" applyAlignment="1">
      <alignment horizontal="center" vertical="center"/>
    </xf>
    <xf numFmtId="0" fontId="68" fillId="5" borderId="1" xfId="0" applyFont="1" applyFill="1" applyAlignment="1">
      <alignment horizontal="center" vertical="center"/>
    </xf>
    <xf numFmtId="0" fontId="67" fillId="0" borderId="1" xfId="0" applyFont="1" applyAlignment="1">
      <alignment horizontal="center" vertical="center"/>
    </xf>
    <xf numFmtId="164" fontId="67" fillId="0" borderId="1" xfId="0" applyNumberFormat="1" applyFont="1" applyAlignment="1">
      <alignment horizontal="center" vertical="center"/>
    </xf>
    <xf numFmtId="165" fontId="67" fillId="0" borderId="1" xfId="0" applyNumberFormat="1" applyFont="1" applyAlignment="1">
      <alignment horizontal="center" vertical="center"/>
    </xf>
    <xf numFmtId="0" fontId="67" fillId="10" borderId="1" xfId="0" applyFont="1" applyFill="1" applyAlignment="1">
      <alignment vertical="center"/>
    </xf>
    <xf numFmtId="10" fontId="67" fillId="10" borderId="1" xfId="0" applyNumberFormat="1" applyFont="1" applyFill="1" applyAlignment="1">
      <alignment vertical="center"/>
    </xf>
    <xf numFmtId="0" fontId="68" fillId="5" borderId="16" xfId="0" applyFont="1" applyFill="1" applyBorder="1" applyAlignment="1">
      <alignment horizontal="center" vertical="center"/>
    </xf>
    <xf numFmtId="0" fontId="7" fillId="0" borderId="1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70" fillId="0" borderId="1" xfId="0" applyFont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vertical="center"/>
    </xf>
    <xf numFmtId="0" fontId="69" fillId="0" borderId="1" xfId="0" applyFont="1" applyAlignment="1">
      <alignment vertical="center"/>
    </xf>
    <xf numFmtId="0" fontId="68" fillId="3" borderId="1" xfId="0" applyFont="1" applyFill="1" applyAlignment="1">
      <alignment vertical="center"/>
    </xf>
    <xf numFmtId="164" fontId="7" fillId="0" borderId="1" xfId="0" applyNumberFormat="1" applyFont="1" applyAlignment="1">
      <alignment vertical="center"/>
    </xf>
    <xf numFmtId="0" fontId="68" fillId="5" borderId="17" xfId="0" applyFont="1" applyFill="1" applyBorder="1" applyAlignment="1">
      <alignment horizontal="center" vertical="center"/>
    </xf>
    <xf numFmtId="0" fontId="67" fillId="0" borderId="18" xfId="0" applyFont="1" applyBorder="1" applyAlignment="1">
      <alignment horizontal="center" vertical="center"/>
    </xf>
    <xf numFmtId="0" fontId="68" fillId="19" borderId="1" xfId="0" applyFont="1" applyFill="1" applyAlignment="1">
      <alignment vertical="center"/>
    </xf>
    <xf numFmtId="0" fontId="71" fillId="3" borderId="1" xfId="0" applyFont="1" applyFill="1" applyAlignment="1">
      <alignment vertical="center"/>
    </xf>
    <xf numFmtId="0" fontId="0" fillId="0" borderId="2" xfId="0" applyBorder="1" applyAlignment="1">
      <alignment vertical="center"/>
    </xf>
    <xf numFmtId="0" fontId="72" fillId="2" borderId="1" xfId="0" applyFont="1" applyFill="1" applyAlignment="1">
      <alignment vertical="center"/>
    </xf>
    <xf numFmtId="0" fontId="73" fillId="4" borderId="1" xfId="0" applyFont="1" applyFill="1" applyAlignment="1">
      <alignment vertical="top"/>
    </xf>
    <xf numFmtId="0" fontId="67" fillId="5" borderId="1" xfId="0" applyFont="1" applyFill="1" applyAlignment="1">
      <alignment vertical="top"/>
    </xf>
    <xf numFmtId="0" fontId="66" fillId="2" borderId="1" xfId="0" applyFont="1" applyFill="1" applyAlignment="1">
      <alignment vertical="top"/>
    </xf>
    <xf numFmtId="0" fontId="74" fillId="4" borderId="3" xfId="0" applyFont="1" applyFill="1" applyBorder="1" applyAlignment="1">
      <alignment horizontal="center" vertical="center"/>
    </xf>
    <xf numFmtId="0" fontId="68" fillId="5" borderId="3" xfId="0" applyFont="1" applyFill="1" applyBorder="1" applyAlignment="1">
      <alignment vertical="top"/>
    </xf>
    <xf numFmtId="0" fontId="7" fillId="0" borderId="3" xfId="0" applyFont="1" applyBorder="1" applyAlignment="1">
      <alignment horizontal="center" vertical="top"/>
    </xf>
    <xf numFmtId="4" fontId="7" fillId="5" borderId="3" xfId="0" applyNumberFormat="1" applyFont="1" applyFill="1" applyBorder="1" applyAlignment="1">
      <alignment horizontal="right" vertical="top"/>
    </xf>
    <xf numFmtId="165" fontId="7" fillId="5" borderId="3" xfId="0" applyNumberFormat="1" applyFont="1" applyFill="1" applyBorder="1" applyAlignment="1">
      <alignment horizontal="right" vertical="top"/>
    </xf>
    <xf numFmtId="10" fontId="7" fillId="5" borderId="3" xfId="0" applyNumberFormat="1" applyFont="1" applyFill="1" applyBorder="1" applyAlignment="1">
      <alignment horizontal="right" vertical="top"/>
    </xf>
    <xf numFmtId="0" fontId="74" fillId="2" borderId="3" xfId="0" applyFont="1" applyFill="1" applyBorder="1" applyAlignment="1">
      <alignment vertical="top"/>
    </xf>
    <xf numFmtId="0" fontId="74" fillId="2" borderId="3" xfId="0" applyFont="1" applyFill="1" applyBorder="1" applyAlignment="1">
      <alignment horizontal="center" vertical="top"/>
    </xf>
    <xf numFmtId="4" fontId="74" fillId="2" borderId="3" xfId="0" applyNumberFormat="1" applyFont="1" applyFill="1" applyBorder="1" applyAlignment="1">
      <alignment vertical="top"/>
    </xf>
    <xf numFmtId="165" fontId="74" fillId="2" borderId="3" xfId="0" applyNumberFormat="1" applyFont="1" applyFill="1" applyBorder="1" applyAlignment="1">
      <alignment vertical="top"/>
    </xf>
    <xf numFmtId="10" fontId="74" fillId="2" borderId="3" xfId="0" applyNumberFormat="1" applyFont="1" applyFill="1" applyBorder="1" applyAlignment="1">
      <alignment vertical="top"/>
    </xf>
    <xf numFmtId="0" fontId="68" fillId="5" borderId="3" xfId="0" applyFont="1" applyFill="1" applyBorder="1" applyAlignment="1">
      <alignment horizontal="center" vertical="top"/>
    </xf>
    <xf numFmtId="0" fontId="68" fillId="5" borderId="1" xfId="0" applyFont="1" applyFill="1" applyAlignment="1">
      <alignment vertical="top"/>
    </xf>
    <xf numFmtId="0" fontId="67" fillId="14" borderId="1" xfId="0" applyFont="1" applyFill="1" applyAlignment="1">
      <alignment horizontal="right" vertical="top"/>
    </xf>
    <xf numFmtId="0" fontId="68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top"/>
    </xf>
    <xf numFmtId="0" fontId="7" fillId="5" borderId="3" xfId="0" applyFont="1" applyFill="1" applyBorder="1" applyAlignment="1">
      <alignment horizontal="left" vertical="top"/>
    </xf>
    <xf numFmtId="0" fontId="7" fillId="5" borderId="3" xfId="0" applyFont="1" applyFill="1" applyBorder="1" applyAlignment="1">
      <alignment horizontal="right" vertical="top"/>
    </xf>
    <xf numFmtId="0" fontId="67" fillId="6" borderId="1" xfId="0" applyFont="1" applyFill="1" applyAlignment="1">
      <alignment vertical="top"/>
    </xf>
    <xf numFmtId="0" fontId="65" fillId="2" borderId="1" xfId="0" applyFont="1" applyFill="1" applyAlignment="1">
      <alignment horizontal="left" vertical="center"/>
    </xf>
    <xf numFmtId="2" fontId="68" fillId="19" borderId="1" xfId="0" applyNumberFormat="1" applyFont="1" applyFill="1" applyAlignment="1">
      <alignment vertical="top"/>
    </xf>
    <xf numFmtId="0" fontId="0" fillId="0" borderId="1" xfId="0" applyAlignment="1">
      <alignment vertical="center"/>
    </xf>
    <xf numFmtId="0" fontId="0" fillId="0" borderId="1" xfId="0" applyAlignment="1">
      <alignment horizontal="center" vertical="center"/>
    </xf>
    <xf numFmtId="42" fontId="7" fillId="0" borderId="1" xfId="0" applyNumberFormat="1" applyFont="1" applyAlignment="1">
      <alignment vertical="top"/>
    </xf>
    <xf numFmtId="42" fontId="67" fillId="10" borderId="1" xfId="0" applyNumberFormat="1" applyFont="1" applyFill="1" applyAlignment="1">
      <alignment vertical="center"/>
    </xf>
    <xf numFmtId="42" fontId="21" fillId="0" borderId="16" xfId="0" applyNumberFormat="1" applyFont="1" applyBorder="1" applyAlignment="1">
      <alignment vertical="center"/>
    </xf>
    <xf numFmtId="2" fontId="73" fillId="4" borderId="1" xfId="0" applyNumberFormat="1" applyFont="1" applyFill="1" applyAlignment="1">
      <alignment vertical="top"/>
    </xf>
    <xf numFmtId="2" fontId="67" fillId="14" borderId="1" xfId="0" applyNumberFormat="1" applyFont="1" applyFill="1" applyAlignment="1">
      <alignment horizontal="right" vertical="top"/>
    </xf>
    <xf numFmtId="0" fontId="7" fillId="5" borderId="1" xfId="0" applyFont="1" applyFill="1" applyAlignment="1">
      <alignment horizontal="center" vertical="center"/>
    </xf>
    <xf numFmtId="42" fontId="13" fillId="5" borderId="1" xfId="0" applyNumberFormat="1" applyFont="1" applyFill="1" applyAlignment="1">
      <alignment vertical="top"/>
    </xf>
    <xf numFmtId="42" fontId="21" fillId="5" borderId="1" xfId="0" applyNumberFormat="1" applyFont="1" applyFill="1" applyAlignment="1">
      <alignment vertical="top"/>
    </xf>
    <xf numFmtId="3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  <xf numFmtId="0" fontId="11" fillId="0" borderId="1" xfId="0" applyFont="1" applyAlignment="1">
      <alignment vertical="center"/>
    </xf>
    <xf numFmtId="0" fontId="28" fillId="0" borderId="1" xfId="0" applyFont="1" applyAlignment="1">
      <alignment vertical="center"/>
    </xf>
    <xf numFmtId="0" fontId="23" fillId="0" borderId="1" xfId="0" applyFont="1" applyAlignment="1">
      <alignment vertical="center"/>
    </xf>
    <xf numFmtId="0" fontId="3" fillId="6" borderId="1" xfId="0" applyFont="1" applyFill="1" applyAlignment="1">
      <alignment vertical="center"/>
    </xf>
    <xf numFmtId="0" fontId="16" fillId="0" borderId="1" xfId="0" applyFont="1" applyAlignment="1">
      <alignment vertical="center"/>
    </xf>
    <xf numFmtId="0" fontId="9" fillId="2" borderId="1" xfId="0" applyFont="1" applyFill="1" applyAlignment="1">
      <alignment vertical="center"/>
    </xf>
    <xf numFmtId="0" fontId="7" fillId="5" borderId="1" xfId="0" applyFont="1" applyFill="1" applyAlignment="1">
      <alignment vertical="center"/>
    </xf>
    <xf numFmtId="165" fontId="13" fillId="5" borderId="1" xfId="0" applyNumberFormat="1" applyFont="1" applyFill="1" applyAlignment="1">
      <alignment vertical="center"/>
    </xf>
    <xf numFmtId="165" fontId="21" fillId="5" borderId="1" xfId="0" applyNumberFormat="1" applyFont="1" applyFill="1" applyAlignment="1">
      <alignment vertical="center"/>
    </xf>
    <xf numFmtId="9" fontId="7" fillId="5" borderId="1" xfId="0" applyNumberFormat="1" applyFont="1" applyFill="1" applyAlignment="1">
      <alignment vertical="center"/>
    </xf>
    <xf numFmtId="166" fontId="13" fillId="5" borderId="1" xfId="0" applyNumberFormat="1" applyFont="1" applyFill="1" applyAlignment="1">
      <alignment vertical="center"/>
    </xf>
    <xf numFmtId="166" fontId="21" fillId="5" borderId="1" xfId="0" applyNumberFormat="1" applyFont="1" applyFill="1" applyAlignment="1">
      <alignment vertical="center"/>
    </xf>
    <xf numFmtId="0" fontId="2" fillId="7" borderId="1" xfId="0" applyFont="1" applyFill="1" applyAlignment="1">
      <alignment vertical="center"/>
    </xf>
    <xf numFmtId="0" fontId="3" fillId="8" borderId="1" xfId="0" applyFont="1" applyFill="1" applyAlignment="1">
      <alignment vertical="center"/>
    </xf>
    <xf numFmtId="0" fontId="19" fillId="0" borderId="1" xfId="0" applyFont="1" applyAlignment="1">
      <alignment vertical="center"/>
    </xf>
    <xf numFmtId="0" fontId="2" fillId="2" borderId="1" xfId="0" applyFont="1" applyFill="1" applyAlignment="1">
      <alignment vertical="center"/>
    </xf>
    <xf numFmtId="0" fontId="29" fillId="0" borderId="1" xfId="0" applyFont="1" applyAlignment="1">
      <alignment vertical="center"/>
    </xf>
    <xf numFmtId="0" fontId="18" fillId="2" borderId="1" xfId="0" applyFont="1" applyFill="1" applyAlignment="1">
      <alignment horizontal="center" vertical="center"/>
    </xf>
    <xf numFmtId="0" fontId="0" fillId="5" borderId="1" xfId="0" applyFill="1" applyAlignment="1">
      <alignment vertical="center"/>
    </xf>
    <xf numFmtId="0" fontId="5" fillId="6" borderId="1" xfId="0" applyFont="1" applyFill="1" applyAlignment="1">
      <alignment vertical="center"/>
    </xf>
    <xf numFmtId="0" fontId="30" fillId="10" borderId="1" xfId="0" applyFont="1" applyFill="1" applyAlignment="1">
      <alignment vertical="center"/>
    </xf>
    <xf numFmtId="0" fontId="31" fillId="0" borderId="1" xfId="0" applyFont="1" applyAlignment="1">
      <alignment vertical="center"/>
    </xf>
    <xf numFmtId="0" fontId="26" fillId="0" borderId="1" xfId="0" applyFont="1" applyAlignment="1">
      <alignment vertical="center"/>
    </xf>
    <xf numFmtId="0" fontId="32" fillId="6" borderId="1" xfId="0" applyFont="1" applyFill="1" applyAlignment="1">
      <alignment vertical="center"/>
    </xf>
    <xf numFmtId="0" fontId="32" fillId="0" borderId="1" xfId="0" applyFont="1" applyAlignment="1">
      <alignment vertical="center"/>
    </xf>
    <xf numFmtId="0" fontId="5" fillId="0" borderId="1" xfId="0" applyFont="1" applyAlignment="1">
      <alignment vertical="center"/>
    </xf>
    <xf numFmtId="0" fontId="7" fillId="5" borderId="1" xfId="0" applyFont="1" applyFill="1" applyAlignment="1">
      <alignment horizontal="right" vertical="center"/>
    </xf>
    <xf numFmtId="0" fontId="33" fillId="2" borderId="3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 vertical="center"/>
    </xf>
    <xf numFmtId="0" fontId="38" fillId="12" borderId="1" xfId="0" applyFont="1" applyFill="1" applyAlignment="1">
      <alignment horizontal="center"/>
    </xf>
    <xf numFmtId="0" fontId="38" fillId="12" borderId="1" xfId="0" applyFont="1" applyFill="1" applyAlignment="1">
      <alignment horizontal="left"/>
    </xf>
    <xf numFmtId="0" fontId="52" fillId="15" borderId="12" xfId="0" applyFont="1" applyFill="1" applyBorder="1" applyAlignment="1">
      <alignment horizontal="center" vertical="center"/>
    </xf>
    <xf numFmtId="0" fontId="52" fillId="15" borderId="12" xfId="0" applyFont="1" applyFill="1" applyBorder="1" applyAlignment="1">
      <alignment horizontal="center" vertical="center" wrapText="1"/>
    </xf>
    <xf numFmtId="0" fontId="66" fillId="4" borderId="19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66" fillId="4" borderId="1" xfId="0" applyFont="1" applyFill="1" applyAlignment="1">
      <alignment horizontal="center" vertical="center"/>
    </xf>
    <xf numFmtId="0" fontId="15" fillId="11" borderId="1" xfId="0" applyFont="1" applyFill="1" applyAlignment="1">
      <alignment horizontal="left" vertical="center"/>
    </xf>
    <xf numFmtId="0" fontId="2" fillId="2" borderId="1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D" sz="1050" b="0">
                <a:solidFill>
                  <a:srgbClr val="333333"/>
                </a:solidFill>
                <a:latin typeface="Arial"/>
              </a:rPr>
              <a:t>Sensitivity Tornado Diagram - NPV Impact (IDR Billions)</a:t>
            </a:r>
            <a:endParaRPr lang="en-ID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invertIfNegative val="0"/>
          <c:cat>
            <c:strRef>
              <c:f>Sensitivity_Analysis!$B$59:$B$60</c:f>
              <c:strCache>
                <c:ptCount val="2"/>
                <c:pt idx="0">
                  <c:v>Discount Rate (8%-12%)</c:v>
                </c:pt>
                <c:pt idx="1">
                  <c:v>Tax Rate (20%-25%)</c:v>
                </c:pt>
              </c:strCache>
            </c:strRef>
          </c:cat>
          <c:val>
            <c:numRef>
              <c:f>Sensitivity_Analysis!$C$59:$C$60</c:f>
              <c:numCache>
                <c:formatCode>#,##0</c:formatCode>
                <c:ptCount val="2"/>
                <c:pt idx="0">
                  <c:v>538.40710174421997</c:v>
                </c:pt>
                <c:pt idx="1">
                  <c:v>37.8182547586499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Low Impact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9CD-45E0-A895-9A0243715F0A}"/>
            </c:ext>
          </c:extLst>
        </c:ser>
        <c:ser>
          <c:idx val="1"/>
          <c:order val="1"/>
          <c:invertIfNegative val="0"/>
          <c:cat>
            <c:strRef>
              <c:f>Sensitivity_Analysis!$B$59:$B$60</c:f>
              <c:strCache>
                <c:ptCount val="2"/>
                <c:pt idx="0">
                  <c:v>Discount Rate (8%-12%)</c:v>
                </c:pt>
                <c:pt idx="1">
                  <c:v>Tax Rate (20%-25%)</c:v>
                </c:pt>
              </c:strCache>
            </c:strRef>
          </c:cat>
          <c:val>
            <c:numRef>
              <c:f>Sensitivity_Analysis!$D$59:$D$60</c:f>
              <c:numCache>
                <c:formatCode>#,##0</c:formatCode>
                <c:ptCount val="2"/>
                <c:pt idx="0">
                  <c:v>-344.7019414071699</c:v>
                </c:pt>
                <c:pt idx="1">
                  <c:v>-56.727382137969968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High Impact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59CD-45E0-A895-9A0243715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086322"/>
        <c:axId val="93757195"/>
      </c:barChart>
      <c:catAx>
        <c:axId val="8808632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93757195"/>
        <c:crosses val="autoZero"/>
        <c:auto val="1"/>
        <c:lblAlgn val="ctr"/>
        <c:lblOffset val="0"/>
        <c:tickMarkSkip val="1"/>
        <c:noMultiLvlLbl val="1"/>
      </c:catAx>
      <c:valAx>
        <c:axId val="93757195"/>
        <c:scaling>
          <c:orientation val="minMax"/>
        </c:scaling>
        <c:delete val="0"/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88086322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D" sz="1050" b="0">
                <a:solidFill>
                  <a:srgbClr val="333333"/>
                </a:solidFill>
                <a:latin typeface="Arial"/>
              </a:rPr>
              <a:t>Economic Service Life (ESL) Analysis - Cost Curves</a:t>
            </a:r>
            <a:endParaRPr lang="en-ID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/>
          </c:spPr>
          <c:marker>
            <c:symbol val="none"/>
          </c:marker>
          <c:cat>
            <c:numRef>
              <c:f>ESL_Analysis_Pullman!$C$29:$C$88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ESL_Analysis_Pullman!$D$29:$D$88</c:f>
              <c:numCache>
                <c:formatCode>_("Rp"* #,##0_);_("Rp"* \(#,##0\);_("Rp"* "-"_);_(@_)</c:formatCode>
                <c:ptCount val="60"/>
                <c:pt idx="0">
                  <c:v>44115489076.697769</c:v>
                </c:pt>
                <c:pt idx="1">
                  <c:v>45906577933.2117</c:v>
                </c:pt>
                <c:pt idx="2">
                  <c:v>47770384997.300095</c:v>
                </c:pt>
                <c:pt idx="3">
                  <c:v>49709862628.190475</c:v>
                </c:pt>
                <c:pt idx="4">
                  <c:v>51728083050.895004</c:v>
                </c:pt>
                <c:pt idx="5">
                  <c:v>53828243222.761337</c:v>
                </c:pt>
                <c:pt idx="6">
                  <c:v>56013669897.605446</c:v>
                </c:pt>
                <c:pt idx="7">
                  <c:v>58287824895.448227</c:v>
                </c:pt>
                <c:pt idx="8">
                  <c:v>60654310586.203423</c:v>
                </c:pt>
                <c:pt idx="9">
                  <c:v>63116875596.003281</c:v>
                </c:pt>
                <c:pt idx="10">
                  <c:v>65679420745.201012</c:v>
                </c:pt>
                <c:pt idx="11">
                  <c:v>68346005227.456169</c:v>
                </c:pt>
                <c:pt idx="12">
                  <c:v>71120853039.690887</c:v>
                </c:pt>
                <c:pt idx="13">
                  <c:v>74008359673.102341</c:v>
                </c:pt>
                <c:pt idx="14">
                  <c:v>77013099075.830292</c:v>
                </c:pt>
                <c:pt idx="15">
                  <c:v>80139830898.309006</c:v>
                </c:pt>
                <c:pt idx="16">
                  <c:v>83393508032.78035</c:v>
                </c:pt>
                <c:pt idx="17">
                  <c:v>86779284458.911224</c:v>
                </c:pt>
                <c:pt idx="18">
                  <c:v>90302523407.943024</c:v>
                </c:pt>
                <c:pt idx="19">
                  <c:v>93968805858.305511</c:v>
                </c:pt>
                <c:pt idx="20">
                  <c:v>97783939376.15271</c:v>
                </c:pt>
                <c:pt idx="21">
                  <c:v>101753967314.82451</c:v>
                </c:pt>
                <c:pt idx="22">
                  <c:v>105885178387.80638</c:v>
                </c:pt>
                <c:pt idx="23">
                  <c:v>110184116630.35132</c:v>
                </c:pt>
                <c:pt idx="24">
                  <c:v>114657591765.54358</c:v>
                </c:pt>
                <c:pt idx="25">
                  <c:v>119312689991.22464</c:v>
                </c:pt>
                <c:pt idx="26">
                  <c:v>124156785204.86836</c:v>
                </c:pt>
                <c:pt idx="27">
                  <c:v>129197550684.18602</c:v>
                </c:pt>
                <c:pt idx="28">
                  <c:v>134442971241.96397</c:v>
                </c:pt>
                <c:pt idx="29">
                  <c:v>139901355874.3877</c:v>
                </c:pt>
                <c:pt idx="30">
                  <c:v>145581350922.88782</c:v>
                </c:pt>
                <c:pt idx="31">
                  <c:v>151491953770.35706</c:v>
                </c:pt>
                <c:pt idx="32">
                  <c:v>157642527093.43353</c:v>
                </c:pt>
                <c:pt idx="33">
                  <c:v>164042813693.42694</c:v>
                </c:pt>
                <c:pt idx="34">
                  <c:v>170702951929.38007</c:v>
                </c:pt>
                <c:pt idx="35">
                  <c:v>177633491777.71289</c:v>
                </c:pt>
                <c:pt idx="36">
                  <c:v>184845411543.88803</c:v>
                </c:pt>
                <c:pt idx="37">
                  <c:v>192350135252.56989</c:v>
                </c:pt>
                <c:pt idx="38">
                  <c:v>200159550743.82422</c:v>
                </c:pt>
                <c:pt idx="39">
                  <c:v>208286028504.02347</c:v>
                </c:pt>
                <c:pt idx="40">
                  <c:v>216742441261.2868</c:v>
                </c:pt>
                <c:pt idx="41">
                  <c:v>225542184376.49506</c:v>
                </c:pt>
                <c:pt idx="42">
                  <c:v>234699197062.18076</c:v>
                </c:pt>
                <c:pt idx="43">
                  <c:v>244227984462.90527</c:v>
                </c:pt>
                <c:pt idx="44">
                  <c:v>254143640632.09921</c:v>
                </c:pt>
                <c:pt idx="45">
                  <c:v>264461872441.76242</c:v>
                </c:pt>
                <c:pt idx="46">
                  <c:v>275199024462.89795</c:v>
                </c:pt>
                <c:pt idx="47">
                  <c:v>286372104856.09161</c:v>
                </c:pt>
                <c:pt idx="48">
                  <c:v>297998812313.2489</c:v>
                </c:pt>
                <c:pt idx="49">
                  <c:v>310097564093.16681</c:v>
                </c:pt>
                <c:pt idx="50">
                  <c:v>322687525195.34937</c:v>
                </c:pt>
                <c:pt idx="51">
                  <c:v>335788638718.28052</c:v>
                </c:pt>
                <c:pt idx="52">
                  <c:v>349421657450.24268</c:v>
                </c:pt>
                <c:pt idx="53">
                  <c:v>363608176742.72253</c:v>
                </c:pt>
                <c:pt idx="54">
                  <c:v>378370668718.47705</c:v>
                </c:pt>
                <c:pt idx="55">
                  <c:v>393732517868.4472</c:v>
                </c:pt>
                <c:pt idx="56">
                  <c:v>409718058093.90613</c:v>
                </c:pt>
                <c:pt idx="57">
                  <c:v>426352611252.51868</c:v>
                </c:pt>
                <c:pt idx="58">
                  <c:v>443662527269.37091</c:v>
                </c:pt>
                <c:pt idx="59">
                  <c:v>461675225876.50739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Annual Investment Cost (AIC)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A4E-4784-893A-60005AD66724}"/>
            </c:ext>
          </c:extLst>
        </c:ser>
        <c:ser>
          <c:idx val="1"/>
          <c:order val="1"/>
          <c:spPr>
            <a:ln w="19050"/>
          </c:spPr>
          <c:marker>
            <c:symbol val="none"/>
          </c:marker>
          <c:cat>
            <c:numRef>
              <c:f>ESL_Analysis_Pullman!$C$29:$C$88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ESL_Analysis_Pullman!$E$29:$E$88</c:f>
              <c:numCache>
                <c:formatCode>_("Rp"* #,##0_);_("Rp"* \(#,##0\);_("Rp"* "-"_);_(@_)</c:formatCode>
                <c:ptCount val="60"/>
                <c:pt idx="0">
                  <c:v>43288823.970588237</c:v>
                </c:pt>
                <c:pt idx="1">
                  <c:v>45775238.604303747</c:v>
                </c:pt>
                <c:pt idx="2">
                  <c:v>48392194.540396787</c:v>
                </c:pt>
                <c:pt idx="3">
                  <c:v>51146193.226194814</c:v>
                </c:pt>
                <c:pt idx="4">
                  <c:v>54044048.847487018</c:v>
                </c:pt>
                <c:pt idx="5">
                  <c:v>57092903.006161809</c:v>
                </c:pt>
                <c:pt idx="6">
                  <c:v>60300240.074162759</c:v>
                </c:pt>
                <c:pt idx="7">
                  <c:v>63673903.254486151</c:v>
                </c:pt>
                <c:pt idx="8">
                  <c:v>67222111.381323174</c:v>
                </c:pt>
                <c:pt idx="9">
                  <c:v>70953476.49289076</c:v>
                </c:pt>
                <c:pt idx="10">
                  <c:v>74877022.212001145</c:v>
                </c:pt>
                <c:pt idx="11">
                  <c:v>79002202.970991462</c:v>
                </c:pt>
                <c:pt idx="12">
                  <c:v>83338924.119278401</c:v>
                </c:pt>
                <c:pt idx="13">
                  <c:v>87897562.953517005</c:v>
                </c:pt>
                <c:pt idx="14">
                  <c:v>92688990.71213451</c:v>
                </c:pt>
                <c:pt idx="15">
                  <c:v>97724595.577881709</c:v>
                </c:pt>
                <c:pt idx="16">
                  <c:v>103016306.73399732</c:v>
                </c:pt>
                <c:pt idx="17">
                  <c:v>108576619.52162276</c:v>
                </c:pt>
                <c:pt idx="18">
                  <c:v>114418621.7482353</c:v>
                </c:pt>
                <c:pt idx="19">
                  <c:v>120556021.19909418</c:v>
                </c:pt>
                <c:pt idx="20">
                  <c:v>127003174.40601788</c:v>
                </c:pt>
                <c:pt idx="21">
                  <c:v>133775116.73024002</c:v>
                </c:pt>
                <c:pt idx="22">
                  <c:v>140887593.81862506</c:v>
                </c:pt>
                <c:pt idx="23">
                  <c:v>148357094.49517354</c:v>
                </c:pt>
                <c:pt idx="24">
                  <c:v>156200885.15251088</c:v>
                </c:pt>
                <c:pt idx="25">
                  <c:v>164437045.71094197</c:v>
                </c:pt>
                <c:pt idx="26">
                  <c:v>173084507.21566767</c:v>
                </c:pt>
                <c:pt idx="27">
                  <c:v>182163091.14590901</c:v>
                </c:pt>
                <c:pt idx="28">
                  <c:v>191693550.51297188</c:v>
                </c:pt>
                <c:pt idx="29">
                  <c:v>201697612.82771903</c:v>
                </c:pt>
                <c:pt idx="30">
                  <c:v>212198025.02150008</c:v>
                </c:pt>
                <c:pt idx="31">
                  <c:v>223218600.40833539</c:v>
                </c:pt>
                <c:pt idx="32">
                  <c:v>234784267.78005737</c:v>
                </c:pt>
                <c:pt idx="33">
                  <c:v>246921122.73019409</c:v>
                </c:pt>
                <c:pt idx="34">
                  <c:v>259656481.30664393</c:v>
                </c:pt>
                <c:pt idx="35">
                  <c:v>273018936.09763801</c:v>
                </c:pt>
                <c:pt idx="36">
                  <c:v>287038414.86013407</c:v>
                </c:pt>
                <c:pt idx="37">
                  <c:v>301746241.80463904</c:v>
                </c:pt>
                <c:pt idx="38">
                  <c:v>317175201.65551889</c:v>
                </c:pt>
                <c:pt idx="39">
                  <c:v>333359606.61114907</c:v>
                </c:pt>
                <c:pt idx="40">
                  <c:v>350335366.33377564</c:v>
                </c:pt>
                <c:pt idx="41">
                  <c:v>368140061.1047259</c:v>
                </c:pt>
                <c:pt idx="42">
                  <c:v>386813018.28662729</c:v>
                </c:pt>
                <c:pt idx="43">
                  <c:v>406395392.24057657</c:v>
                </c:pt>
                <c:pt idx="44">
                  <c:v>426930247.85276353</c:v>
                </c:pt>
                <c:pt idx="45">
                  <c:v>448462647.83190638</c:v>
                </c:pt>
                <c:pt idx="46">
                  <c:v>471039743.94600511</c:v>
                </c:pt>
                <c:pt idx="47">
                  <c:v>494710872.37438846</c:v>
                </c:pt>
                <c:pt idx="48">
                  <c:v>519527653.35882568</c:v>
                </c:pt>
                <c:pt idx="49">
                  <c:v>545544095.34561205</c:v>
                </c:pt>
                <c:pt idx="50">
                  <c:v>572816703.81903481</c:v>
                </c:pt>
                <c:pt idx="51">
                  <c:v>601404595.03549612</c:v>
                </c:pt>
                <c:pt idx="52">
                  <c:v>631369614.87682652</c:v>
                </c:pt>
                <c:pt idx="53">
                  <c:v>662776463.05100048</c:v>
                </c:pt>
                <c:pt idx="54">
                  <c:v>695692822.87853885</c:v>
                </c:pt>
                <c:pt idx="55">
                  <c:v>730189496.91343832</c:v>
                </c:pt>
                <c:pt idx="56">
                  <c:v>766340548.65845203</c:v>
                </c:pt>
                <c:pt idx="57">
                  <c:v>804223450.64602852</c:v>
                </c:pt>
                <c:pt idx="58">
                  <c:v>843919239.16820955</c:v>
                </c:pt>
                <c:pt idx="59">
                  <c:v>885512675.95128465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Annual O&amp;M Cost (AOC)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A4E-4784-893A-60005AD66724}"/>
            </c:ext>
          </c:extLst>
        </c:ser>
        <c:ser>
          <c:idx val="2"/>
          <c:order val="2"/>
          <c:spPr>
            <a:ln w="19050"/>
          </c:spPr>
          <c:marker>
            <c:symbol val="none"/>
          </c:marker>
          <c:cat>
            <c:numRef>
              <c:f>ESL_Analysis_Pullman!$C$29:$C$88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ESL_Analysis_Pullman!$F$29:$F$88</c:f>
              <c:numCache>
                <c:formatCode>_("Rp"* #,##0_);_("Rp"* \(#,##0\);_("Rp"* "-"_);_(@_)</c:formatCode>
                <c:ptCount val="60"/>
                <c:pt idx="0">
                  <c:v>44158777900.668358</c:v>
                </c:pt>
                <c:pt idx="1">
                  <c:v>45952353171.816002</c:v>
                </c:pt>
                <c:pt idx="2">
                  <c:v>47818777191.840492</c:v>
                </c:pt>
                <c:pt idx="3">
                  <c:v>49761008821.416672</c:v>
                </c:pt>
                <c:pt idx="4">
                  <c:v>51782127099.742493</c:v>
                </c:pt>
                <c:pt idx="5">
                  <c:v>53885336125.767502</c:v>
                </c:pt>
                <c:pt idx="6">
                  <c:v>56073970137.679611</c:v>
                </c:pt>
                <c:pt idx="7">
                  <c:v>58351498798.702713</c:v>
                </c:pt>
                <c:pt idx="8">
                  <c:v>60721532697.584747</c:v>
                </c:pt>
                <c:pt idx="9">
                  <c:v>63187829072.49617</c:v>
                </c:pt>
                <c:pt idx="10">
                  <c:v>65754297767.41301</c:v>
                </c:pt>
                <c:pt idx="11">
                  <c:v>68425007430.427162</c:v>
                </c:pt>
                <c:pt idx="12">
                  <c:v>71204191963.810165</c:v>
                </c:pt>
                <c:pt idx="13">
                  <c:v>74096257236.055862</c:v>
                </c:pt>
                <c:pt idx="14">
                  <c:v>77105788066.542419</c:v>
                </c:pt>
                <c:pt idx="15">
                  <c:v>80237555493.886887</c:v>
                </c:pt>
                <c:pt idx="16">
                  <c:v>83496524339.514343</c:v>
                </c:pt>
                <c:pt idx="17">
                  <c:v>86887861078.432846</c:v>
                </c:pt>
                <c:pt idx="18">
                  <c:v>90416942029.691254</c:v>
                </c:pt>
                <c:pt idx="19">
                  <c:v>94089361879.504608</c:v>
                </c:pt>
                <c:pt idx="20">
                  <c:v>97910942550.558731</c:v>
                </c:pt>
                <c:pt idx="21">
                  <c:v>101887742431.55475</c:v>
                </c:pt>
                <c:pt idx="22">
                  <c:v>106026065981.625</c:v>
                </c:pt>
                <c:pt idx="23">
                  <c:v>110332473724.8465</c:v>
                </c:pt>
                <c:pt idx="24">
                  <c:v>114813792650.69609</c:v>
                </c:pt>
                <c:pt idx="25">
                  <c:v>119477127036.93558</c:v>
                </c:pt>
                <c:pt idx="26">
                  <c:v>124329869712.08403</c:v>
                </c:pt>
                <c:pt idx="27">
                  <c:v>129379713775.33192</c:v>
                </c:pt>
                <c:pt idx="28">
                  <c:v>134634664792.47694</c:v>
                </c:pt>
                <c:pt idx="29">
                  <c:v>140103053487.21542</c:v>
                </c:pt>
                <c:pt idx="30">
                  <c:v>145793548947.90933</c:v>
                </c:pt>
                <c:pt idx="31">
                  <c:v>151715172370.76538</c:v>
                </c:pt>
                <c:pt idx="32">
                  <c:v>157877311361.21359</c:v>
                </c:pt>
                <c:pt idx="33">
                  <c:v>164289734816.15714</c:v>
                </c:pt>
                <c:pt idx="34">
                  <c:v>170962608410.68671</c:v>
                </c:pt>
                <c:pt idx="35">
                  <c:v>177906510713.81052</c:v>
                </c:pt>
                <c:pt idx="36">
                  <c:v>185132449958.74817</c:v>
                </c:pt>
                <c:pt idx="37">
                  <c:v>192651881494.37451</c:v>
                </c:pt>
                <c:pt idx="38">
                  <c:v>200476725945.47974</c:v>
                </c:pt>
                <c:pt idx="39">
                  <c:v>208619388110.63461</c:v>
                </c:pt>
                <c:pt idx="40">
                  <c:v>217092776627.62057</c:v>
                </c:pt>
                <c:pt idx="41">
                  <c:v>225910324437.59979</c:v>
                </c:pt>
                <c:pt idx="42">
                  <c:v>235086010080.46738</c:v>
                </c:pt>
                <c:pt idx="43">
                  <c:v>244634379855.14584</c:v>
                </c:pt>
                <c:pt idx="44">
                  <c:v>254570570879.95197</c:v>
                </c:pt>
                <c:pt idx="45">
                  <c:v>264910335089.59433</c:v>
                </c:pt>
                <c:pt idx="46">
                  <c:v>275670064206.84393</c:v>
                </c:pt>
                <c:pt idx="47">
                  <c:v>286866815728.466</c:v>
                </c:pt>
                <c:pt idx="48">
                  <c:v>298518339966.60773</c:v>
                </c:pt>
                <c:pt idx="49">
                  <c:v>310643108188.51245</c:v>
                </c:pt>
                <c:pt idx="50">
                  <c:v>323260341899.1684</c:v>
                </c:pt>
                <c:pt idx="51">
                  <c:v>336390043313.31604</c:v>
                </c:pt>
                <c:pt idx="52">
                  <c:v>350053027065.11951</c:v>
                </c:pt>
                <c:pt idx="53">
                  <c:v>364270953205.77356</c:v>
                </c:pt>
                <c:pt idx="54">
                  <c:v>379066361541.35559</c:v>
                </c:pt>
                <c:pt idx="55">
                  <c:v>394462707365.36066</c:v>
                </c:pt>
                <c:pt idx="56">
                  <c:v>410484398642.56458</c:v>
                </c:pt>
                <c:pt idx="57">
                  <c:v>427156834703.16473</c:v>
                </c:pt>
                <c:pt idx="58">
                  <c:v>444506446508.53912</c:v>
                </c:pt>
                <c:pt idx="59">
                  <c:v>462560738552.45868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 Annual Cost (TAC)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A4E-4784-893A-60005AD6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23547"/>
        <c:axId val="13979747"/>
      </c:lineChart>
      <c:catAx>
        <c:axId val="98523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13979747"/>
        <c:crosses val="autoZero"/>
        <c:auto val="1"/>
        <c:lblAlgn val="ctr"/>
        <c:lblOffset val="0"/>
        <c:tickMarkSkip val="1"/>
        <c:noMultiLvlLbl val="1"/>
      </c:catAx>
      <c:valAx>
        <c:axId val="13979747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_(&quot;Rp&quot;* #,##0_);_(&quot;Rp&quot;* \(#,##0\);_(&quot;Rp&quot;* &quot;-&quot;_);_(@_)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98523547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D" sz="1050" b="0">
                <a:solidFill>
                  <a:srgbClr val="333333"/>
                </a:solidFill>
                <a:latin typeface="Arial"/>
              </a:rPr>
              <a:t>Pullman Hotel - Market Value Projection by Asset Category (2025-2045)</a:t>
            </a:r>
            <a:endParaRPr lang="en-ID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/>
          </c:spPr>
          <c:marker>
            <c:symbol val="none"/>
          </c:marker>
          <c:cat>
            <c:numRef>
              <c:f>Market_Value_Pullman!$B$21:$B$41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Market_Value_Pullman!$C$21:$C$41</c:f>
              <c:numCache>
                <c:formatCode>#,##0.00</c:formatCode>
                <c:ptCount val="21"/>
                <c:pt idx="0">
                  <c:v>507.38318494399999</c:v>
                </c:pt>
                <c:pt idx="1">
                  <c:v>493.55549772056668</c:v>
                </c:pt>
                <c:pt idx="2">
                  <c:v>479.72781049713331</c:v>
                </c:pt>
                <c:pt idx="3">
                  <c:v>465.90012327369999</c:v>
                </c:pt>
                <c:pt idx="4">
                  <c:v>452.07243605026667</c:v>
                </c:pt>
                <c:pt idx="5">
                  <c:v>438.24474882683336</c:v>
                </c:pt>
                <c:pt idx="6">
                  <c:v>424.41706160340004</c:v>
                </c:pt>
                <c:pt idx="7">
                  <c:v>410.58937437996667</c:v>
                </c:pt>
                <c:pt idx="8">
                  <c:v>396.76168715653336</c:v>
                </c:pt>
                <c:pt idx="9">
                  <c:v>382.93399993310004</c:v>
                </c:pt>
                <c:pt idx="10">
                  <c:v>369.10631270966667</c:v>
                </c:pt>
                <c:pt idx="11">
                  <c:v>355.27862548623335</c:v>
                </c:pt>
                <c:pt idx="12">
                  <c:v>341.45093826280004</c:v>
                </c:pt>
                <c:pt idx="13">
                  <c:v>327.62325103936672</c:v>
                </c:pt>
                <c:pt idx="14">
                  <c:v>313.79556381593341</c:v>
                </c:pt>
                <c:pt idx="15">
                  <c:v>299.96787659250003</c:v>
                </c:pt>
                <c:pt idx="16">
                  <c:v>286.14018936906672</c:v>
                </c:pt>
                <c:pt idx="17">
                  <c:v>272.3125021456334</c:v>
                </c:pt>
                <c:pt idx="18">
                  <c:v>258.48481492220003</c:v>
                </c:pt>
                <c:pt idx="19">
                  <c:v>244.65712769876671</c:v>
                </c:pt>
                <c:pt idx="20">
                  <c:v>230.8294404753334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Bangunan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52F-4CD9-8BF6-037CF157187F}"/>
            </c:ext>
          </c:extLst>
        </c:ser>
        <c:ser>
          <c:idx val="1"/>
          <c:order val="1"/>
          <c:spPr>
            <a:ln w="19050"/>
          </c:spPr>
          <c:marker>
            <c:symbol val="none"/>
          </c:marker>
          <c:cat>
            <c:numRef>
              <c:f>Market_Value_Pullman!$B$21:$B$41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Market_Value_Pullman!$D$21:$D$41</c:f>
              <c:numCache>
                <c:formatCode>#,##0.00</c:formatCode>
                <c:ptCount val="21"/>
                <c:pt idx="0">
                  <c:v>121.875954881</c:v>
                </c:pt>
                <c:pt idx="1">
                  <c:v>97.500763904875001</c:v>
                </c:pt>
                <c:pt idx="2">
                  <c:v>73.125572928749989</c:v>
                </c:pt>
                <c:pt idx="3">
                  <c:v>48.750381952624991</c:v>
                </c:pt>
                <c:pt idx="4">
                  <c:v>24.375190976499994</c:v>
                </c:pt>
                <c:pt idx="5">
                  <c:v>3.7499603422475047E-10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Mesin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52F-4CD9-8BF6-037CF157187F}"/>
            </c:ext>
          </c:extLst>
        </c:ser>
        <c:ser>
          <c:idx val="2"/>
          <c:order val="2"/>
          <c:spPr>
            <a:ln w="19050"/>
          </c:spPr>
          <c:marker>
            <c:symbol val="none"/>
          </c:marker>
          <c:cat>
            <c:numRef>
              <c:f>Market_Value_Pullman!$B$21:$B$41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Market_Value_Pullman!$E$21:$E$41</c:f>
              <c:numCache>
                <c:formatCode>#,##0.00</c:formatCode>
                <c:ptCount val="21"/>
                <c:pt idx="0">
                  <c:v>9.1371862480000008</c:v>
                </c:pt>
                <c:pt idx="1">
                  <c:v>8.8902352683250001</c:v>
                </c:pt>
                <c:pt idx="2">
                  <c:v>8.6432842886500012</c:v>
                </c:pt>
                <c:pt idx="3">
                  <c:v>8.3963333089750005</c:v>
                </c:pt>
                <c:pt idx="4">
                  <c:v>8.1493823293000016</c:v>
                </c:pt>
                <c:pt idx="5">
                  <c:v>7.9024313496250009</c:v>
                </c:pt>
                <c:pt idx="6">
                  <c:v>7.6554803699500011</c:v>
                </c:pt>
                <c:pt idx="7">
                  <c:v>7.4085293902750013</c:v>
                </c:pt>
                <c:pt idx="8">
                  <c:v>7.1615784106000007</c:v>
                </c:pt>
                <c:pt idx="9">
                  <c:v>6.9146274309250009</c:v>
                </c:pt>
                <c:pt idx="10">
                  <c:v>6.6676764512500011</c:v>
                </c:pt>
                <c:pt idx="11">
                  <c:v>6.4207254715750004</c:v>
                </c:pt>
                <c:pt idx="12">
                  <c:v>6.1737744919000015</c:v>
                </c:pt>
                <c:pt idx="13">
                  <c:v>5.9268235122250008</c:v>
                </c:pt>
                <c:pt idx="14">
                  <c:v>5.679872532550001</c:v>
                </c:pt>
                <c:pt idx="15">
                  <c:v>5.4329215528750012</c:v>
                </c:pt>
                <c:pt idx="16">
                  <c:v>5.1859705732000005</c:v>
                </c:pt>
                <c:pt idx="17">
                  <c:v>4.9390195935250008</c:v>
                </c:pt>
                <c:pt idx="18">
                  <c:v>4.692068613850001</c:v>
                </c:pt>
                <c:pt idx="19">
                  <c:v>4.4451176341750012</c:v>
                </c:pt>
                <c:pt idx="20">
                  <c:v>4.1981666545000014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Landscape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F52F-4CD9-8BF6-037CF157187F}"/>
            </c:ext>
          </c:extLst>
        </c:ser>
        <c:ser>
          <c:idx val="3"/>
          <c:order val="3"/>
          <c:spPr>
            <a:ln w="19050"/>
          </c:spPr>
          <c:marker>
            <c:symbol val="none"/>
          </c:marker>
          <c:cat>
            <c:numRef>
              <c:f>Market_Value_Pullman!$B$21:$B$41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Market_Value_Pullman!$F$21:$F$41</c:f>
              <c:numCache>
                <c:formatCode>#,##0.00</c:formatCode>
                <c:ptCount val="21"/>
                <c:pt idx="0">
                  <c:v>4.1153554540000004</c:v>
                </c:pt>
                <c:pt idx="1">
                  <c:v>0.97331930925000165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Peralatan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F52F-4CD9-8BF6-037CF157187F}"/>
            </c:ext>
          </c:extLst>
        </c:ser>
        <c:ser>
          <c:idx val="4"/>
          <c:order val="4"/>
          <c:spPr>
            <a:ln w="19050"/>
          </c:spPr>
          <c:marker>
            <c:symbol val="none"/>
          </c:marker>
          <c:cat>
            <c:numRef>
              <c:f>Market_Value_Pullman!$B$21:$B$41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Market_Value_Pullman!$G$21:$G$41</c:f>
              <c:numCache>
                <c:formatCode>#,##0.00</c:formatCode>
                <c:ptCount val="21"/>
                <c:pt idx="0">
                  <c:v>0.90372444900000004</c:v>
                </c:pt>
                <c:pt idx="1">
                  <c:v>0.41713883150000008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Perlengkapan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F52F-4CD9-8BF6-037CF157187F}"/>
            </c:ext>
          </c:extLst>
        </c:ser>
        <c:ser>
          <c:idx val="5"/>
          <c:order val="5"/>
          <c:spPr>
            <a:ln w="19050"/>
          </c:spPr>
          <c:marker>
            <c:symbol val="none"/>
          </c:marker>
          <c:cat>
            <c:numRef>
              <c:f>Market_Value_Pullman!$B$21:$B$41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Market_Value_Pullman!$H$21:$H$41</c:f>
              <c:numCache>
                <c:formatCode>#,##0.00</c:formatCode>
                <c:ptCount val="21"/>
                <c:pt idx="0">
                  <c:v>0.18253333299999999</c:v>
                </c:pt>
                <c:pt idx="1">
                  <c:v>0.123333333</c:v>
                </c:pt>
                <c:pt idx="2">
                  <c:v>6.4133333000000015E-2</c:v>
                </c:pt>
                <c:pt idx="3">
                  <c:v>4.933333000000012E-3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Kendaraan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52F-4CD9-8BF6-037CF157187F}"/>
            </c:ext>
          </c:extLst>
        </c:ser>
        <c:ser>
          <c:idx val="6"/>
          <c:order val="6"/>
          <c:spPr>
            <a:ln w="19050"/>
          </c:spPr>
          <c:marker>
            <c:symbol val="none"/>
          </c:marker>
          <c:cat>
            <c:numRef>
              <c:f>Market_Value_Pullman!$B$21:$B$41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Market_Value_Pullman!$I$21:$I$41</c:f>
              <c:numCache>
                <c:formatCode>#,##0.00</c:formatCode>
                <c:ptCount val="21"/>
                <c:pt idx="0">
                  <c:v>2.4963438000000001E-2</c:v>
                </c:pt>
                <c:pt idx="1">
                  <c:v>7.342188000000003E-3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Lisensi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52F-4CD9-8BF6-037CF157187F}"/>
            </c:ext>
          </c:extLst>
        </c:ser>
        <c:ser>
          <c:idx val="7"/>
          <c:order val="7"/>
          <c:spPr>
            <a:ln w="19050"/>
          </c:spPr>
          <c:marker>
            <c:symbol val="none"/>
          </c:marker>
          <c:cat>
            <c:numRef>
              <c:f>Market_Value_Pullman!$B$21:$B$41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Market_Value_Pullman!$J$21:$J$41</c:f>
              <c:numCache>
                <c:formatCode>#,##0.00</c:formatCode>
                <c:ptCount val="21"/>
                <c:pt idx="0">
                  <c:v>0.50359221700000001</c:v>
                </c:pt>
                <c:pt idx="1">
                  <c:v>0.291116123</c:v>
                </c:pt>
                <c:pt idx="2">
                  <c:v>7.8640029E-2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Sistem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F52F-4CD9-8BF6-037CF157187F}"/>
            </c:ext>
          </c:extLst>
        </c:ser>
        <c:ser>
          <c:idx val="8"/>
          <c:order val="8"/>
          <c:spPr>
            <a:ln w="19050"/>
          </c:spPr>
          <c:marker>
            <c:symbol val="none"/>
          </c:marker>
          <c:cat>
            <c:numRef>
              <c:f>Market_Value_Pullman!$B$21:$B$41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Market_Value_Pullman!$K$21:$K$41</c:f>
              <c:numCache>
                <c:formatCode>#,##0.00</c:formatCode>
                <c:ptCount val="21"/>
                <c:pt idx="0">
                  <c:v>644.12649496400013</c:v>
                </c:pt>
                <c:pt idx="1">
                  <c:v>601.75874667851679</c:v>
                </c:pt>
                <c:pt idx="2">
                  <c:v>561.63944107653322</c:v>
                </c:pt>
                <c:pt idx="3">
                  <c:v>523.05177186830008</c:v>
                </c:pt>
                <c:pt idx="4">
                  <c:v>484.59700935606668</c:v>
                </c:pt>
                <c:pt idx="5">
                  <c:v>446.14718017683333</c:v>
                </c:pt>
                <c:pt idx="6">
                  <c:v>432.07254197335004</c:v>
                </c:pt>
                <c:pt idx="7">
                  <c:v>417.99790377024169</c:v>
                </c:pt>
                <c:pt idx="8">
                  <c:v>403.92326556713334</c:v>
                </c:pt>
                <c:pt idx="9">
                  <c:v>389.84862736402505</c:v>
                </c:pt>
                <c:pt idx="10">
                  <c:v>375.77398916091664</c:v>
                </c:pt>
                <c:pt idx="11">
                  <c:v>361.69935095780835</c:v>
                </c:pt>
                <c:pt idx="12">
                  <c:v>347.62471275470006</c:v>
                </c:pt>
                <c:pt idx="13">
                  <c:v>333.55007455159171</c:v>
                </c:pt>
                <c:pt idx="14">
                  <c:v>319.47543634848341</c:v>
                </c:pt>
                <c:pt idx="15">
                  <c:v>305.40079814537501</c:v>
                </c:pt>
                <c:pt idx="16">
                  <c:v>291.32615994226671</c:v>
                </c:pt>
                <c:pt idx="17">
                  <c:v>277.25152173915842</c:v>
                </c:pt>
                <c:pt idx="18">
                  <c:v>263.17688353605001</c:v>
                </c:pt>
                <c:pt idx="19">
                  <c:v>249.10224533294172</c:v>
                </c:pt>
                <c:pt idx="20">
                  <c:v>235.0276071298334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 Portfolio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F52F-4CD9-8BF6-037CF1571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68284"/>
        <c:axId val="45277236"/>
      </c:lineChart>
      <c:catAx>
        <c:axId val="502682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45277236"/>
        <c:crosses val="autoZero"/>
        <c:auto val="1"/>
        <c:lblAlgn val="ctr"/>
        <c:lblOffset val="0"/>
        <c:tickMarkSkip val="1"/>
        <c:noMultiLvlLbl val="1"/>
      </c:catAx>
      <c:valAx>
        <c:axId val="45277236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50268284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D" sz="1050" b="0">
                <a:solidFill>
                  <a:srgbClr val="333333"/>
                </a:solidFill>
                <a:latin typeface="Arial"/>
              </a:rPr>
              <a:t>10-Year Depreciation by Scenario</a:t>
            </a:r>
            <a:endParaRPr lang="en-ID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Visual_Dashboard!$B$13:$B$15</c:f>
              <c:strCache>
                <c:ptCount val="3"/>
                <c:pt idx="0">
                  <c:v>Baseline (40 years)</c:v>
                </c:pt>
                <c:pt idx="1">
                  <c:v>Realistic (50 years)</c:v>
                </c:pt>
                <c:pt idx="2">
                  <c:v>Optimistic (75 years)</c:v>
                </c:pt>
              </c:strCache>
            </c:strRef>
          </c:cat>
          <c:val>
            <c:numRef>
              <c:f>Visual_Dashboard!$C$13:$C$15</c:f>
              <c:numCache>
                <c:formatCode>#,##0.0</c:formatCode>
                <c:ptCount val="3"/>
                <c:pt idx="0">
                  <c:v>138.99673092</c:v>
                </c:pt>
                <c:pt idx="1">
                  <c:v>108.22299689768244</c:v>
                </c:pt>
                <c:pt idx="2">
                  <c:v>70.966337133457017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4-41F0-A5C5-8044BEB1A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54265214"/>
        <c:axId val="15741766"/>
      </c:barChart>
      <c:catAx>
        <c:axId val="542652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15741766"/>
        <c:crosses val="autoZero"/>
        <c:auto val="1"/>
        <c:lblAlgn val="ctr"/>
        <c:lblOffset val="0"/>
        <c:tickMarkSkip val="1"/>
        <c:noMultiLvlLbl val="1"/>
      </c:catAx>
      <c:valAx>
        <c:axId val="15741766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54265214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D" sz="1050" b="0">
                <a:solidFill>
                  <a:srgbClr val="333333"/>
                </a:solidFill>
                <a:latin typeface="Arial"/>
              </a:rPr>
              <a:t>Annual Depreciation Trend - All Scenarios</a:t>
            </a:r>
            <a:endParaRPr lang="en-ID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/>
          </c:spPr>
          <c:marker>
            <c:symbol val="none"/>
          </c:marker>
          <c:cat>
            <c:numRef>
              <c:f>Visual_Dashboard!$F$13:$F$22</c:f>
              <c:numCache>
                <c:formatCode>0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Visual_Dashboard!$G$13:$G$22</c:f>
              <c:numCache>
                <c:formatCode>#,##0.0</c:formatCode>
                <c:ptCount val="10"/>
                <c:pt idx="0">
                  <c:v>13.899673092</c:v>
                </c:pt>
                <c:pt idx="1">
                  <c:v>13.899673092</c:v>
                </c:pt>
                <c:pt idx="2">
                  <c:v>13.899673092</c:v>
                </c:pt>
                <c:pt idx="3">
                  <c:v>13.899673092</c:v>
                </c:pt>
                <c:pt idx="4">
                  <c:v>13.899673092</c:v>
                </c:pt>
                <c:pt idx="5">
                  <c:v>13.899673092</c:v>
                </c:pt>
                <c:pt idx="6">
                  <c:v>13.899673092</c:v>
                </c:pt>
                <c:pt idx="7">
                  <c:v>13.899673092</c:v>
                </c:pt>
                <c:pt idx="8">
                  <c:v>13.899673092</c:v>
                </c:pt>
                <c:pt idx="9">
                  <c:v>13.899673092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Baseline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13E-4ECE-9D0D-2E6302786DAF}"/>
            </c:ext>
          </c:extLst>
        </c:ser>
        <c:ser>
          <c:idx val="1"/>
          <c:order val="1"/>
          <c:spPr>
            <a:ln w="19050"/>
          </c:spPr>
          <c:marker>
            <c:symbol val="none"/>
          </c:marker>
          <c:cat>
            <c:numRef>
              <c:f>Visual_Dashboard!$F$13:$F$22</c:f>
              <c:numCache>
                <c:formatCode>0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Visual_Dashboard!$H$13:$H$22</c:f>
              <c:numCache>
                <c:formatCode>#,##0.0</c:formatCode>
                <c:ptCount val="10"/>
                <c:pt idx="0">
                  <c:v>10.822299689768244</c:v>
                </c:pt>
                <c:pt idx="1">
                  <c:v>10.822299689768244</c:v>
                </c:pt>
                <c:pt idx="2">
                  <c:v>10.822299689768244</c:v>
                </c:pt>
                <c:pt idx="3">
                  <c:v>10.822299689768244</c:v>
                </c:pt>
                <c:pt idx="4">
                  <c:v>10.822299689768244</c:v>
                </c:pt>
                <c:pt idx="5">
                  <c:v>10.822299689768244</c:v>
                </c:pt>
                <c:pt idx="6">
                  <c:v>10.822299689768244</c:v>
                </c:pt>
                <c:pt idx="7">
                  <c:v>10.822299689768244</c:v>
                </c:pt>
                <c:pt idx="8">
                  <c:v>10.822299689768244</c:v>
                </c:pt>
                <c:pt idx="9">
                  <c:v>10.822299689768244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Realistic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13E-4ECE-9D0D-2E6302786DAF}"/>
            </c:ext>
          </c:extLst>
        </c:ser>
        <c:ser>
          <c:idx val="2"/>
          <c:order val="2"/>
          <c:spPr>
            <a:ln w="19050"/>
          </c:spPr>
          <c:marker>
            <c:symbol val="none"/>
          </c:marker>
          <c:cat>
            <c:numRef>
              <c:f>Visual_Dashboard!$F$13:$F$22</c:f>
              <c:numCache>
                <c:formatCode>0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Visual_Dashboard!$I$13:$I$22</c:f>
              <c:numCache>
                <c:formatCode>#,##0.0</c:formatCode>
                <c:ptCount val="10"/>
                <c:pt idx="0">
                  <c:v>7.0966337133457014</c:v>
                </c:pt>
                <c:pt idx="1">
                  <c:v>7.0966337133457014</c:v>
                </c:pt>
                <c:pt idx="2">
                  <c:v>7.0966337133457014</c:v>
                </c:pt>
                <c:pt idx="3">
                  <c:v>7.0966337133457014</c:v>
                </c:pt>
                <c:pt idx="4">
                  <c:v>7.0966337133457014</c:v>
                </c:pt>
                <c:pt idx="5">
                  <c:v>7.0966337133457014</c:v>
                </c:pt>
                <c:pt idx="6">
                  <c:v>7.0966337133457014</c:v>
                </c:pt>
                <c:pt idx="7">
                  <c:v>7.0966337133457014</c:v>
                </c:pt>
                <c:pt idx="8">
                  <c:v>7.0966337133457014</c:v>
                </c:pt>
                <c:pt idx="9">
                  <c:v>7.0966337133457014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Optimistic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13E-4ECE-9D0D-2E6302786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82737"/>
        <c:axId val="58437221"/>
      </c:lineChart>
      <c:catAx>
        <c:axId val="8498273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58437221"/>
        <c:crosses val="autoZero"/>
        <c:auto val="1"/>
        <c:lblAlgn val="ctr"/>
        <c:lblOffset val="0"/>
        <c:tickMarkSkip val="1"/>
        <c:noMultiLvlLbl val="1"/>
      </c:catAx>
      <c:valAx>
        <c:axId val="58437221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84982737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D" sz="1050" b="0">
                <a:solidFill>
                  <a:srgbClr val="333333"/>
                </a:solidFill>
                <a:latin typeface="Arial"/>
              </a:rPr>
              <a:t>Cumulative Depreciation Savings</a:t>
            </a:r>
            <a:endParaRPr lang="en-ID"/>
          </a:p>
        </c:rich>
      </c:tx>
      <c:overlay val="0"/>
      <c:spPr>
        <a:noFill/>
        <a:ln>
          <a:noFill/>
        </a:ln>
      </c:spPr>
    </c:title>
    <c:autoTitleDeleted val="0"/>
    <c:plotArea>
      <c:layout/>
      <c:areaChart>
        <c:grouping val="stacked"/>
        <c:varyColors val="0"/>
        <c:ser>
          <c:idx val="0"/>
          <c:order val="0"/>
          <c:cat>
            <c:numRef>
              <c:f>Visual_Dashboard!$B$26:$B$35</c:f>
              <c:numCache>
                <c:formatCode>0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Visual_Dashboard!$C$26:$C$35</c:f>
              <c:numCache>
                <c:formatCode>#,##0.0</c:formatCode>
                <c:ptCount val="10"/>
                <c:pt idx="0">
                  <c:v>3.0773734022317569</c:v>
                </c:pt>
                <c:pt idx="1">
                  <c:v>6.1547468044635139</c:v>
                </c:pt>
                <c:pt idx="2">
                  <c:v>9.2321202066952708</c:v>
                </c:pt>
                <c:pt idx="3">
                  <c:v>12.309493608927028</c:v>
                </c:pt>
                <c:pt idx="4">
                  <c:v>15.386867011158785</c:v>
                </c:pt>
                <c:pt idx="5">
                  <c:v>18.464240413390542</c:v>
                </c:pt>
                <c:pt idx="6">
                  <c:v>21.541613815622298</c:v>
                </c:pt>
                <c:pt idx="7">
                  <c:v>24.618987217854055</c:v>
                </c:pt>
                <c:pt idx="8">
                  <c:v>27.696360620085812</c:v>
                </c:pt>
                <c:pt idx="9">
                  <c:v>30.773734022317569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Realistic Cumulative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BB9-4FCC-A7EF-5B915AD090A2}"/>
            </c:ext>
          </c:extLst>
        </c:ser>
        <c:ser>
          <c:idx val="1"/>
          <c:order val="1"/>
          <c:cat>
            <c:numRef>
              <c:f>Visual_Dashboard!$B$26:$B$35</c:f>
              <c:numCache>
                <c:formatCode>0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Visual_Dashboard!$D$26:$D$35</c:f>
              <c:numCache>
                <c:formatCode>#,##0.0</c:formatCode>
                <c:ptCount val="10"/>
                <c:pt idx="0">
                  <c:v>6.8030393786542991</c:v>
                </c:pt>
                <c:pt idx="1">
                  <c:v>13.606078757308598</c:v>
                </c:pt>
                <c:pt idx="2">
                  <c:v>20.409118135962899</c:v>
                </c:pt>
                <c:pt idx="3">
                  <c:v>27.212157514617196</c:v>
                </c:pt>
                <c:pt idx="4">
                  <c:v>34.015196893271494</c:v>
                </c:pt>
                <c:pt idx="5">
                  <c:v>40.818236271925791</c:v>
                </c:pt>
                <c:pt idx="6">
                  <c:v>47.621275650580088</c:v>
                </c:pt>
                <c:pt idx="7">
                  <c:v>54.424315029234386</c:v>
                </c:pt>
                <c:pt idx="8">
                  <c:v>61.227354407888683</c:v>
                </c:pt>
                <c:pt idx="9">
                  <c:v>68.030393786542987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Optimistic Cumulative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BB9-4FCC-A7EF-5B915AD09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26583"/>
        <c:axId val="56542058"/>
      </c:areaChart>
      <c:catAx>
        <c:axId val="2862658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56542058"/>
        <c:crosses val="autoZero"/>
        <c:auto val="1"/>
        <c:lblAlgn val="ctr"/>
        <c:lblOffset val="0"/>
        <c:tickMarkSkip val="1"/>
        <c:noMultiLvlLbl val="1"/>
      </c:catAx>
      <c:valAx>
        <c:axId val="56542058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28626583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D" sz="1050" b="0">
                <a:solidFill>
                  <a:srgbClr val="333333"/>
                </a:solidFill>
                <a:latin typeface="Arial"/>
              </a:rPr>
              <a:t>Building Assets NBV in 2034</a:t>
            </a:r>
            <a:endParaRPr lang="en-ID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Visual_Dashboard!$F$26:$F$28</c:f>
              <c:strCache>
                <c:ptCount val="3"/>
                <c:pt idx="0">
                  <c:v>Baseline (40yr)</c:v>
                </c:pt>
                <c:pt idx="1">
                  <c:v>Realistic (50yr)</c:v>
                </c:pt>
                <c:pt idx="2">
                  <c:v>Optimistic (75yr)</c:v>
                </c:pt>
              </c:strCache>
            </c:strRef>
          </c:cat>
          <c:val>
            <c:numRef>
              <c:f>Visual_Dashboard!$G$26:$G$28</c:f>
              <c:numCache>
                <c:formatCode>#,##0.0</c:formatCode>
                <c:ptCount val="3"/>
                <c:pt idx="0">
                  <c:v>251.27049502699998</c:v>
                </c:pt>
                <c:pt idx="1">
                  <c:v>309.74058966940362</c:v>
                </c:pt>
                <c:pt idx="2">
                  <c:v>380.52824322143181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5-42FE-9C54-2D7161C8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21819702"/>
        <c:axId val="33259118"/>
      </c:barChart>
      <c:catAx>
        <c:axId val="218197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33259118"/>
        <c:crosses val="autoZero"/>
        <c:auto val="1"/>
        <c:lblAlgn val="ctr"/>
        <c:lblOffset val="0"/>
        <c:tickMarkSkip val="1"/>
        <c:noMultiLvlLbl val="1"/>
      </c:catAx>
      <c:valAx>
        <c:axId val="33259118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2181970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17</xdr:row>
      <xdr:rowOff>148167</xdr:rowOff>
    </xdr:from>
    <xdr:to>
      <xdr:col>12</xdr:col>
      <xdr:colOff>536575</xdr:colOff>
      <xdr:row>34</xdr:row>
      <xdr:rowOff>99484</xdr:rowOff>
    </xdr:to>
    <xdr:graphicFrame macro="">
      <xdr:nvGraphicFramePr>
        <xdr:cNvPr id="2" name="TornadoDiagram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96</xdr:row>
      <xdr:rowOff>95250</xdr:rowOff>
    </xdr:from>
    <xdr:to>
      <xdr:col>4</xdr:col>
      <xdr:colOff>1704975</xdr:colOff>
      <xdr:row>119</xdr:row>
      <xdr:rowOff>0</xdr:rowOff>
    </xdr:to>
    <xdr:graphicFrame macro="">
      <xdr:nvGraphicFramePr>
        <xdr:cNvPr id="2" name="ESL_Cost_Curve_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0</xdr:row>
      <xdr:rowOff>0</xdr:rowOff>
    </xdr:from>
    <xdr:to>
      <xdr:col>17</xdr:col>
      <xdr:colOff>276225</xdr:colOff>
      <xdr:row>21</xdr:row>
      <xdr:rowOff>123825</xdr:rowOff>
    </xdr:to>
    <xdr:graphicFrame macro="">
      <xdr:nvGraphicFramePr>
        <xdr:cNvPr id="2" name="MarketValueTrend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161925</xdr:rowOff>
    </xdr:from>
    <xdr:to>
      <xdr:col>5</xdr:col>
      <xdr:colOff>381000</xdr:colOff>
      <xdr:row>60</xdr:row>
      <xdr:rowOff>161925</xdr:rowOff>
    </xdr:to>
    <xdr:graphicFrame macro="">
      <xdr:nvGraphicFramePr>
        <xdr:cNvPr id="2" name="Scenario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45</xdr:row>
      <xdr:rowOff>161925</xdr:rowOff>
    </xdr:from>
    <xdr:to>
      <xdr:col>11</xdr:col>
      <xdr:colOff>476250</xdr:colOff>
      <xdr:row>60</xdr:row>
      <xdr:rowOff>161925</xdr:rowOff>
    </xdr:to>
    <xdr:graphicFrame macro="">
      <xdr:nvGraphicFramePr>
        <xdr:cNvPr id="3" name="Trend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666749</xdr:colOff>
      <xdr:row>45</xdr:row>
      <xdr:rowOff>161925</xdr:rowOff>
    </xdr:from>
    <xdr:to>
      <xdr:col>20</xdr:col>
      <xdr:colOff>576942</xdr:colOff>
      <xdr:row>60</xdr:row>
      <xdr:rowOff>174171</xdr:rowOff>
    </xdr:to>
    <xdr:graphicFrame macro="">
      <xdr:nvGraphicFramePr>
        <xdr:cNvPr id="4" name="Cumulative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304800</xdr:colOff>
      <xdr:row>11</xdr:row>
      <xdr:rowOff>54429</xdr:rowOff>
    </xdr:from>
    <xdr:to>
      <xdr:col>12</xdr:col>
      <xdr:colOff>553811</xdr:colOff>
      <xdr:row>22</xdr:row>
      <xdr:rowOff>194583</xdr:rowOff>
    </xdr:to>
    <xdr:graphicFrame macro="">
      <xdr:nvGraphicFramePr>
        <xdr:cNvPr id="5" name="NBV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28C8-83F8-10B8-B548-80DB4C7FF678}">
  <dimension ref="B2:D30"/>
  <sheetViews>
    <sheetView showGridLines="0" workbookViewId="0">
      <selection activeCell="F11" sqref="F11"/>
    </sheetView>
  </sheetViews>
  <sheetFormatPr defaultColWidth="7.796875" defaultRowHeight="15" customHeight="1"/>
  <cols>
    <col min="2" max="2" width="39.796875" customWidth="1"/>
    <col min="3" max="3" width="15" customWidth="1"/>
    <col min="4" max="4" width="35" customWidth="1"/>
  </cols>
  <sheetData>
    <row r="2" spans="2:4" ht="18.75" customHeight="1">
      <c r="B2" s="1" t="s">
        <v>0</v>
      </c>
    </row>
    <row r="4" spans="2:4" ht="15.75" customHeight="1">
      <c r="B4" s="2" t="s">
        <v>1</v>
      </c>
    </row>
    <row r="5" spans="2:4" ht="14.25" customHeight="1">
      <c r="B5" s="3" t="s">
        <v>2</v>
      </c>
      <c r="C5" s="4">
        <v>0.22</v>
      </c>
      <c r="D5" s="5" t="s">
        <v>3</v>
      </c>
    </row>
    <row r="6" spans="2:4" ht="14.25" customHeight="1">
      <c r="B6" s="3" t="s">
        <v>4</v>
      </c>
      <c r="C6" s="4">
        <v>0.1</v>
      </c>
      <c r="D6" s="5" t="s">
        <v>5</v>
      </c>
    </row>
    <row r="7" spans="2:4" ht="14.25" customHeight="1">
      <c r="B7" s="3" t="s">
        <v>6</v>
      </c>
      <c r="C7" s="4">
        <v>4.0599999999999997E-2</v>
      </c>
      <c r="D7" s="5" t="s">
        <v>7</v>
      </c>
    </row>
    <row r="8" spans="2:4" ht="14.25" customHeight="1">
      <c r="B8" s="3" t="s">
        <v>8</v>
      </c>
      <c r="C8" s="4">
        <v>0.9</v>
      </c>
      <c r="D8" s="5" t="s">
        <v>9</v>
      </c>
    </row>
    <row r="9" spans="2:4" ht="15" customHeight="1">
      <c r="B9" s="3"/>
      <c r="D9" s="5"/>
    </row>
    <row r="10" spans="2:4" ht="14.25" customHeight="1">
      <c r="B10" s="6" t="s">
        <v>10</v>
      </c>
      <c r="D10" s="5"/>
    </row>
    <row r="11" spans="2:4" ht="14.25" customHeight="1">
      <c r="B11" s="3" t="s">
        <v>11</v>
      </c>
      <c r="C11" s="7">
        <v>480</v>
      </c>
      <c r="D11" s="5" t="s">
        <v>12</v>
      </c>
    </row>
    <row r="12" spans="2:4" ht="14.25" customHeight="1">
      <c r="B12" s="3" t="s">
        <v>13</v>
      </c>
      <c r="C12" s="7">
        <v>480</v>
      </c>
      <c r="D12" s="5" t="s">
        <v>14</v>
      </c>
    </row>
    <row r="13" spans="2:4" ht="14.25" customHeight="1">
      <c r="B13" s="3" t="s">
        <v>15</v>
      </c>
      <c r="C13" s="7">
        <v>600</v>
      </c>
      <c r="D13" s="5" t="s">
        <v>16</v>
      </c>
    </row>
    <row r="14" spans="2:4" ht="14.25" customHeight="1">
      <c r="B14" s="3" t="s">
        <v>17</v>
      </c>
      <c r="C14" s="7">
        <v>900</v>
      </c>
      <c r="D14" s="5" t="s">
        <v>18</v>
      </c>
    </row>
    <row r="15" spans="2:4" ht="15" customHeight="1">
      <c r="B15" s="3"/>
      <c r="D15" s="5"/>
    </row>
    <row r="16" spans="2:4" ht="14.25" customHeight="1">
      <c r="B16" s="6" t="s">
        <v>19</v>
      </c>
      <c r="D16" s="5"/>
    </row>
    <row r="17" spans="2:4" ht="14.25" customHeight="1">
      <c r="B17" s="3" t="s">
        <v>20</v>
      </c>
      <c r="C17" s="4">
        <v>0.08</v>
      </c>
      <c r="D17" s="5" t="s">
        <v>21</v>
      </c>
    </row>
    <row r="18" spans="2:4" ht="14.25" customHeight="1">
      <c r="B18" s="3" t="s">
        <v>22</v>
      </c>
      <c r="C18" s="4">
        <v>0.12</v>
      </c>
      <c r="D18" s="5" t="s">
        <v>23</v>
      </c>
    </row>
    <row r="19" spans="2:4" ht="14.25" customHeight="1">
      <c r="B19" s="3" t="s">
        <v>24</v>
      </c>
      <c r="C19" s="4">
        <v>0.2</v>
      </c>
      <c r="D19" s="5" t="s">
        <v>25</v>
      </c>
    </row>
    <row r="20" spans="2:4" ht="14.25" customHeight="1">
      <c r="B20" s="3" t="s">
        <v>26</v>
      </c>
      <c r="C20" s="4">
        <v>0.25</v>
      </c>
      <c r="D20" s="5" t="s">
        <v>27</v>
      </c>
    </row>
    <row r="21" spans="2:4" ht="15" customHeight="1">
      <c r="B21" s="3"/>
      <c r="D21" s="5"/>
    </row>
    <row r="22" spans="2:4" ht="14.25" customHeight="1">
      <c r="B22" s="6" t="s">
        <v>28</v>
      </c>
      <c r="D22" s="5"/>
    </row>
    <row r="23" spans="2:4" ht="14.25" customHeight="1">
      <c r="B23" s="3" t="s">
        <v>29</v>
      </c>
      <c r="C23" s="7">
        <v>1000000000</v>
      </c>
      <c r="D23" s="5" t="s">
        <v>30</v>
      </c>
    </row>
    <row r="24" spans="2:4" ht="14.25" customHeight="1">
      <c r="B24" s="3" t="s">
        <v>31</v>
      </c>
      <c r="C24" s="7">
        <v>12</v>
      </c>
      <c r="D24" s="5" t="s">
        <v>32</v>
      </c>
    </row>
    <row r="26" spans="2:4" ht="14.25" customHeight="1">
      <c r="B26" s="6" t="s">
        <v>33</v>
      </c>
    </row>
    <row r="27" spans="2:4" ht="16.5" customHeight="1">
      <c r="B27" s="3" t="s">
        <v>34</v>
      </c>
      <c r="C27" s="298">
        <f>AVERAGE('Maintenance History'!D4:D37)</f>
        <v>43288823.970588237</v>
      </c>
      <c r="D27" s="5" t="s">
        <v>35</v>
      </c>
    </row>
    <row r="28" spans="2:4" ht="14.25" customHeight="1">
      <c r="B28" s="3" t="s">
        <v>36</v>
      </c>
      <c r="C28" s="4">
        <v>0.04</v>
      </c>
      <c r="D28" s="5" t="s">
        <v>37</v>
      </c>
    </row>
    <row r="29" spans="2:4" ht="14.25" customHeight="1">
      <c r="B29" s="3" t="s">
        <v>38</v>
      </c>
      <c r="C29" s="4">
        <v>0.08</v>
      </c>
      <c r="D29" s="5" t="s">
        <v>39</v>
      </c>
    </row>
    <row r="30" spans="2:4" ht="14.25" customHeight="1">
      <c r="B30" s="3" t="s">
        <v>40</v>
      </c>
      <c r="C30" s="4">
        <v>0.12</v>
      </c>
      <c r="D30" s="5" t="s">
        <v>41</v>
      </c>
    </row>
  </sheetData>
  <sheetProtection algorithmName="SHA-512" hashValue="5xEFckPE1zZtH0OENK8at2Dd1dVq7CUHh8xwtthDUsFX3tBBKOylcwtDGrAOKXfF3nmuW/UT3p6za4FfBoJoQg==" saltValue="SPRc8IIgmQeuHsdrAZIgCQ==" spinCount="100000" sheet="1" objects="1" scenarios="1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CF9C-BDE8-47C5-A14E-E1381BD484A3}">
  <dimension ref="B2:M59"/>
  <sheetViews>
    <sheetView showGridLines="0" zoomScale="85" zoomScaleNormal="85" workbookViewId="0">
      <selection activeCell="C26" sqref="C26"/>
    </sheetView>
  </sheetViews>
  <sheetFormatPr defaultColWidth="7.796875" defaultRowHeight="15" customHeight="1"/>
  <cols>
    <col min="2" max="2" width="31.09765625" customWidth="1"/>
    <col min="3" max="3" width="41.5" customWidth="1"/>
    <col min="4" max="4" width="19.19921875" bestFit="1" customWidth="1"/>
    <col min="5" max="5" width="34.5" customWidth="1"/>
    <col min="6" max="6" width="19.19921875" bestFit="1" customWidth="1"/>
    <col min="7" max="7" width="22.796875" customWidth="1"/>
    <col min="8" max="8" width="20.19921875" bestFit="1" customWidth="1"/>
    <col min="9" max="9" width="19.8984375" customWidth="1"/>
    <col min="10" max="10" width="22.796875" customWidth="1"/>
    <col min="11" max="12" width="17.59765625" customWidth="1"/>
    <col min="13" max="13" width="18.59765625" customWidth="1"/>
  </cols>
  <sheetData>
    <row r="2" spans="2:6" ht="18.75" customHeight="1">
      <c r="B2" s="31" t="s">
        <v>108</v>
      </c>
    </row>
    <row r="3" spans="2:6" ht="15.75" customHeight="1">
      <c r="B3" s="32" t="s">
        <v>109</v>
      </c>
    </row>
    <row r="5" spans="2:6" ht="15.75" customHeight="1">
      <c r="B5" s="33" t="s">
        <v>110</v>
      </c>
    </row>
    <row r="6" spans="2:6" ht="14.25" customHeight="1">
      <c r="B6" s="34" t="s">
        <v>111</v>
      </c>
      <c r="C6" s="3" t="s">
        <v>112</v>
      </c>
    </row>
    <row r="7" spans="2:6" ht="14.25" customHeight="1">
      <c r="B7" s="34" t="s">
        <v>113</v>
      </c>
      <c r="C7" s="3" t="s">
        <v>114</v>
      </c>
    </row>
    <row r="8" spans="2:6" ht="14.25" customHeight="1">
      <c r="B8" s="34" t="s">
        <v>115</v>
      </c>
      <c r="C8" s="3" t="s">
        <v>116</v>
      </c>
    </row>
    <row r="9" spans="2:6" ht="14.25" customHeight="1">
      <c r="B9" s="34" t="s">
        <v>117</v>
      </c>
      <c r="C9" s="35" cm="1">
        <f t="array" ref="C9">Inputs!C5</f>
        <v>0.22</v>
      </c>
    </row>
    <row r="11" spans="2:6" ht="15.75" customHeight="1">
      <c r="B11" s="33" t="s">
        <v>118</v>
      </c>
    </row>
    <row r="12" spans="2:6" ht="15.75" customHeight="1">
      <c r="B12" s="36" t="s">
        <v>61</v>
      </c>
      <c r="C12" s="36" t="s">
        <v>119</v>
      </c>
      <c r="D12" s="36" t="s">
        <v>120</v>
      </c>
      <c r="E12" s="36" t="s">
        <v>121</v>
      </c>
      <c r="F12" s="36" t="s">
        <v>122</v>
      </c>
    </row>
    <row r="13" spans="2:6" ht="16.5" customHeight="1">
      <c r="B13" s="37" t="s">
        <v>123</v>
      </c>
      <c r="C13" s="38" cm="1">
        <f t="array" ref="C13">Inputs!C11</f>
        <v>480</v>
      </c>
      <c r="D13" s="39">
        <f>C13/Inputs!$C$24</f>
        <v>40</v>
      </c>
      <c r="E13" s="37" t="s">
        <v>124</v>
      </c>
      <c r="F13" s="37" t="s">
        <v>125</v>
      </c>
    </row>
    <row r="14" spans="2:6" ht="16.5" customHeight="1">
      <c r="B14" s="37" t="s">
        <v>126</v>
      </c>
      <c r="C14" s="38" cm="1">
        <f t="array" ref="C14">Inputs!C12</f>
        <v>480</v>
      </c>
      <c r="D14" s="39">
        <f>C14/Inputs!$C$24</f>
        <v>40</v>
      </c>
      <c r="E14" s="37" t="s">
        <v>127</v>
      </c>
      <c r="F14" s="37" t="s">
        <v>128</v>
      </c>
    </row>
    <row r="15" spans="2:6" ht="16.5" customHeight="1">
      <c r="B15" s="37" t="s">
        <v>129</v>
      </c>
      <c r="C15" s="38" cm="1">
        <f t="array" ref="C15">Inputs!C13</f>
        <v>600</v>
      </c>
      <c r="D15" s="39">
        <f>C15/Inputs!$C$24</f>
        <v>50</v>
      </c>
      <c r="E15" s="37" t="s">
        <v>130</v>
      </c>
      <c r="F15" s="37" t="s">
        <v>131</v>
      </c>
    </row>
    <row r="16" spans="2:6" ht="16.5" customHeight="1">
      <c r="B16" s="37" t="s">
        <v>66</v>
      </c>
      <c r="C16" s="38" cm="1">
        <f t="array" ref="C16">Inputs!C14</f>
        <v>900</v>
      </c>
      <c r="D16" s="39">
        <f>C16/Inputs!$C$24</f>
        <v>75</v>
      </c>
      <c r="E16" s="37" t="s">
        <v>132</v>
      </c>
      <c r="F16" s="37" t="s">
        <v>133</v>
      </c>
    </row>
    <row r="18" spans="2:10" ht="15.75" customHeight="1">
      <c r="B18" s="33" t="s">
        <v>134</v>
      </c>
    </row>
    <row r="19" spans="2:10" ht="15.75" customHeight="1">
      <c r="B19" s="36" t="s">
        <v>135</v>
      </c>
      <c r="C19" s="36" t="s">
        <v>136</v>
      </c>
      <c r="D19" s="36" t="s">
        <v>137</v>
      </c>
      <c r="E19" s="36" t="s">
        <v>138</v>
      </c>
      <c r="F19" s="36" t="s">
        <v>139</v>
      </c>
      <c r="G19" s="36" t="s">
        <v>140</v>
      </c>
      <c r="H19" s="36" t="s">
        <v>141</v>
      </c>
      <c r="I19" s="36" t="s">
        <v>142</v>
      </c>
      <c r="J19" s="36" t="s">
        <v>143</v>
      </c>
    </row>
    <row r="20" spans="2:10" ht="16.5" customHeight="1">
      <c r="B20" s="37">
        <v>1</v>
      </c>
      <c r="C20" s="37" t="str" cm="1">
        <f t="array" ref="C20">'Asset Data Pullman'!D221</f>
        <v>Pembangunan Hotel Pullman Mandalika</v>
      </c>
      <c r="D20" s="40" cm="1">
        <f t="array" ref="D20">'Asset Data Pullman'!F221</f>
        <v>44569</v>
      </c>
      <c r="E20" s="41" cm="1">
        <f t="array" ref="E20">'Asset Data Pullman'!G221</f>
        <v>533254574462</v>
      </c>
      <c r="F20" s="42" cm="1">
        <f t="array" ref="F20">'Asset Data Pullman'!H221</f>
        <v>480</v>
      </c>
      <c r="G20" s="41" cm="1">
        <f t="array" ref="G20">'Asset Data Pullman'!P221</f>
        <v>-32217463874</v>
      </c>
      <c r="H20" s="41">
        <f t="shared" ref="H20:H29" si="0">IFERROR(E20+G20,0)</f>
        <v>501037110588</v>
      </c>
      <c r="I20" s="41" cm="1">
        <f t="array" ref="I20">'Asset Data Pullman'!I221</f>
        <v>1110947030</v>
      </c>
      <c r="J20" s="39">
        <f t="shared" ref="J20:J29" si="1">IFERROR(IF(I20=0,0,ABS(G20/I20)),0)</f>
        <v>29.000000003600533</v>
      </c>
    </row>
    <row r="21" spans="2:10" ht="16.5" customHeight="1">
      <c r="B21" s="37">
        <v>2</v>
      </c>
      <c r="C21" s="37" t="str" cm="1">
        <f t="array" ref="C21">'Asset Data Pullman'!D222</f>
        <v>Pembebanan Pekerjaan Noise Treatment Cooling Tower, PO-2023000193, 293/KONTRAK/ITDC.05-PROC/X/2023, Hotel Pullman; PT.Indocell Prima, Tahap 1 (50%), Tahap 2 (45%), Tahap 3 (5%), Progress 100% (18-10-2023) [PULLMAN]</v>
      </c>
      <c r="D21" s="40" t="str" cm="1">
        <f t="array" ref="D21">'Asset Data Pullman'!F222</f>
        <v>13/11/2023</v>
      </c>
      <c r="E21" s="41" cm="1">
        <f t="array" ref="E21">'Asset Data Pullman'!G222</f>
        <v>2032700816</v>
      </c>
      <c r="F21" s="42" cm="1">
        <f t="array" ref="F21">'Asset Data Pullman'!H222</f>
        <v>240</v>
      </c>
      <c r="G21" s="41" cm="1">
        <f t="array" ref="G21">'Asset Data Pullman'!P222</f>
        <v>-118574214</v>
      </c>
      <c r="H21" s="41">
        <f t="shared" si="0"/>
        <v>1914126602</v>
      </c>
      <c r="I21" s="41" cm="1">
        <f t="array" ref="I21">'Asset Data Pullman'!I222</f>
        <v>8469587</v>
      </c>
      <c r="J21" s="39">
        <f t="shared" si="1"/>
        <v>13.999999527721954</v>
      </c>
    </row>
    <row r="22" spans="2:10" ht="16.5" customHeight="1">
      <c r="B22" s="37">
        <v>3</v>
      </c>
      <c r="C22" s="37" t="str" cm="1">
        <f t="array" ref="C22">'Asset Data Pullman'!D223</f>
        <v>Pembebanan Pembangunan Pagar Pembatas Garden Villa Pullman Lombok Merunjani Mandalika Beach Resort; 281/kontrak/itdc.05-proc/VIII/2024; PO-2024000192; Mandalika</v>
      </c>
      <c r="D22" s="40" cm="1">
        <f t="array" ref="D22">'Asset Data Pullman'!F223</f>
        <v>45638</v>
      </c>
      <c r="E22" s="41" cm="1">
        <f t="array" ref="E22">'Asset Data Pullman'!G223</f>
        <v>152295416</v>
      </c>
      <c r="F22" s="42" cm="1">
        <f t="array" ref="F22">'Asset Data Pullman'!H223</f>
        <v>360</v>
      </c>
      <c r="G22" s="41" cm="1">
        <f t="array" ref="G22">'Asset Data Pullman'!P223</f>
        <v>-423043</v>
      </c>
      <c r="H22" s="41">
        <f t="shared" si="0"/>
        <v>151872373</v>
      </c>
      <c r="I22" s="41" cm="1">
        <f t="array" ref="I22">'Asset Data Pullman'!I223</f>
        <v>423043</v>
      </c>
      <c r="J22" s="39">
        <f t="shared" si="1"/>
        <v>1</v>
      </c>
    </row>
    <row r="23" spans="2:10" ht="16.5" customHeight="1">
      <c r="B23" s="37">
        <v>4</v>
      </c>
      <c r="C23" s="37" t="str" cm="1">
        <f t="array" ref="C23">'Asset Data Pullman'!D224</f>
        <v>Aktivir ke aset tetap bangunan, Hotel Pullman Tranche A</v>
      </c>
      <c r="D23" s="40" t="str" cm="1">
        <f t="array" ref="D23">'Asset Data Pullman'!F224</f>
        <v>31/12/2024</v>
      </c>
      <c r="E23" s="41" t="str" cm="1">
        <f t="array" ref="E23">'Asset Data Pullman'!G224</f>
        <v xml:space="preserve">                             - </v>
      </c>
      <c r="F23" s="42" cm="1">
        <f t="array" ref="F23">'Asset Data Pullman'!H224</f>
        <v>360</v>
      </c>
      <c r="G23" s="41" t="str" cm="1">
        <f t="array" ref="G23">'Asset Data Pullman'!P224</f>
        <v xml:space="preserve">                                        - </v>
      </c>
      <c r="H23" s="41">
        <f t="shared" si="0"/>
        <v>0</v>
      </c>
      <c r="I23" s="41" t="str" cm="1">
        <f t="array" ref="I23">'Asset Data Pullman'!I224</f>
        <v xml:space="preserve">                             - </v>
      </c>
      <c r="J23" s="39">
        <f t="shared" si="1"/>
        <v>0</v>
      </c>
    </row>
    <row r="24" spans="2:10" ht="16.5" customHeight="1">
      <c r="B24" s="37">
        <v>5</v>
      </c>
      <c r="C24" s="37" t="str" cm="1">
        <f t="array" ref="C24">'Asset Data Pullman'!D225</f>
        <v>Adjustment Reklasifikasi, Pekerjaan Noise Treatment Cooling Tower, PO-2023000193, 293/KONTRAK/ITDC.05-PROC/X/2023, Hotel Pullman; PT.Indocell Prima ex. 00204/MEM-HO/11/23, 00264/MEM-HO/11/23, UM, 20%</v>
      </c>
      <c r="D24" s="40" t="str" cm="1">
        <f t="array" ref="D24">'Asset Data Pullman'!F225</f>
        <v>13/11/2023</v>
      </c>
      <c r="E24" s="41" cm="1">
        <f t="array" ref="E24">'Asset Data Pullman'!G225</f>
        <v>1397481811</v>
      </c>
      <c r="F24" s="42" cm="1">
        <f t="array" ref="F24">'Asset Data Pullman'!H225</f>
        <v>240</v>
      </c>
      <c r="G24" s="41" cm="1">
        <f t="array" ref="G24">'Asset Data Pullman'!P225</f>
        <v>-81519772</v>
      </c>
      <c r="H24" s="41">
        <f t="shared" si="0"/>
        <v>1315962039</v>
      </c>
      <c r="I24" s="41" cm="1">
        <f t="array" ref="I24">'Asset Data Pullman'!I225</f>
        <v>5822841</v>
      </c>
      <c r="J24" s="39">
        <f t="shared" si="1"/>
        <v>13.999999656525054</v>
      </c>
    </row>
    <row r="25" spans="2:10" ht="16.5" customHeight="1">
      <c r="B25" s="37">
        <v>6</v>
      </c>
      <c r="C25" s="37" t="str" cm="1">
        <f t="array" ref="C25">'Asset Data Pullman'!D226</f>
        <v>Koreksi Audit 2024 - Aktivir Pekerjaan Hotel Pullman</v>
      </c>
      <c r="D25" s="40" t="str" cm="1">
        <f t="array" ref="D25">'Asset Data Pullman'!F226</f>
        <v>24/12/2022</v>
      </c>
      <c r="E25" s="41" cm="1">
        <f t="array" ref="E25">'Asset Data Pullman'!G226</f>
        <v>10895403600</v>
      </c>
      <c r="F25" s="42" cm="1">
        <f t="array" ref="F25">'Asset Data Pullman'!H226</f>
        <v>360</v>
      </c>
      <c r="G25" s="41" cm="1">
        <f t="array" ref="G25">'Asset Data Pullman'!P226</f>
        <v>-363180120</v>
      </c>
      <c r="H25" s="41">
        <f t="shared" si="0"/>
        <v>10532223480</v>
      </c>
      <c r="I25" s="41" cm="1">
        <f t="array" ref="I25">'Asset Data Pullman'!I226</f>
        <v>30265010</v>
      </c>
      <c r="J25" s="39">
        <f t="shared" si="1"/>
        <v>12</v>
      </c>
    </row>
    <row r="26" spans="2:10" ht="16.5" customHeight="1">
      <c r="B26" s="37">
        <v>7</v>
      </c>
      <c r="C26" s="37" t="str" cm="1">
        <f t="array" ref="C26">'Asset Data Pullman'!D227</f>
        <v>Koreksi Audit 2024 - MMN - Pembangunan Directory Road Signage Hotel Pullman di 3 Titik</v>
      </c>
      <c r="D26" s="40" t="str" cm="1">
        <f t="array" ref="D26">'Asset Data Pullman'!F227</f>
        <v>30/11/2022</v>
      </c>
      <c r="E26" s="41" cm="1">
        <f t="array" ref="E26">'Asset Data Pullman'!G227</f>
        <v>224875357</v>
      </c>
      <c r="F26" s="42" cm="1">
        <f t="array" ref="F26">'Asset Data Pullman'!H227</f>
        <v>240</v>
      </c>
      <c r="G26" s="41" cm="1">
        <f t="array" ref="G26">'Asset Data Pullman'!P227</f>
        <v>-24361497</v>
      </c>
      <c r="H26" s="41">
        <f t="shared" si="0"/>
        <v>200513860</v>
      </c>
      <c r="I26" s="41" cm="1">
        <f t="array" ref="I26">'Asset Data Pullman'!I227</f>
        <v>936981</v>
      </c>
      <c r="J26" s="39">
        <f t="shared" si="1"/>
        <v>25.999990394682495</v>
      </c>
    </row>
    <row r="27" spans="2:10" ht="16.5" customHeight="1">
      <c r="B27" s="37">
        <v>8</v>
      </c>
      <c r="C27" s="37" t="str" cm="1">
        <f t="array" ref="C27">'Asset Data Pullman'!D228</f>
        <v>Koreksi Audit 2024 - MMN - Aktivir Pengecoran Post Satpam Pullman</v>
      </c>
      <c r="D27" s="40" t="str" cm="1">
        <f t="array" ref="D27">'Asset Data Pullman'!F228</f>
        <v>30/11/2023</v>
      </c>
      <c r="E27" s="41" cm="1">
        <f t="array" ref="E27">'Asset Data Pullman'!G228</f>
        <v>34000000</v>
      </c>
      <c r="F27" s="42" cm="1">
        <f t="array" ref="F27">'Asset Data Pullman'!H228</f>
        <v>240</v>
      </c>
      <c r="G27" s="41" cm="1">
        <f t="array" ref="G27">'Asset Data Pullman'!P228</f>
        <v>-1841667</v>
      </c>
      <c r="H27" s="41">
        <f t="shared" si="0"/>
        <v>32158333</v>
      </c>
      <c r="I27" s="41" cm="1">
        <f t="array" ref="I27">'Asset Data Pullman'!I228</f>
        <v>141667</v>
      </c>
      <c r="J27" s="39">
        <f t="shared" si="1"/>
        <v>12.999971764772319</v>
      </c>
    </row>
    <row r="28" spans="2:10" ht="16.5" customHeight="1">
      <c r="B28" s="37">
        <v>9</v>
      </c>
      <c r="C28" s="37" t="str" cm="1">
        <f t="array" ref="C28">'Asset Data Pullman'!D229</f>
        <v>Koreksi Audit 2024 - MMN - Aktivir Pemasangan Ceilling Aluminium</v>
      </c>
      <c r="D28" s="40" t="str" cm="1">
        <f t="array" ref="D28">'Asset Data Pullman'!F229</f>
        <v>30/07/2024</v>
      </c>
      <c r="E28" s="41" cm="1">
        <f t="array" ref="E28">'Asset Data Pullman'!G229</f>
        <v>184940000</v>
      </c>
      <c r="F28" s="42" cm="1">
        <f t="array" ref="F28">'Asset Data Pullman'!H229</f>
        <v>240</v>
      </c>
      <c r="G28" s="41" cm="1">
        <f t="array" ref="G28">'Asset Data Pullman'!P229</f>
        <v>-4623500</v>
      </c>
      <c r="H28" s="41">
        <f t="shared" si="0"/>
        <v>180316500</v>
      </c>
      <c r="I28" s="41" cm="1">
        <f t="array" ref="I28">'Asset Data Pullman'!I229</f>
        <v>770583</v>
      </c>
      <c r="J28" s="39">
        <f t="shared" si="1"/>
        <v>6.00000259543748</v>
      </c>
    </row>
    <row r="29" spans="2:10" ht="16.5" customHeight="1">
      <c r="B29" s="37">
        <v>10</v>
      </c>
      <c r="C29" s="37" t="str" cm="1">
        <f t="array" ref="C29">'Asset Data Pullman'!D230</f>
        <v>Noise Treatment Cooling Tower, PO-2023000193, 070125001664524771, Pekerjaan Noise Treatment Cooling Tower Pullman Lombok Merujani Mandalika Beach Resort No.293/KONTRAK/ITDC.05-PROC/X/2023, Tahap Retensi 5%, PT INDOCELL PRIMA, PO-2023000193, PULLMAN [A], 12-Jun-2025</v>
      </c>
      <c r="D29" s="40" cm="1">
        <f t="array" ref="D29">'Asset Data Pullman'!F230</f>
        <v>45997</v>
      </c>
      <c r="E29" s="41" cm="1">
        <f t="array" ref="E29">'Asset Data Pullman'!G230</f>
        <v>127043801</v>
      </c>
      <c r="F29" s="42" cm="1">
        <f t="array" ref="F29">'Asset Data Pullman'!H230</f>
        <v>240</v>
      </c>
      <c r="G29" s="41" t="str" cm="1">
        <f t="array" ref="G29">'Asset Data Pullman'!P230</f>
        <v xml:space="preserve">                                        - </v>
      </c>
      <c r="H29" s="41">
        <f t="shared" si="0"/>
        <v>0</v>
      </c>
      <c r="I29" s="41" cm="1">
        <f t="array" ref="I29">'Asset Data Pullman'!I230</f>
        <v>529349</v>
      </c>
      <c r="J29" s="39">
        <f t="shared" si="1"/>
        <v>0</v>
      </c>
    </row>
    <row r="30" spans="2:10" ht="14.25" customHeight="1">
      <c r="B30" s="43" t="s">
        <v>162</v>
      </c>
      <c r="C30" s="43"/>
      <c r="D30" s="43"/>
      <c r="E30" s="44">
        <f t="shared" ref="E30:K45" si="2">SUM(E20:E29)</f>
        <v>548303315263</v>
      </c>
      <c r="F30" s="43"/>
      <c r="G30" s="44">
        <f t="shared" si="2"/>
        <v>-32811987687</v>
      </c>
      <c r="H30" s="44">
        <f t="shared" si="2"/>
        <v>515364283775</v>
      </c>
      <c r="I30" s="44">
        <f t="shared" si="2"/>
        <v>1158306091</v>
      </c>
      <c r="J30" s="43"/>
    </row>
    <row r="32" spans="2:10" ht="15.75" customHeight="1">
      <c r="B32" s="33" t="s">
        <v>163</v>
      </c>
    </row>
    <row r="33" spans="2:13" ht="15.75" customHeight="1">
      <c r="B33" s="36" t="s">
        <v>164</v>
      </c>
      <c r="C33" s="36" t="s">
        <v>165</v>
      </c>
      <c r="D33" s="36">
        <v>0</v>
      </c>
      <c r="E33" s="36">
        <v>0</v>
      </c>
      <c r="F33" s="36" t="s">
        <v>166</v>
      </c>
      <c r="G33" s="36">
        <v>0</v>
      </c>
      <c r="H33" s="36">
        <v>0</v>
      </c>
      <c r="I33" s="36" t="s">
        <v>167</v>
      </c>
      <c r="J33" s="36">
        <v>0</v>
      </c>
      <c r="K33" s="36">
        <v>0</v>
      </c>
    </row>
    <row r="34" spans="2:13" ht="15.75" customHeight="1">
      <c r="B34" s="36">
        <v>0</v>
      </c>
      <c r="C34" s="36" t="s">
        <v>168</v>
      </c>
      <c r="D34" s="36" t="s">
        <v>169</v>
      </c>
      <c r="E34" s="36" t="s">
        <v>170</v>
      </c>
      <c r="F34" s="36" t="s">
        <v>168</v>
      </c>
      <c r="G34" s="36" t="s">
        <v>169</v>
      </c>
      <c r="H34" s="36" t="s">
        <v>170</v>
      </c>
      <c r="I34" s="36" t="s">
        <v>168</v>
      </c>
      <c r="J34" s="36" t="s">
        <v>169</v>
      </c>
      <c r="K34" s="36" t="s">
        <v>170</v>
      </c>
    </row>
    <row r="35" spans="2:13" ht="16.5" customHeight="1">
      <c r="B35" s="37" cm="1">
        <f t="array" ref="B35">B20</f>
        <v>1</v>
      </c>
      <c r="C35" s="45">
        <f t="shared" ref="C35:C44" si="3">F20-J20</f>
        <v>450.99999999639948</v>
      </c>
      <c r="D35" s="46" cm="1">
        <f t="array" ref="D35">I20</f>
        <v>1110947030</v>
      </c>
      <c r="E35" s="46">
        <f t="shared" ref="E35:K44" si="4">D35*12</f>
        <v>13331364360</v>
      </c>
      <c r="F35" s="45">
        <f t="shared" ref="F35:F44" si="5">$C$15-J20</f>
        <v>570.99999999639942</v>
      </c>
      <c r="G35" s="46">
        <f t="shared" ref="G35:G44" si="6">IF(F35&lt;=0,0,H20/F35)</f>
        <v>877473048.32076955</v>
      </c>
      <c r="H35" s="46">
        <f t="shared" si="4"/>
        <v>10529676579.849236</v>
      </c>
      <c r="I35" s="45">
        <f t="shared" ref="I35:I44" si="7">$C$16-J20</f>
        <v>870.99999999639942</v>
      </c>
      <c r="J35" s="46">
        <f t="shared" ref="J35:J44" si="8">IF(I35&lt;=0,0,H20/I35)</f>
        <v>575243525.36173499</v>
      </c>
      <c r="K35" s="46">
        <f t="shared" si="4"/>
        <v>6902922304.3408203</v>
      </c>
    </row>
    <row r="36" spans="2:13" ht="16.5" customHeight="1">
      <c r="B36" s="37" cm="1">
        <f t="array" ref="B36">B21</f>
        <v>2</v>
      </c>
      <c r="C36" s="45">
        <f t="shared" si="3"/>
        <v>226.00000047227803</v>
      </c>
      <c r="D36" s="46" cm="1">
        <f t="array" ref="D36">I21</f>
        <v>8469587</v>
      </c>
      <c r="E36" s="46">
        <f t="shared" si="4"/>
        <v>101635044</v>
      </c>
      <c r="F36" s="45">
        <f t="shared" si="5"/>
        <v>586.00000047227809</v>
      </c>
      <c r="G36" s="46">
        <f t="shared" si="6"/>
        <v>3266427.6458316343</v>
      </c>
      <c r="H36" s="46">
        <f t="shared" si="4"/>
        <v>39197131.749979615</v>
      </c>
      <c r="I36" s="45">
        <f t="shared" si="7"/>
        <v>886.00000047227809</v>
      </c>
      <c r="J36" s="46">
        <f t="shared" si="8"/>
        <v>2160413.770857431</v>
      </c>
      <c r="K36" s="46">
        <f t="shared" si="4"/>
        <v>25924965.250289172</v>
      </c>
    </row>
    <row r="37" spans="2:13" ht="16.5" customHeight="1">
      <c r="B37" s="37" cm="1">
        <f t="array" ref="B37">B22</f>
        <v>3</v>
      </c>
      <c r="C37" s="45">
        <f t="shared" si="3"/>
        <v>359</v>
      </c>
      <c r="D37" s="46" cm="1">
        <f t="array" ref="D37">I22</f>
        <v>423043</v>
      </c>
      <c r="E37" s="46">
        <f t="shared" si="4"/>
        <v>5076516</v>
      </c>
      <c r="F37" s="45">
        <f t="shared" si="5"/>
        <v>599</v>
      </c>
      <c r="G37" s="46">
        <f t="shared" si="6"/>
        <v>253543.1936560935</v>
      </c>
      <c r="H37" s="46">
        <f t="shared" si="4"/>
        <v>3042518.3238731222</v>
      </c>
      <c r="I37" s="45">
        <f t="shared" si="7"/>
        <v>899</v>
      </c>
      <c r="J37" s="46">
        <f t="shared" si="8"/>
        <v>168934.78642936595</v>
      </c>
      <c r="K37" s="46">
        <f t="shared" si="4"/>
        <v>2027217.4371523913</v>
      </c>
    </row>
    <row r="38" spans="2:13" ht="16.5" customHeight="1">
      <c r="B38" s="37" cm="1">
        <f t="array" ref="B38">B23</f>
        <v>4</v>
      </c>
      <c r="C38" s="45">
        <f t="shared" si="3"/>
        <v>360</v>
      </c>
      <c r="D38" s="46" t="str" cm="1">
        <f t="array" ref="D38">I23</f>
        <v xml:space="preserve">                             - </v>
      </c>
      <c r="E38" s="46">
        <f>IFERROR(D38*12,0)</f>
        <v>0</v>
      </c>
      <c r="F38" s="45">
        <f t="shared" si="5"/>
        <v>600</v>
      </c>
      <c r="G38" s="46">
        <f t="shared" si="6"/>
        <v>0</v>
      </c>
      <c r="H38" s="46">
        <f t="shared" si="4"/>
        <v>0</v>
      </c>
      <c r="I38" s="45">
        <f t="shared" si="7"/>
        <v>900</v>
      </c>
      <c r="J38" s="46">
        <f t="shared" si="8"/>
        <v>0</v>
      </c>
      <c r="K38" s="46">
        <f t="shared" si="4"/>
        <v>0</v>
      </c>
    </row>
    <row r="39" spans="2:13" ht="16.5" customHeight="1">
      <c r="B39" s="37" cm="1">
        <f t="array" ref="B39">B24</f>
        <v>5</v>
      </c>
      <c r="C39" s="45">
        <f t="shared" si="3"/>
        <v>226.00000034347494</v>
      </c>
      <c r="D39" s="46" cm="1">
        <f t="array" ref="D39">I24</f>
        <v>5822841</v>
      </c>
      <c r="E39" s="46">
        <f t="shared" si="4"/>
        <v>69874092</v>
      </c>
      <c r="F39" s="45">
        <f t="shared" si="5"/>
        <v>586.00000034347499</v>
      </c>
      <c r="G39" s="46">
        <f t="shared" si="6"/>
        <v>2245669.0072161583</v>
      </c>
      <c r="H39" s="46">
        <f t="shared" si="4"/>
        <v>26948028.0865939</v>
      </c>
      <c r="I39" s="45">
        <f t="shared" si="7"/>
        <v>886.00000034347499</v>
      </c>
      <c r="J39" s="46">
        <f t="shared" si="8"/>
        <v>1485284.4678214921</v>
      </c>
      <c r="K39" s="46">
        <f t="shared" si="4"/>
        <v>17823413.613857906</v>
      </c>
    </row>
    <row r="40" spans="2:13" ht="16.5" customHeight="1">
      <c r="B40" s="37" cm="1">
        <f t="array" ref="B40">B25</f>
        <v>6</v>
      </c>
      <c r="C40" s="45">
        <f t="shared" si="3"/>
        <v>348</v>
      </c>
      <c r="D40" s="46" cm="1">
        <f t="array" ref="D40">I25</f>
        <v>30265010</v>
      </c>
      <c r="E40" s="46">
        <f t="shared" si="4"/>
        <v>363180120</v>
      </c>
      <c r="F40" s="45">
        <f t="shared" si="5"/>
        <v>588</v>
      </c>
      <c r="G40" s="46">
        <f t="shared" si="6"/>
        <v>17911944.693877552</v>
      </c>
      <c r="H40" s="46">
        <f t="shared" si="4"/>
        <v>214943336.32653064</v>
      </c>
      <c r="I40" s="45">
        <f t="shared" si="7"/>
        <v>888</v>
      </c>
      <c r="J40" s="46">
        <f t="shared" si="8"/>
        <v>11860612.027027028</v>
      </c>
      <c r="K40" s="46">
        <f t="shared" si="4"/>
        <v>142327344.32432434</v>
      </c>
    </row>
    <row r="41" spans="2:13" ht="16.5" customHeight="1">
      <c r="B41" s="37" cm="1">
        <f t="array" ref="B41">B26</f>
        <v>7</v>
      </c>
      <c r="C41" s="45">
        <f t="shared" si="3"/>
        <v>214.0000096053175</v>
      </c>
      <c r="D41" s="46" cm="1">
        <f t="array" ref="D41">I26</f>
        <v>936981</v>
      </c>
      <c r="E41" s="46">
        <f t="shared" si="4"/>
        <v>11243772</v>
      </c>
      <c r="F41" s="45">
        <f t="shared" si="5"/>
        <v>574.00000960531747</v>
      </c>
      <c r="G41" s="46">
        <f t="shared" si="6"/>
        <v>349327.27638432162</v>
      </c>
      <c r="H41" s="46">
        <f t="shared" si="4"/>
        <v>4191927.3166118595</v>
      </c>
      <c r="I41" s="45">
        <f t="shared" si="7"/>
        <v>874.00000960531747</v>
      </c>
      <c r="J41" s="46">
        <f t="shared" si="8"/>
        <v>229420.88992716192</v>
      </c>
      <c r="K41" s="46">
        <f t="shared" si="4"/>
        <v>2753050.6791259432</v>
      </c>
    </row>
    <row r="42" spans="2:13" ht="16.5" customHeight="1">
      <c r="B42" s="37" cm="1">
        <f t="array" ref="B42">B27</f>
        <v>8</v>
      </c>
      <c r="C42" s="45">
        <f t="shared" si="3"/>
        <v>227.00002823522769</v>
      </c>
      <c r="D42" s="46" cm="1">
        <f t="array" ref="D42">I27</f>
        <v>141667</v>
      </c>
      <c r="E42" s="46">
        <f t="shared" si="4"/>
        <v>1700004</v>
      </c>
      <c r="F42" s="45">
        <f t="shared" si="5"/>
        <v>587.00002823522766</v>
      </c>
      <c r="G42" s="46">
        <f t="shared" si="6"/>
        <v>54784.210312019335</v>
      </c>
      <c r="H42" s="46">
        <f t="shared" si="4"/>
        <v>657410.52374423202</v>
      </c>
      <c r="I42" s="45">
        <f t="shared" si="7"/>
        <v>887.00002823522766</v>
      </c>
      <c r="J42" s="46">
        <f t="shared" si="8"/>
        <v>36255.165700481557</v>
      </c>
      <c r="K42" s="46">
        <f t="shared" si="4"/>
        <v>435061.98840577865</v>
      </c>
    </row>
    <row r="43" spans="2:13" ht="16.5" customHeight="1">
      <c r="B43" s="37" cm="1">
        <f t="array" ref="B43">B28</f>
        <v>9</v>
      </c>
      <c r="C43" s="45">
        <f t="shared" si="3"/>
        <v>233.99999740456252</v>
      </c>
      <c r="D43" s="46" cm="1">
        <f t="array" ref="D43">I28</f>
        <v>770583</v>
      </c>
      <c r="E43" s="46">
        <f t="shared" si="4"/>
        <v>9246996</v>
      </c>
      <c r="F43" s="45">
        <f t="shared" si="5"/>
        <v>593.99999740456246</v>
      </c>
      <c r="G43" s="46">
        <f t="shared" si="6"/>
        <v>303563.1326395272</v>
      </c>
      <c r="H43" s="46">
        <f t="shared" si="4"/>
        <v>3642757.5916743265</v>
      </c>
      <c r="I43" s="45">
        <f t="shared" si="7"/>
        <v>893.99999740456246</v>
      </c>
      <c r="J43" s="46">
        <f t="shared" si="8"/>
        <v>201696.30931039169</v>
      </c>
      <c r="K43" s="46">
        <f t="shared" si="4"/>
        <v>2420355.7117247004</v>
      </c>
    </row>
    <row r="44" spans="2:13" ht="16.5" customHeight="1">
      <c r="B44" s="37" cm="1">
        <f t="array" ref="B44">B29</f>
        <v>10</v>
      </c>
      <c r="C44" s="45">
        <f t="shared" si="3"/>
        <v>240</v>
      </c>
      <c r="D44" s="46" cm="1">
        <f t="array" ref="D44">I29</f>
        <v>529349</v>
      </c>
      <c r="E44" s="46">
        <f t="shared" si="4"/>
        <v>6352188</v>
      </c>
      <c r="F44" s="45">
        <f t="shared" si="5"/>
        <v>600</v>
      </c>
      <c r="G44" s="46">
        <f t="shared" si="6"/>
        <v>0</v>
      </c>
      <c r="H44" s="46">
        <f t="shared" si="4"/>
        <v>0</v>
      </c>
      <c r="I44" s="45">
        <f t="shared" si="7"/>
        <v>900</v>
      </c>
      <c r="J44" s="46">
        <f t="shared" si="8"/>
        <v>0</v>
      </c>
      <c r="K44" s="46">
        <f t="shared" si="4"/>
        <v>0</v>
      </c>
    </row>
    <row r="45" spans="2:13" ht="14.25" customHeight="1">
      <c r="B45" s="43" t="s">
        <v>162</v>
      </c>
      <c r="C45" s="43"/>
      <c r="D45" s="43"/>
      <c r="E45" s="44">
        <f t="shared" si="2"/>
        <v>13899673092</v>
      </c>
      <c r="F45" s="43"/>
      <c r="G45" s="43"/>
      <c r="H45" s="44">
        <f t="shared" si="2"/>
        <v>10822299689.768244</v>
      </c>
      <c r="I45" s="43"/>
      <c r="J45" s="43"/>
      <c r="K45" s="44">
        <f t="shared" si="2"/>
        <v>7096633713.3457012</v>
      </c>
    </row>
    <row r="47" spans="2:13" ht="15.75" customHeight="1">
      <c r="B47" s="33" t="s">
        <v>171</v>
      </c>
    </row>
    <row r="48" spans="2:13" ht="15.75" customHeight="1">
      <c r="B48" s="36" t="s">
        <v>64</v>
      </c>
      <c r="C48" s="47">
        <v>2025</v>
      </c>
      <c r="D48" s="47">
        <v>2026</v>
      </c>
      <c r="E48" s="47">
        <v>2027</v>
      </c>
      <c r="F48" s="47">
        <v>2028</v>
      </c>
      <c r="G48" s="47">
        <v>2029</v>
      </c>
      <c r="H48" s="47">
        <v>2030</v>
      </c>
      <c r="I48" s="47">
        <v>2031</v>
      </c>
      <c r="J48" s="47">
        <v>2032</v>
      </c>
      <c r="K48" s="47">
        <v>2033</v>
      </c>
      <c r="L48" s="47">
        <v>2034</v>
      </c>
      <c r="M48" s="36" t="s">
        <v>172</v>
      </c>
    </row>
    <row r="49" spans="2:13" ht="16.5" customHeight="1">
      <c r="B49" s="37" t="s">
        <v>173</v>
      </c>
      <c r="C49" s="46" cm="1">
        <f t="array" ref="C49">$E$45</f>
        <v>13899673092</v>
      </c>
      <c r="D49" s="46" cm="1">
        <f t="array" ref="D49">$E$45</f>
        <v>13899673092</v>
      </c>
      <c r="E49" s="46" cm="1">
        <f t="array" ref="E49">$E$45</f>
        <v>13899673092</v>
      </c>
      <c r="F49" s="46" cm="1">
        <f t="array" ref="F49">$E$45</f>
        <v>13899673092</v>
      </c>
      <c r="G49" s="46" cm="1">
        <f t="array" ref="G49">$E$45</f>
        <v>13899673092</v>
      </c>
      <c r="H49" s="46" cm="1">
        <f t="array" ref="H49">$E$45</f>
        <v>13899673092</v>
      </c>
      <c r="I49" s="46" cm="1">
        <f t="array" ref="I49">$E$45</f>
        <v>13899673092</v>
      </c>
      <c r="J49" s="46" cm="1">
        <f t="array" ref="J49">$E$45</f>
        <v>13899673092</v>
      </c>
      <c r="K49" s="46" cm="1">
        <f t="array" ref="K49">$E$45</f>
        <v>13899673092</v>
      </c>
      <c r="L49" s="46" cm="1">
        <f t="array" ref="L49">$E$45</f>
        <v>13899673092</v>
      </c>
      <c r="M49" s="46">
        <f t="shared" ref="M49:M56" si="9">SUM(C49:L49)</f>
        <v>138996730920</v>
      </c>
    </row>
    <row r="50" spans="2:13" ht="16.5" customHeight="1">
      <c r="B50" s="37" t="s">
        <v>174</v>
      </c>
      <c r="C50" s="46" cm="1">
        <f t="array" ref="C50">$H$45</f>
        <v>10822299689.768244</v>
      </c>
      <c r="D50" s="46" cm="1">
        <f t="array" ref="D50">$H$45</f>
        <v>10822299689.768244</v>
      </c>
      <c r="E50" s="46" cm="1">
        <f t="array" ref="E50">$H$45</f>
        <v>10822299689.768244</v>
      </c>
      <c r="F50" s="46" cm="1">
        <f t="array" ref="F50">$H$45</f>
        <v>10822299689.768244</v>
      </c>
      <c r="G50" s="46" cm="1">
        <f t="array" ref="G50">$H$45</f>
        <v>10822299689.768244</v>
      </c>
      <c r="H50" s="46" cm="1">
        <f t="array" ref="H50">$H$45</f>
        <v>10822299689.768244</v>
      </c>
      <c r="I50" s="46" cm="1">
        <f t="array" ref="I50">$H$45</f>
        <v>10822299689.768244</v>
      </c>
      <c r="J50" s="46" cm="1">
        <f t="array" ref="J50">$H$45</f>
        <v>10822299689.768244</v>
      </c>
      <c r="K50" s="46" cm="1">
        <f t="array" ref="K50">$H$45</f>
        <v>10822299689.768244</v>
      </c>
      <c r="L50" s="46" cm="1">
        <f t="array" ref="L50">$H$45</f>
        <v>10822299689.768244</v>
      </c>
      <c r="M50" s="46">
        <f t="shared" si="9"/>
        <v>108222996897.68245</v>
      </c>
    </row>
    <row r="51" spans="2:13" ht="16.5" customHeight="1">
      <c r="B51" s="37" t="s">
        <v>175</v>
      </c>
      <c r="C51" s="46" cm="1">
        <f t="array" ref="C51">$K$45</f>
        <v>7096633713.3457012</v>
      </c>
      <c r="D51" s="46" cm="1">
        <f t="array" ref="D51">$K$45</f>
        <v>7096633713.3457012</v>
      </c>
      <c r="E51" s="46" cm="1">
        <f t="array" ref="E51">$K$45</f>
        <v>7096633713.3457012</v>
      </c>
      <c r="F51" s="46" cm="1">
        <f t="array" ref="F51">$K$45</f>
        <v>7096633713.3457012</v>
      </c>
      <c r="G51" s="46" cm="1">
        <f t="array" ref="G51">$K$45</f>
        <v>7096633713.3457012</v>
      </c>
      <c r="H51" s="46" cm="1">
        <f t="array" ref="H51">$K$45</f>
        <v>7096633713.3457012</v>
      </c>
      <c r="I51" s="46" cm="1">
        <f t="array" ref="I51">$K$45</f>
        <v>7096633713.3457012</v>
      </c>
      <c r="J51" s="46" cm="1">
        <f t="array" ref="J51">$K$45</f>
        <v>7096633713.3457012</v>
      </c>
      <c r="K51" s="46" cm="1">
        <f t="array" ref="K51">$K$45</f>
        <v>7096633713.3457012</v>
      </c>
      <c r="L51" s="46" cm="1">
        <f t="array" ref="L51">$K$45</f>
        <v>7096633713.3457012</v>
      </c>
      <c r="M51" s="46">
        <f t="shared" si="9"/>
        <v>70966337133.457016</v>
      </c>
    </row>
    <row r="53" spans="2:13" ht="15.75" customHeight="1">
      <c r="B53" s="33" t="s">
        <v>176</v>
      </c>
    </row>
    <row r="54" spans="2:13" ht="15.75" customHeight="1">
      <c r="B54" s="36" t="s">
        <v>64</v>
      </c>
      <c r="C54" s="48">
        <v>2025</v>
      </c>
      <c r="D54" s="48">
        <v>2026</v>
      </c>
      <c r="E54" s="48">
        <v>2027</v>
      </c>
      <c r="F54" s="48">
        <v>2028</v>
      </c>
      <c r="G54" s="48">
        <v>2029</v>
      </c>
      <c r="H54" s="48">
        <v>2030</v>
      </c>
      <c r="I54" s="48">
        <v>2031</v>
      </c>
      <c r="J54" s="48">
        <v>2032</v>
      </c>
      <c r="K54" s="48">
        <v>2033</v>
      </c>
      <c r="L54" s="48">
        <v>2034</v>
      </c>
      <c r="M54" s="36" t="s">
        <v>172</v>
      </c>
    </row>
    <row r="55" spans="2:13" ht="16.5" customHeight="1">
      <c r="B55" s="49" t="s">
        <v>177</v>
      </c>
      <c r="C55" s="50">
        <f t="shared" ref="C55:L55" si="10">C49-C50</f>
        <v>3077373402.2317562</v>
      </c>
      <c r="D55" s="50">
        <f t="shared" si="10"/>
        <v>3077373402.2317562</v>
      </c>
      <c r="E55" s="50">
        <f t="shared" si="10"/>
        <v>3077373402.2317562</v>
      </c>
      <c r="F55" s="50">
        <f t="shared" si="10"/>
        <v>3077373402.2317562</v>
      </c>
      <c r="G55" s="50">
        <f t="shared" si="10"/>
        <v>3077373402.2317562</v>
      </c>
      <c r="H55" s="50">
        <f t="shared" si="10"/>
        <v>3077373402.2317562</v>
      </c>
      <c r="I55" s="50">
        <f t="shared" si="10"/>
        <v>3077373402.2317562</v>
      </c>
      <c r="J55" s="50">
        <f t="shared" si="10"/>
        <v>3077373402.2317562</v>
      </c>
      <c r="K55" s="50">
        <f t="shared" si="10"/>
        <v>3077373402.2317562</v>
      </c>
      <c r="L55" s="50">
        <f t="shared" si="10"/>
        <v>3077373402.2317562</v>
      </c>
      <c r="M55" s="50">
        <f t="shared" si="9"/>
        <v>30773734022.317566</v>
      </c>
    </row>
    <row r="56" spans="2:13" ht="16.5" customHeight="1">
      <c r="B56" s="49" t="s">
        <v>178</v>
      </c>
      <c r="C56" s="50">
        <f t="shared" ref="C56:L56" si="11">C49-C51</f>
        <v>6803039378.6542988</v>
      </c>
      <c r="D56" s="50">
        <f t="shared" si="11"/>
        <v>6803039378.6542988</v>
      </c>
      <c r="E56" s="50">
        <f t="shared" si="11"/>
        <v>6803039378.6542988</v>
      </c>
      <c r="F56" s="50">
        <f t="shared" si="11"/>
        <v>6803039378.6542988</v>
      </c>
      <c r="G56" s="50">
        <f t="shared" si="11"/>
        <v>6803039378.6542988</v>
      </c>
      <c r="H56" s="50">
        <f t="shared" si="11"/>
        <v>6803039378.6542988</v>
      </c>
      <c r="I56" s="50">
        <f t="shared" si="11"/>
        <v>6803039378.6542988</v>
      </c>
      <c r="J56" s="50">
        <f t="shared" si="11"/>
        <v>6803039378.6542988</v>
      </c>
      <c r="K56" s="50">
        <f t="shared" si="11"/>
        <v>6803039378.6542988</v>
      </c>
      <c r="L56" s="50">
        <f t="shared" si="11"/>
        <v>6803039378.6542988</v>
      </c>
      <c r="M56" s="50">
        <f t="shared" si="9"/>
        <v>68030393786.542976</v>
      </c>
    </row>
    <row r="58" spans="2:13" ht="16.5" customHeight="1">
      <c r="B58" s="37" t="s">
        <v>179</v>
      </c>
      <c r="C58" s="37" t="s">
        <v>65</v>
      </c>
      <c r="D58" s="51">
        <f>$M$55/$M$49</f>
        <v>0.2213989769301084</v>
      </c>
    </row>
    <row r="59" spans="2:13" ht="16.5" customHeight="1">
      <c r="B59" s="37"/>
      <c r="C59" s="37" t="s">
        <v>66</v>
      </c>
      <c r="D59" s="51">
        <f>$M$56/$M$49</f>
        <v>0.48943880432481596</v>
      </c>
    </row>
  </sheetData>
  <sheetProtection algorithmName="SHA-512" hashValue="n8wGPG6KL/MM/I/Vry8T/MNptjSx7GVF+RSlMRxmMqp5WIKq26kSgelOw6p3xzNZ8CKzfZmmI/6a7EBY6vQorA==" saltValue="3aNt8bwCOXUDQXmiaTOQ5Q==" spinCount="100000" sheet="1" objects="1" scenarios="1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6A49-3C78-2638-582A-B583C7337B79}">
  <dimension ref="B2:N101"/>
  <sheetViews>
    <sheetView showGridLines="0" topLeftCell="A64" workbookViewId="0">
      <selection activeCell="B86" sqref="B86"/>
    </sheetView>
  </sheetViews>
  <sheetFormatPr defaultColWidth="7.796875" defaultRowHeight="15" customHeight="1"/>
  <cols>
    <col min="1" max="1" width="5" customWidth="1"/>
    <col min="2" max="2" width="65.296875" customWidth="1"/>
    <col min="3" max="3" width="16.5" customWidth="1"/>
    <col min="4" max="14" width="13.796875" customWidth="1"/>
  </cols>
  <sheetData>
    <row r="2" spans="2:14" ht="18.75" customHeight="1">
      <c r="B2" s="31" t="s">
        <v>180</v>
      </c>
    </row>
    <row r="3" spans="2:14" ht="15.75" customHeight="1">
      <c r="B3" s="32" t="s">
        <v>181</v>
      </c>
    </row>
    <row r="5" spans="2:14" ht="14.25" customHeight="1">
      <c r="B5" s="34" t="s">
        <v>182</v>
      </c>
    </row>
    <row r="6" spans="2:14" ht="14.25" customHeight="1">
      <c r="B6" s="34" t="s">
        <v>117</v>
      </c>
      <c r="C6" s="35" cm="1">
        <f t="array" ref="C6">Inputs!$C$5</f>
        <v>0.22</v>
      </c>
    </row>
    <row r="7" spans="2:14" ht="14.25" customHeight="1">
      <c r="B7" s="34" t="s">
        <v>183</v>
      </c>
      <c r="C7" s="52" cm="1">
        <f t="array" ref="C7">Depreciation_Scenario_Analysis!E30</f>
        <v>548303315263</v>
      </c>
    </row>
    <row r="8" spans="2:14" ht="14.25" customHeight="1">
      <c r="B8" s="34" t="s">
        <v>184</v>
      </c>
      <c r="C8" s="52" cm="1">
        <f t="array" ref="C8">Depreciation_Scenario_Analysis!H30</f>
        <v>515364283775</v>
      </c>
    </row>
    <row r="9" spans="2:14" ht="16.5" customHeight="1">
      <c r="C9" s="53" cm="1">
        <f t="array" ref="C9">Inputs!C5</f>
        <v>0.22</v>
      </c>
    </row>
    <row r="10" spans="2:14" ht="15.75" customHeight="1">
      <c r="B10" s="33" t="s">
        <v>185</v>
      </c>
    </row>
    <row r="11" spans="2:14" ht="15.75" customHeight="1">
      <c r="B11" s="36" t="s">
        <v>64</v>
      </c>
      <c r="C11" s="47">
        <v>2025</v>
      </c>
      <c r="D11" s="47">
        <v>2026</v>
      </c>
      <c r="E11" s="47">
        <v>2027</v>
      </c>
      <c r="F11" s="47">
        <v>2028</v>
      </c>
      <c r="G11" s="47">
        <v>2029</v>
      </c>
      <c r="H11" s="47">
        <v>2030</v>
      </c>
      <c r="I11" s="47">
        <v>2031</v>
      </c>
      <c r="J11" s="47">
        <v>2032</v>
      </c>
      <c r="K11" s="47">
        <v>2033</v>
      </c>
      <c r="L11" s="47">
        <v>2034</v>
      </c>
      <c r="M11" s="36" t="s">
        <v>172</v>
      </c>
      <c r="N11" s="36" t="s">
        <v>186</v>
      </c>
    </row>
    <row r="12" spans="2:14" ht="16.5" customHeight="1">
      <c r="B12" s="37" t="s">
        <v>187</v>
      </c>
      <c r="C12" s="54">
        <f>Depreciation_Scenario_Analysis!C49/Inputs!$C$23</f>
        <v>13.899673092</v>
      </c>
      <c r="D12" s="54">
        <f>Depreciation_Scenario_Analysis!D49/Inputs!$C$23</f>
        <v>13.899673092</v>
      </c>
      <c r="E12" s="54">
        <f>Depreciation_Scenario_Analysis!E49/Inputs!$C$23</f>
        <v>13.899673092</v>
      </c>
      <c r="F12" s="54">
        <f>Depreciation_Scenario_Analysis!F49/Inputs!$C$23</f>
        <v>13.899673092</v>
      </c>
      <c r="G12" s="54">
        <f>Depreciation_Scenario_Analysis!G49/Inputs!$C$23</f>
        <v>13.899673092</v>
      </c>
      <c r="H12" s="54">
        <f>Depreciation_Scenario_Analysis!H49/Inputs!$C$23</f>
        <v>13.899673092</v>
      </c>
      <c r="I12" s="54">
        <f>Depreciation_Scenario_Analysis!I49/Inputs!$C$23</f>
        <v>13.899673092</v>
      </c>
      <c r="J12" s="54">
        <f>Depreciation_Scenario_Analysis!J49/Inputs!$C$23</f>
        <v>13.899673092</v>
      </c>
      <c r="K12" s="54">
        <f>Depreciation_Scenario_Analysis!K49/Inputs!$C$23</f>
        <v>13.899673092</v>
      </c>
      <c r="L12" s="54">
        <f>Depreciation_Scenario_Analysis!L49/Inputs!$C$23</f>
        <v>13.899673092</v>
      </c>
      <c r="M12" s="55">
        <f t="shared" ref="M12:M91" si="0">SUM(C12:L12)</f>
        <v>138.99673092</v>
      </c>
      <c r="N12" s="55">
        <f t="shared" ref="N12:N68" si="1">AVERAGE(C12:L12)</f>
        <v>13.899673092</v>
      </c>
    </row>
    <row r="13" spans="2:14" ht="16.5" customHeight="1">
      <c r="B13" s="37" t="s">
        <v>77</v>
      </c>
      <c r="C13" s="54">
        <f>Depreciation_Scenario_Analysis!C50/1000000000</f>
        <v>10.822299689768244</v>
      </c>
      <c r="D13" s="54">
        <f>Depreciation_Scenario_Analysis!D50/Inputs!$C$23</f>
        <v>10.822299689768244</v>
      </c>
      <c r="E13" s="54">
        <f>Depreciation_Scenario_Analysis!E50/Inputs!$C$23</f>
        <v>10.822299689768244</v>
      </c>
      <c r="F13" s="54">
        <f>Depreciation_Scenario_Analysis!F50/Inputs!$C$23</f>
        <v>10.822299689768244</v>
      </c>
      <c r="G13" s="54">
        <f>Depreciation_Scenario_Analysis!G50/Inputs!$C$23</f>
        <v>10.822299689768244</v>
      </c>
      <c r="H13" s="54">
        <f>Depreciation_Scenario_Analysis!H50/Inputs!$C$23</f>
        <v>10.822299689768244</v>
      </c>
      <c r="I13" s="54">
        <f>Depreciation_Scenario_Analysis!I50/Inputs!$C$23</f>
        <v>10.822299689768244</v>
      </c>
      <c r="J13" s="54">
        <f>Depreciation_Scenario_Analysis!J50/Inputs!$C$23</f>
        <v>10.822299689768244</v>
      </c>
      <c r="K13" s="54">
        <f>Depreciation_Scenario_Analysis!K50/Inputs!$C$23</f>
        <v>10.822299689768244</v>
      </c>
      <c r="L13" s="54">
        <f>Depreciation_Scenario_Analysis!L50/Inputs!$C$23</f>
        <v>10.822299689768244</v>
      </c>
      <c r="M13" s="55">
        <f t="shared" si="0"/>
        <v>108.22299689768244</v>
      </c>
      <c r="N13" s="55">
        <f t="shared" si="1"/>
        <v>10.822299689768244</v>
      </c>
    </row>
    <row r="14" spans="2:14" ht="16.5" customHeight="1">
      <c r="B14" s="37" t="s">
        <v>78</v>
      </c>
      <c r="C14" s="54">
        <f>Depreciation_Scenario_Analysis!C51/1000000000</f>
        <v>7.0966337133457014</v>
      </c>
      <c r="D14" s="54">
        <f>Depreciation_Scenario_Analysis!D51/Inputs!$C$23</f>
        <v>7.0966337133457014</v>
      </c>
      <c r="E14" s="54">
        <f>Depreciation_Scenario_Analysis!E51/Inputs!$C$23</f>
        <v>7.0966337133457014</v>
      </c>
      <c r="F14" s="54">
        <f>Depreciation_Scenario_Analysis!F51/Inputs!$C$23</f>
        <v>7.0966337133457014</v>
      </c>
      <c r="G14" s="54">
        <f>Depreciation_Scenario_Analysis!G51/Inputs!$C$23</f>
        <v>7.0966337133457014</v>
      </c>
      <c r="H14" s="54">
        <f>Depreciation_Scenario_Analysis!H51/Inputs!$C$23</f>
        <v>7.0966337133457014</v>
      </c>
      <c r="I14" s="54">
        <f>Depreciation_Scenario_Analysis!I51/Inputs!$C$23</f>
        <v>7.0966337133457014</v>
      </c>
      <c r="J14" s="54">
        <f>Depreciation_Scenario_Analysis!J51/Inputs!$C$23</f>
        <v>7.0966337133457014</v>
      </c>
      <c r="K14" s="54">
        <f>Depreciation_Scenario_Analysis!K51/Inputs!$C$23</f>
        <v>7.0966337133457014</v>
      </c>
      <c r="L14" s="54">
        <f>Depreciation_Scenario_Analysis!L51/Inputs!$C$23</f>
        <v>7.0966337133457014</v>
      </c>
      <c r="M14" s="55">
        <f t="shared" si="0"/>
        <v>70.966337133457017</v>
      </c>
      <c r="N14" s="55">
        <f t="shared" si="1"/>
        <v>7.0966337133457014</v>
      </c>
    </row>
    <row r="16" spans="2:14" ht="15.75" customHeight="1">
      <c r="B16" s="33" t="s">
        <v>188</v>
      </c>
    </row>
    <row r="17" spans="2:14" ht="15.75" customHeight="1">
      <c r="B17" s="36" t="s">
        <v>64</v>
      </c>
      <c r="C17" s="47">
        <v>2025</v>
      </c>
      <c r="D17" s="47">
        <v>2026</v>
      </c>
      <c r="E17" s="47">
        <v>2027</v>
      </c>
      <c r="F17" s="47">
        <v>2028</v>
      </c>
      <c r="G17" s="47">
        <v>2029</v>
      </c>
      <c r="H17" s="47">
        <v>2030</v>
      </c>
      <c r="I17" s="47">
        <v>2031</v>
      </c>
      <c r="J17" s="47">
        <v>2032</v>
      </c>
      <c r="K17" s="47">
        <v>2033</v>
      </c>
      <c r="L17" s="47">
        <v>2034</v>
      </c>
      <c r="M17" s="36" t="s">
        <v>172</v>
      </c>
      <c r="N17" s="36" t="s">
        <v>186</v>
      </c>
    </row>
    <row r="18" spans="2:14" ht="16.5" customHeight="1">
      <c r="B18" s="49" t="s">
        <v>189</v>
      </c>
      <c r="C18" s="56">
        <f t="shared" ref="C18:L18" si="2">C12-C13</f>
        <v>3.0773734022317569</v>
      </c>
      <c r="D18" s="56">
        <f t="shared" si="2"/>
        <v>3.0773734022317569</v>
      </c>
      <c r="E18" s="56">
        <f t="shared" si="2"/>
        <v>3.0773734022317569</v>
      </c>
      <c r="F18" s="56">
        <f t="shared" si="2"/>
        <v>3.0773734022317569</v>
      </c>
      <c r="G18" s="56">
        <f t="shared" si="2"/>
        <v>3.0773734022317569</v>
      </c>
      <c r="H18" s="56">
        <f t="shared" si="2"/>
        <v>3.0773734022317569</v>
      </c>
      <c r="I18" s="56">
        <f t="shared" si="2"/>
        <v>3.0773734022317569</v>
      </c>
      <c r="J18" s="56">
        <f t="shared" si="2"/>
        <v>3.0773734022317569</v>
      </c>
      <c r="K18" s="56">
        <f t="shared" si="2"/>
        <v>3.0773734022317569</v>
      </c>
      <c r="L18" s="56">
        <f t="shared" si="2"/>
        <v>3.0773734022317569</v>
      </c>
      <c r="M18" s="56">
        <f t="shared" si="0"/>
        <v>30.773734022317569</v>
      </c>
      <c r="N18" s="56">
        <f t="shared" si="1"/>
        <v>3.0773734022317569</v>
      </c>
    </row>
    <row r="19" spans="2:14" ht="16.5" customHeight="1">
      <c r="B19" s="49" t="s">
        <v>190</v>
      </c>
      <c r="C19" s="56">
        <f t="shared" ref="C19:L19" si="3">C12-C14</f>
        <v>6.8030393786542991</v>
      </c>
      <c r="D19" s="56">
        <f t="shared" si="3"/>
        <v>6.8030393786542991</v>
      </c>
      <c r="E19" s="56">
        <f t="shared" si="3"/>
        <v>6.8030393786542991</v>
      </c>
      <c r="F19" s="56">
        <f t="shared" si="3"/>
        <v>6.8030393786542991</v>
      </c>
      <c r="G19" s="56">
        <f t="shared" si="3"/>
        <v>6.8030393786542991</v>
      </c>
      <c r="H19" s="56">
        <f t="shared" si="3"/>
        <v>6.8030393786542991</v>
      </c>
      <c r="I19" s="56">
        <f t="shared" si="3"/>
        <v>6.8030393786542991</v>
      </c>
      <c r="J19" s="56">
        <f t="shared" si="3"/>
        <v>6.8030393786542991</v>
      </c>
      <c r="K19" s="56">
        <f t="shared" si="3"/>
        <v>6.8030393786542991</v>
      </c>
      <c r="L19" s="56">
        <f t="shared" si="3"/>
        <v>6.8030393786542991</v>
      </c>
      <c r="M19" s="56">
        <f t="shared" si="0"/>
        <v>68.030393786542987</v>
      </c>
      <c r="N19" s="56">
        <f t="shared" si="1"/>
        <v>6.8030393786542991</v>
      </c>
    </row>
    <row r="21" spans="2:14" ht="15.75" customHeight="1">
      <c r="B21" s="33" t="s">
        <v>191</v>
      </c>
    </row>
    <row r="22" spans="2:14" ht="15.75" customHeight="1">
      <c r="B22" s="36" t="s">
        <v>64</v>
      </c>
      <c r="C22" s="47">
        <v>2025</v>
      </c>
      <c r="D22" s="47">
        <v>2026</v>
      </c>
      <c r="E22" s="47">
        <v>2027</v>
      </c>
      <c r="F22" s="47">
        <v>2028</v>
      </c>
      <c r="G22" s="47">
        <v>2029</v>
      </c>
      <c r="H22" s="47">
        <v>2030</v>
      </c>
      <c r="I22" s="47">
        <v>2031</v>
      </c>
      <c r="J22" s="47">
        <v>2032</v>
      </c>
      <c r="K22" s="47">
        <v>2033</v>
      </c>
      <c r="L22" s="47">
        <v>2034</v>
      </c>
      <c r="M22" s="36" t="s">
        <v>172</v>
      </c>
      <c r="N22" s="36" t="s">
        <v>186</v>
      </c>
    </row>
    <row r="23" spans="2:14" ht="16.5" customHeight="1">
      <c r="B23" s="49" t="s">
        <v>192</v>
      </c>
      <c r="C23" s="56" cm="1">
        <f t="array" ref="C23">C18</f>
        <v>3.0773734022317569</v>
      </c>
      <c r="D23" s="56" cm="1">
        <f t="array" ref="D23">D18</f>
        <v>3.0773734022317569</v>
      </c>
      <c r="E23" s="56" cm="1">
        <f t="array" ref="E23">E18</f>
        <v>3.0773734022317569</v>
      </c>
      <c r="F23" s="56" cm="1">
        <f t="array" ref="F23">F18</f>
        <v>3.0773734022317569</v>
      </c>
      <c r="G23" s="56" cm="1">
        <f t="array" ref="G23">G18</f>
        <v>3.0773734022317569</v>
      </c>
      <c r="H23" s="56" cm="1">
        <f t="array" ref="H23">H18</f>
        <v>3.0773734022317569</v>
      </c>
      <c r="I23" s="56" cm="1">
        <f t="array" ref="I23">I18</f>
        <v>3.0773734022317569</v>
      </c>
      <c r="J23" s="56" cm="1">
        <f t="array" ref="J23">J18</f>
        <v>3.0773734022317569</v>
      </c>
      <c r="K23" s="56" cm="1">
        <f t="array" ref="K23">K18</f>
        <v>3.0773734022317569</v>
      </c>
      <c r="L23" s="56" cm="1">
        <f t="array" ref="L23">L18</f>
        <v>3.0773734022317569</v>
      </c>
      <c r="M23" s="56">
        <f t="shared" si="0"/>
        <v>30.773734022317569</v>
      </c>
      <c r="N23" s="56">
        <f t="shared" si="1"/>
        <v>3.0773734022317569</v>
      </c>
    </row>
    <row r="24" spans="2:14" ht="16.5" customHeight="1">
      <c r="B24" s="49" t="s">
        <v>193</v>
      </c>
      <c r="C24" s="56" cm="1">
        <f t="array" ref="C24">C19</f>
        <v>6.8030393786542991</v>
      </c>
      <c r="D24" s="56" cm="1">
        <f t="array" ref="D24">D19</f>
        <v>6.8030393786542991</v>
      </c>
      <c r="E24" s="56" cm="1">
        <f t="array" ref="E24">E19</f>
        <v>6.8030393786542991</v>
      </c>
      <c r="F24" s="56" cm="1">
        <f t="array" ref="F24">F19</f>
        <v>6.8030393786542991</v>
      </c>
      <c r="G24" s="56" cm="1">
        <f t="array" ref="G24">G19</f>
        <v>6.8030393786542991</v>
      </c>
      <c r="H24" s="56" cm="1">
        <f t="array" ref="H24">H19</f>
        <v>6.8030393786542991</v>
      </c>
      <c r="I24" s="56" cm="1">
        <f t="array" ref="I24">I19</f>
        <v>6.8030393786542991</v>
      </c>
      <c r="J24" s="56" cm="1">
        <f t="array" ref="J24">J19</f>
        <v>6.8030393786542991</v>
      </c>
      <c r="K24" s="56" cm="1">
        <f t="array" ref="K24">K19</f>
        <v>6.8030393786542991</v>
      </c>
      <c r="L24" s="56" cm="1">
        <f t="array" ref="L24">L19</f>
        <v>6.8030393786542991</v>
      </c>
      <c r="M24" s="56">
        <f t="shared" si="0"/>
        <v>68.030393786542987</v>
      </c>
      <c r="N24" s="56">
        <f t="shared" si="1"/>
        <v>6.8030393786542991</v>
      </c>
    </row>
    <row r="26" spans="2:14" ht="15.75" customHeight="1">
      <c r="B26" s="33" t="s">
        <v>194</v>
      </c>
    </row>
    <row r="27" spans="2:14" ht="15.75" customHeight="1">
      <c r="B27" s="36" t="s">
        <v>64</v>
      </c>
      <c r="C27" s="47">
        <v>2025</v>
      </c>
      <c r="D27" s="47">
        <v>2026</v>
      </c>
      <c r="E27" s="47">
        <v>2027</v>
      </c>
      <c r="F27" s="47">
        <v>2028</v>
      </c>
      <c r="G27" s="47">
        <v>2029</v>
      </c>
      <c r="H27" s="47">
        <v>2030</v>
      </c>
      <c r="I27" s="47">
        <v>2031</v>
      </c>
      <c r="J27" s="47">
        <v>2032</v>
      </c>
      <c r="K27" s="47">
        <v>2033</v>
      </c>
      <c r="L27" s="47">
        <v>2034</v>
      </c>
      <c r="M27" s="36" t="s">
        <v>172</v>
      </c>
      <c r="N27" s="36" t="s">
        <v>186</v>
      </c>
    </row>
    <row r="28" spans="2:14" ht="16.5" customHeight="1">
      <c r="B28" s="49" t="s">
        <v>195</v>
      </c>
      <c r="C28" s="56">
        <f t="shared" ref="C28:L29" si="4">C18*(1-$C$6)</f>
        <v>2.4003512537407703</v>
      </c>
      <c r="D28" s="56">
        <f t="shared" si="4"/>
        <v>2.4003512537407703</v>
      </c>
      <c r="E28" s="56">
        <f t="shared" si="4"/>
        <v>2.4003512537407703</v>
      </c>
      <c r="F28" s="56">
        <f t="shared" si="4"/>
        <v>2.4003512537407703</v>
      </c>
      <c r="G28" s="56">
        <f t="shared" si="4"/>
        <v>2.4003512537407703</v>
      </c>
      <c r="H28" s="56">
        <f t="shared" si="4"/>
        <v>2.4003512537407703</v>
      </c>
      <c r="I28" s="56">
        <f t="shared" si="4"/>
        <v>2.4003512537407703</v>
      </c>
      <c r="J28" s="56">
        <f t="shared" si="4"/>
        <v>2.4003512537407703</v>
      </c>
      <c r="K28" s="56">
        <f t="shared" si="4"/>
        <v>2.4003512537407703</v>
      </c>
      <c r="L28" s="56">
        <f t="shared" si="4"/>
        <v>2.4003512537407703</v>
      </c>
      <c r="M28" s="56">
        <f t="shared" si="0"/>
        <v>24.003512537407698</v>
      </c>
      <c r="N28" s="56">
        <f t="shared" si="1"/>
        <v>2.4003512537407699</v>
      </c>
    </row>
    <row r="29" spans="2:14" ht="16.5" customHeight="1">
      <c r="B29" s="49" t="s">
        <v>196</v>
      </c>
      <c r="C29" s="56">
        <f t="shared" si="4"/>
        <v>5.3063707153503534</v>
      </c>
      <c r="D29" s="56">
        <f t="shared" si="4"/>
        <v>5.3063707153503534</v>
      </c>
      <c r="E29" s="56">
        <f t="shared" si="4"/>
        <v>5.3063707153503534</v>
      </c>
      <c r="F29" s="56">
        <f t="shared" si="4"/>
        <v>5.3063707153503534</v>
      </c>
      <c r="G29" s="56">
        <f t="shared" si="4"/>
        <v>5.3063707153503534</v>
      </c>
      <c r="H29" s="56">
        <f t="shared" si="4"/>
        <v>5.3063707153503534</v>
      </c>
      <c r="I29" s="56">
        <f t="shared" si="4"/>
        <v>5.3063707153503534</v>
      </c>
      <c r="J29" s="56">
        <f t="shared" si="4"/>
        <v>5.3063707153503534</v>
      </c>
      <c r="K29" s="56">
        <f t="shared" si="4"/>
        <v>5.3063707153503534</v>
      </c>
      <c r="L29" s="56">
        <f t="shared" si="4"/>
        <v>5.3063707153503534</v>
      </c>
      <c r="M29" s="56">
        <f t="shared" si="0"/>
        <v>53.063707153503536</v>
      </c>
      <c r="N29" s="56">
        <f t="shared" si="1"/>
        <v>5.3063707153503534</v>
      </c>
    </row>
    <row r="31" spans="2:14" ht="15.75" customHeight="1">
      <c r="B31" s="33" t="s">
        <v>197</v>
      </c>
    </row>
    <row r="32" spans="2:14" ht="15.75" customHeight="1">
      <c r="B32" s="36" t="s">
        <v>64</v>
      </c>
      <c r="C32" s="47">
        <v>2025</v>
      </c>
      <c r="D32" s="47">
        <v>2026</v>
      </c>
      <c r="E32" s="47">
        <v>2027</v>
      </c>
      <c r="F32" s="47">
        <v>2028</v>
      </c>
      <c r="G32" s="47">
        <v>2029</v>
      </c>
      <c r="H32" s="47">
        <v>2030</v>
      </c>
      <c r="I32" s="47">
        <v>2031</v>
      </c>
      <c r="J32" s="47">
        <v>2032</v>
      </c>
      <c r="K32" s="47">
        <v>2033</v>
      </c>
      <c r="L32" s="47">
        <v>2034</v>
      </c>
    </row>
    <row r="33" spans="2:12" ht="16.5" customHeight="1">
      <c r="B33" s="37" t="s">
        <v>198</v>
      </c>
      <c r="C33" s="57" cm="1">
        <f t="array" ref="C33">C18</f>
        <v>3.0773734022317569</v>
      </c>
      <c r="D33" s="57">
        <f t="shared" ref="D33:L34" si="5">C33+D18</f>
        <v>6.1547468044635139</v>
      </c>
      <c r="E33" s="57">
        <f t="shared" si="5"/>
        <v>9.2321202066952708</v>
      </c>
      <c r="F33" s="57">
        <f t="shared" si="5"/>
        <v>12.309493608927028</v>
      </c>
      <c r="G33" s="57">
        <f t="shared" si="5"/>
        <v>15.386867011158785</v>
      </c>
      <c r="H33" s="57">
        <f t="shared" si="5"/>
        <v>18.464240413390542</v>
      </c>
      <c r="I33" s="57">
        <f t="shared" si="5"/>
        <v>21.541613815622298</v>
      </c>
      <c r="J33" s="57">
        <f t="shared" si="5"/>
        <v>24.618987217854055</v>
      </c>
      <c r="K33" s="57">
        <f t="shared" si="5"/>
        <v>27.696360620085812</v>
      </c>
      <c r="L33" s="57">
        <f t="shared" si="5"/>
        <v>30.773734022317569</v>
      </c>
    </row>
    <row r="34" spans="2:12" ht="16.5" customHeight="1">
      <c r="B34" s="37" t="s">
        <v>199</v>
      </c>
      <c r="C34" s="57" cm="1">
        <f t="array" ref="C34">C19</f>
        <v>6.8030393786542991</v>
      </c>
      <c r="D34" s="57">
        <f t="shared" si="5"/>
        <v>13.606078757308598</v>
      </c>
      <c r="E34" s="57">
        <f t="shared" si="5"/>
        <v>20.409118135962899</v>
      </c>
      <c r="F34" s="57">
        <f t="shared" si="5"/>
        <v>27.212157514617196</v>
      </c>
      <c r="G34" s="57">
        <f t="shared" si="5"/>
        <v>34.015196893271494</v>
      </c>
      <c r="H34" s="57">
        <f t="shared" si="5"/>
        <v>40.818236271925791</v>
      </c>
      <c r="I34" s="57">
        <f t="shared" si="5"/>
        <v>47.621275650580088</v>
      </c>
      <c r="J34" s="57">
        <f t="shared" si="5"/>
        <v>54.424315029234386</v>
      </c>
      <c r="K34" s="57">
        <f t="shared" si="5"/>
        <v>61.227354407888683</v>
      </c>
      <c r="L34" s="57">
        <f t="shared" si="5"/>
        <v>68.030393786542987</v>
      </c>
    </row>
    <row r="36" spans="2:12" ht="15.75" customHeight="1">
      <c r="B36" s="33" t="s">
        <v>200</v>
      </c>
    </row>
    <row r="37" spans="2:12" ht="15.75" customHeight="1">
      <c r="B37" s="36" t="s">
        <v>76</v>
      </c>
      <c r="C37" s="58" t="s">
        <v>52</v>
      </c>
      <c r="D37" s="58" t="s">
        <v>77</v>
      </c>
      <c r="E37" s="58" t="s">
        <v>78</v>
      </c>
      <c r="F37" s="58" t="s">
        <v>201</v>
      </c>
      <c r="G37" s="58" t="s">
        <v>202</v>
      </c>
    </row>
    <row r="38" spans="2:12" ht="16.5" customHeight="1">
      <c r="B38" s="37" t="s">
        <v>203</v>
      </c>
      <c r="C38" s="55" cm="1">
        <f t="array" ref="C38">M12</f>
        <v>138.99673092</v>
      </c>
      <c r="D38" s="55" cm="1">
        <f t="array" ref="D38">M13</f>
        <v>108.22299689768244</v>
      </c>
      <c r="E38" s="55" cm="1">
        <f t="array" ref="E38">M14</f>
        <v>70.966337133457017</v>
      </c>
      <c r="F38" s="55" cm="1">
        <f t="array" ref="F38">M18</f>
        <v>30.773734022317569</v>
      </c>
      <c r="G38" s="55" cm="1">
        <f t="array" ref="G38">M19</f>
        <v>68.030393786542987</v>
      </c>
    </row>
    <row r="39" spans="2:12" ht="16.5" customHeight="1">
      <c r="B39" s="37" t="s">
        <v>204</v>
      </c>
      <c r="C39" s="55" cm="1">
        <f t="array" ref="C39">N12</f>
        <v>13.899673092</v>
      </c>
      <c r="D39" s="55" cm="1">
        <f t="array" ref="D39">N13</f>
        <v>10.822299689768244</v>
      </c>
      <c r="E39" s="55" cm="1">
        <f t="array" ref="E39">N14</f>
        <v>7.0966337133457014</v>
      </c>
      <c r="F39" s="55" cm="1">
        <f t="array" ref="F39">N18</f>
        <v>3.0773734022317569</v>
      </c>
      <c r="G39" s="55" cm="1">
        <f t="array" ref="G39">N19</f>
        <v>6.8030393786542991</v>
      </c>
    </row>
    <row r="40" spans="2:12" ht="16.5" customHeight="1">
      <c r="B40" s="37" t="s">
        <v>205</v>
      </c>
      <c r="C40" s="37" t="s">
        <v>206</v>
      </c>
      <c r="D40" s="55" cm="1">
        <f t="array" ref="D40">M23</f>
        <v>30.773734022317569</v>
      </c>
      <c r="E40" s="55" cm="1">
        <f t="array" ref="E40">M24</f>
        <v>68.030393786542987</v>
      </c>
      <c r="F40" s="55" cm="1">
        <f t="array" ref="F40">D40</f>
        <v>30.773734022317569</v>
      </c>
      <c r="G40" s="55" cm="1">
        <f t="array" ref="G40">E40</f>
        <v>68.030393786542987</v>
      </c>
    </row>
    <row r="41" spans="2:12" ht="16.5" customHeight="1">
      <c r="B41" s="37"/>
      <c r="C41" s="37" t="s">
        <v>206</v>
      </c>
      <c r="D41" s="55" cm="1">
        <f t="array" ref="D41">M28</f>
        <v>24.003512537407698</v>
      </c>
      <c r="E41" s="55" cm="1">
        <f t="array" ref="E41">M29</f>
        <v>53.063707153503536</v>
      </c>
      <c r="F41" s="55" cm="1">
        <f t="array" ref="F41">D41</f>
        <v>24.003512537407698</v>
      </c>
      <c r="G41" s="55" cm="1">
        <f t="array" ref="G41">E41</f>
        <v>53.063707153503536</v>
      </c>
    </row>
    <row r="42" spans="2:12" ht="16.5" customHeight="1">
      <c r="B42" s="37"/>
      <c r="C42" s="59">
        <v>0</v>
      </c>
      <c r="D42" s="60">
        <f>F38/C38</f>
        <v>0.22139897693010843</v>
      </c>
      <c r="E42" s="60">
        <f>G38/C38</f>
        <v>0.48943880432481601</v>
      </c>
      <c r="F42" s="60" cm="1">
        <f t="array" ref="F42">D42</f>
        <v>0.22139897693010843</v>
      </c>
      <c r="G42" s="60" cm="1">
        <f t="array" ref="G42">E42</f>
        <v>0.48943880432481601</v>
      </c>
    </row>
    <row r="44" spans="2:12" ht="17.25" customHeight="1">
      <c r="B44" s="61" t="s">
        <v>88</v>
      </c>
    </row>
    <row r="45" spans="2:12" ht="15.75" customHeight="1">
      <c r="B45" s="62" t="s">
        <v>207</v>
      </c>
    </row>
    <row r="46" spans="2:12" ht="14.25" customHeight="1">
      <c r="B46" s="63" t="s">
        <v>208</v>
      </c>
      <c r="C46" s="63"/>
      <c r="D46" s="63"/>
    </row>
    <row r="47" spans="2:12" ht="14.25" customHeight="1">
      <c r="B47" s="63" t="s">
        <v>209</v>
      </c>
      <c r="C47" s="64" cm="1">
        <f t="array" ref="C47">N18</f>
        <v>3.0773734022317569</v>
      </c>
      <c r="D47" s="63" t="s">
        <v>91</v>
      </c>
    </row>
    <row r="48" spans="2:12" ht="14.25" customHeight="1">
      <c r="B48" s="63" t="s">
        <v>210</v>
      </c>
      <c r="C48" s="64" cm="1">
        <f t="array" ref="C48">M23</f>
        <v>30.773734022317569</v>
      </c>
      <c r="D48" s="63" t="s">
        <v>94</v>
      </c>
    </row>
    <row r="49" spans="2:14" ht="14.25" customHeight="1">
      <c r="B49" s="63" t="s">
        <v>211</v>
      </c>
      <c r="C49" s="64" cm="1">
        <f t="array" ref="C49">M28</f>
        <v>24.003512537407698</v>
      </c>
      <c r="D49" s="63" t="s">
        <v>94</v>
      </c>
    </row>
    <row r="50" spans="2:14" ht="14.25" customHeight="1">
      <c r="B50" s="63" t="s">
        <v>212</v>
      </c>
      <c r="C50" s="65" cm="1">
        <f t="array" ref="C50">D42</f>
        <v>0.22139897693010843</v>
      </c>
      <c r="D50" s="63" t="s">
        <v>99</v>
      </c>
    </row>
    <row r="52" spans="2:14" ht="15.75" customHeight="1">
      <c r="B52" s="66" t="s">
        <v>213</v>
      </c>
    </row>
    <row r="53" spans="2:14" ht="14.25" customHeight="1">
      <c r="B53" s="67" t="s">
        <v>214</v>
      </c>
    </row>
    <row r="55" spans="2:14" ht="15.75" customHeight="1">
      <c r="B55" s="68" t="s">
        <v>64</v>
      </c>
      <c r="C55" s="68">
        <v>2025</v>
      </c>
      <c r="D55" s="68">
        <v>2026</v>
      </c>
      <c r="E55" s="68">
        <v>2027</v>
      </c>
      <c r="F55" s="68">
        <v>2028</v>
      </c>
      <c r="G55" s="68">
        <v>2029</v>
      </c>
      <c r="H55" s="68">
        <v>2030</v>
      </c>
      <c r="I55" s="68">
        <v>2031</v>
      </c>
      <c r="J55" s="68">
        <v>2032</v>
      </c>
      <c r="K55" s="68">
        <v>2033</v>
      </c>
      <c r="L55" s="68">
        <v>2034</v>
      </c>
      <c r="M55" s="68" t="s">
        <v>172</v>
      </c>
      <c r="N55" s="68" t="s">
        <v>186</v>
      </c>
    </row>
    <row r="56" spans="2:14" ht="16.5" customHeight="1">
      <c r="B56" s="69" t="s">
        <v>215</v>
      </c>
      <c r="C56" s="70">
        <v>25</v>
      </c>
      <c r="D56" s="70">
        <v>26</v>
      </c>
      <c r="E56" s="70">
        <v>27</v>
      </c>
      <c r="F56" s="70">
        <v>28</v>
      </c>
      <c r="G56" s="70">
        <v>29</v>
      </c>
      <c r="H56" s="70">
        <v>30</v>
      </c>
      <c r="I56" s="70">
        <v>31</v>
      </c>
      <c r="J56" s="70">
        <v>32</v>
      </c>
      <c r="K56" s="70">
        <v>33</v>
      </c>
      <c r="L56" s="70">
        <v>34</v>
      </c>
    </row>
    <row r="58" spans="2:14" ht="14.25" customHeight="1">
      <c r="B58" s="71" t="s">
        <v>216</v>
      </c>
    </row>
    <row r="59" spans="2:14" ht="16.5" customHeight="1">
      <c r="B59" t="s">
        <v>217</v>
      </c>
      <c r="C59" s="72" cm="1">
        <f t="array" ref="C59">Inputs!$C$28</f>
        <v>0.04</v>
      </c>
      <c r="D59" s="72" cm="1">
        <f t="array" ref="D59">Inputs!$C$28</f>
        <v>0.04</v>
      </c>
      <c r="E59" s="72" cm="1">
        <f t="array" ref="E59">Inputs!$C$28</f>
        <v>0.04</v>
      </c>
      <c r="F59" s="72" cm="1">
        <f t="array" ref="F59">Inputs!$C$28</f>
        <v>0.04</v>
      </c>
      <c r="G59" s="72" cm="1">
        <f t="array" ref="G59">Inputs!$C$28</f>
        <v>0.04</v>
      </c>
      <c r="H59" s="72" cm="1">
        <f t="array" ref="H59">Inputs!$C$28</f>
        <v>0.04</v>
      </c>
      <c r="I59" s="72" cm="1">
        <f t="array" ref="I59">Inputs!$C$28</f>
        <v>0.04</v>
      </c>
      <c r="J59" s="72" cm="1">
        <f t="array" ref="J59">Inputs!$C$28</f>
        <v>0.04</v>
      </c>
      <c r="K59" s="72" cm="1">
        <f t="array" ref="K59">Inputs!$C$28</f>
        <v>0.04</v>
      </c>
      <c r="L59" s="72" cm="1">
        <f t="array" ref="L59">Inputs!$C$28</f>
        <v>0.04</v>
      </c>
    </row>
    <row r="60" spans="2:14" ht="16.5" customHeight="1">
      <c r="B60" t="s">
        <v>218</v>
      </c>
      <c r="C60" s="73">
        <f>Inputs!$C$27/Inputs!$C$23*(1+C59)^1</f>
        <v>4.5020376929411771E-2</v>
      </c>
      <c r="D60" s="73">
        <f>Inputs!$C$27/Inputs!$C$23*(1+D59)^2</f>
        <v>4.6821192006588241E-2</v>
      </c>
      <c r="E60" s="73">
        <f>Inputs!$C$27/Inputs!$C$23*(1+E59)^3</f>
        <v>4.8694039686851771E-2</v>
      </c>
      <c r="F60" s="73">
        <f>Inputs!$C$27/Inputs!$C$23*(1+F59)^4</f>
        <v>5.0641801274325847E-2</v>
      </c>
      <c r="G60" s="73">
        <f>Inputs!$C$27/Inputs!$C$23*(1+G59)^5</f>
        <v>5.2667473325298891E-2</v>
      </c>
      <c r="H60" s="73">
        <f>Inputs!$C$27/Inputs!$C$23*(1+H59)^6</f>
        <v>5.4774172258310841E-2</v>
      </c>
      <c r="I60" s="73">
        <f>Inputs!$C$27/Inputs!$C$23*(1+I59)^7</f>
        <v>5.6965139148643269E-2</v>
      </c>
      <c r="J60" s="73">
        <f>Inputs!$C$27/Inputs!$C$23*(1+J59)^8</f>
        <v>5.9243744714589014E-2</v>
      </c>
      <c r="K60" s="73">
        <f>Inputs!$C$27/Inputs!$C$23*(1+K59)^9</f>
        <v>6.1613494503172578E-2</v>
      </c>
      <c r="L60" s="73">
        <f>Inputs!$C$27/Inputs!$C$23*(1+L59)^10</f>
        <v>6.4078034283299487E-2</v>
      </c>
      <c r="M60" s="73">
        <f t="shared" si="0"/>
        <v>0.54051946813049168</v>
      </c>
      <c r="N60" s="73">
        <f t="shared" si="1"/>
        <v>5.4051946813049166E-2</v>
      </c>
    </row>
    <row r="62" spans="2:14" ht="14.25" customHeight="1">
      <c r="B62" s="71" t="s">
        <v>219</v>
      </c>
    </row>
    <row r="63" spans="2:14" ht="16.5" customHeight="1">
      <c r="B63" t="s">
        <v>217</v>
      </c>
      <c r="C63" s="72" cm="1">
        <f t="array" ref="C63">Inputs!$C$28</f>
        <v>0.04</v>
      </c>
      <c r="D63" s="72" cm="1">
        <f t="array" ref="D63">Inputs!$C$28</f>
        <v>0.04</v>
      </c>
      <c r="E63" s="72" cm="1">
        <f t="array" ref="E63">Inputs!$C$28</f>
        <v>0.04</v>
      </c>
      <c r="F63" s="72" cm="1">
        <f t="array" ref="F63">Inputs!$C$28</f>
        <v>0.04</v>
      </c>
      <c r="G63" s="72" cm="1">
        <f t="array" ref="G63">Inputs!$C$28</f>
        <v>0.04</v>
      </c>
      <c r="H63" s="72" cm="1">
        <f t="array" ref="H63">Inputs!$C$28</f>
        <v>0.04</v>
      </c>
      <c r="I63" s="72" cm="1">
        <f t="array" ref="I63">Inputs!$C$28</f>
        <v>0.04</v>
      </c>
      <c r="J63" s="72" cm="1">
        <f t="array" ref="J63">Inputs!$C$28</f>
        <v>0.04</v>
      </c>
      <c r="K63" s="72" cm="1">
        <f t="array" ref="K63">Inputs!$C$28</f>
        <v>0.04</v>
      </c>
      <c r="L63" s="72" cm="1">
        <f t="array" ref="L63">Inputs!$C$28</f>
        <v>0.04</v>
      </c>
    </row>
    <row r="64" spans="2:14" ht="16.5" customHeight="1">
      <c r="B64" t="s">
        <v>218</v>
      </c>
      <c r="C64" s="73">
        <f>Inputs!$C$27/Inputs!$C$23*(1+C63)^1</f>
        <v>4.5020376929411771E-2</v>
      </c>
      <c r="D64" s="73">
        <f>Inputs!$C$27/Inputs!$C$23*(1+D63)^2</f>
        <v>4.6821192006588241E-2</v>
      </c>
      <c r="E64" s="73">
        <f>Inputs!$C$27/Inputs!$C$23*(1+E63)^3</f>
        <v>4.8694039686851771E-2</v>
      </c>
      <c r="F64" s="73">
        <f>Inputs!$C$27/Inputs!$C$23*(1+F63)^4</f>
        <v>5.0641801274325847E-2</v>
      </c>
      <c r="G64" s="73">
        <f>Inputs!$C$27/Inputs!$C$23*(1+G63)^5</f>
        <v>5.2667473325298891E-2</v>
      </c>
      <c r="H64" s="73">
        <f>Inputs!$C$27/Inputs!$C$23*(1+H63)^6</f>
        <v>5.4774172258310841E-2</v>
      </c>
      <c r="I64" s="73">
        <f>Inputs!$C$27/Inputs!$C$23*(1+I63)^7</f>
        <v>5.6965139148643269E-2</v>
      </c>
      <c r="J64" s="73">
        <f>Inputs!$C$27/Inputs!$C$23*(1+J63)^8</f>
        <v>5.9243744714589014E-2</v>
      </c>
      <c r="K64" s="73">
        <f>Inputs!$C$27/Inputs!$C$23*(1+K63)^9</f>
        <v>6.1613494503172578E-2</v>
      </c>
      <c r="L64" s="73">
        <f>Inputs!$C$27/Inputs!$C$23*(1+L63)^10</f>
        <v>6.4078034283299487E-2</v>
      </c>
      <c r="M64" s="73">
        <f t="shared" si="0"/>
        <v>0.54051946813049168</v>
      </c>
      <c r="N64" s="73">
        <f t="shared" si="1"/>
        <v>5.4051946813049166E-2</v>
      </c>
    </row>
    <row r="66" spans="2:14" ht="14.25" customHeight="1">
      <c r="B66" s="71" t="s">
        <v>220</v>
      </c>
    </row>
    <row r="67" spans="2:14" ht="16.5" customHeight="1">
      <c r="B67" t="s">
        <v>217</v>
      </c>
      <c r="C67" s="72" cm="1">
        <f t="array" ref="C67">Inputs!$C$28</f>
        <v>0.04</v>
      </c>
      <c r="D67" s="72" cm="1">
        <f t="array" ref="D67">Inputs!$C$28</f>
        <v>0.04</v>
      </c>
      <c r="E67" s="72" cm="1">
        <f t="array" ref="E67">Inputs!$C$28</f>
        <v>0.04</v>
      </c>
      <c r="F67" s="72" cm="1">
        <f t="array" ref="F67">Inputs!$C$28</f>
        <v>0.04</v>
      </c>
      <c r="G67" s="72" cm="1">
        <f t="array" ref="G67">Inputs!$C$28</f>
        <v>0.04</v>
      </c>
      <c r="H67" s="72" cm="1">
        <f t="array" ref="H67">Inputs!$C$28</f>
        <v>0.04</v>
      </c>
      <c r="I67" s="72" cm="1">
        <f t="array" ref="I67">Inputs!$C$28</f>
        <v>0.04</v>
      </c>
      <c r="J67" s="72" cm="1">
        <f t="array" ref="J67">Inputs!$C$28</f>
        <v>0.04</v>
      </c>
      <c r="K67" s="72" cm="1">
        <f t="array" ref="K67">Inputs!$C$28</f>
        <v>0.04</v>
      </c>
      <c r="L67" s="72" cm="1">
        <f t="array" ref="L67">Inputs!$C$28</f>
        <v>0.04</v>
      </c>
    </row>
    <row r="68" spans="2:14" ht="16.5" customHeight="1">
      <c r="B68" t="s">
        <v>218</v>
      </c>
      <c r="C68" s="73">
        <f>Inputs!$C$27/Inputs!$C$23*(1+C67)^1</f>
        <v>4.5020376929411771E-2</v>
      </c>
      <c r="D68" s="73">
        <f>Inputs!$C$27/Inputs!$C$23*(1+D67)^2</f>
        <v>4.6821192006588241E-2</v>
      </c>
      <c r="E68" s="73">
        <f>Inputs!$C$27/Inputs!$C$23*(1+E67)^3</f>
        <v>4.8694039686851771E-2</v>
      </c>
      <c r="F68" s="73">
        <f>Inputs!$C$27/Inputs!$C$23*(1+F67)^4</f>
        <v>5.0641801274325847E-2</v>
      </c>
      <c r="G68" s="73">
        <f>Inputs!$C$27/Inputs!$C$23*(1+G67)^5</f>
        <v>5.2667473325298891E-2</v>
      </c>
      <c r="H68" s="73">
        <f>Inputs!$C$27/Inputs!$C$23*(1+H67)^6</f>
        <v>5.4774172258310841E-2</v>
      </c>
      <c r="I68" s="73">
        <f>Inputs!$C$27/Inputs!$C$23*(1+I67)^7</f>
        <v>5.6965139148643269E-2</v>
      </c>
      <c r="J68" s="73">
        <f>Inputs!$C$27/Inputs!$C$23*(1+J67)^8</f>
        <v>5.9243744714589014E-2</v>
      </c>
      <c r="K68" s="73">
        <f>Inputs!$C$27/Inputs!$C$23*(1+K67)^9</f>
        <v>6.1613494503172578E-2</v>
      </c>
      <c r="L68" s="73">
        <f>Inputs!$C$27/Inputs!$C$23*(1+L67)^10</f>
        <v>6.4078034283299487E-2</v>
      </c>
      <c r="M68" s="73">
        <f t="shared" si="0"/>
        <v>0.54051946813049168</v>
      </c>
      <c r="N68" s="73">
        <f t="shared" si="1"/>
        <v>5.4051946813049166E-2</v>
      </c>
    </row>
    <row r="70" spans="2:14" ht="14.25" customHeight="1">
      <c r="B70" s="74" t="s">
        <v>221</v>
      </c>
    </row>
    <row r="71" spans="2:14" ht="15.75" customHeight="1">
      <c r="B71" s="68" t="s">
        <v>61</v>
      </c>
      <c r="C71" s="68" t="s">
        <v>222</v>
      </c>
      <c r="D71" s="68" t="s">
        <v>223</v>
      </c>
      <c r="E71" s="68" t="s">
        <v>224</v>
      </c>
    </row>
    <row r="72" spans="2:14" ht="16.5" customHeight="1">
      <c r="B72" s="69" t="s">
        <v>79</v>
      </c>
      <c r="C72" s="73" cm="1">
        <f t="array" ref="C72">M60</f>
        <v>0.54051946813049168</v>
      </c>
      <c r="D72" s="73" cm="1">
        <f t="array" ref="D72">N60</f>
        <v>5.4051946813049166E-2</v>
      </c>
      <c r="E72" s="73">
        <v>0</v>
      </c>
    </row>
    <row r="73" spans="2:14" ht="16.5" customHeight="1">
      <c r="B73" s="69" t="s">
        <v>77</v>
      </c>
      <c r="C73" s="73" cm="1">
        <f t="array" ref="C73">M64</f>
        <v>0.54051946813049168</v>
      </c>
      <c r="D73" s="73" cm="1">
        <f t="array" ref="D73">N64</f>
        <v>5.4051946813049166E-2</v>
      </c>
      <c r="E73" s="73">
        <f>C73-C72</f>
        <v>0</v>
      </c>
    </row>
    <row r="74" spans="2:14" ht="16.5" customHeight="1">
      <c r="B74" s="69" t="s">
        <v>78</v>
      </c>
      <c r="C74" s="73" cm="1">
        <f t="array" ref="C74">M68</f>
        <v>0.54051946813049168</v>
      </c>
      <c r="D74" s="73" cm="1">
        <f t="array" ref="D74">N68</f>
        <v>5.4051946813049166E-2</v>
      </c>
      <c r="E74" s="73">
        <f>C74-C72</f>
        <v>0</v>
      </c>
    </row>
    <row r="76" spans="2:14" ht="15.75" customHeight="1">
      <c r="B76" s="75" t="s">
        <v>225</v>
      </c>
    </row>
    <row r="77" spans="2:14" ht="14.25" customHeight="1">
      <c r="B77" s="67" t="s">
        <v>226</v>
      </c>
    </row>
    <row r="79" spans="2:14" ht="15.75" customHeight="1">
      <c r="B79" s="68" t="s">
        <v>64</v>
      </c>
      <c r="C79" s="68">
        <v>2025</v>
      </c>
      <c r="D79" s="68">
        <v>2026</v>
      </c>
      <c r="E79" s="68">
        <v>2027</v>
      </c>
      <c r="F79" s="68">
        <v>2028</v>
      </c>
      <c r="G79" s="68">
        <v>2029</v>
      </c>
      <c r="H79" s="68">
        <v>2030</v>
      </c>
      <c r="I79" s="68">
        <v>2031</v>
      </c>
      <c r="J79" s="68">
        <v>2032</v>
      </c>
      <c r="K79" s="68">
        <v>2033</v>
      </c>
      <c r="L79" s="68">
        <v>2034</v>
      </c>
      <c r="M79" s="68" t="s">
        <v>172</v>
      </c>
      <c r="N79" s="68" t="s">
        <v>55</v>
      </c>
    </row>
    <row r="81" spans="2:14" ht="14.25" customHeight="1">
      <c r="B81" s="71" t="s">
        <v>219</v>
      </c>
    </row>
    <row r="82" spans="2:14" ht="16.5" customHeight="1">
      <c r="B82" t="s">
        <v>227</v>
      </c>
      <c r="C82" s="73" cm="1">
        <f t="array" ref="C82">C23</f>
        <v>3.0773734022317569</v>
      </c>
      <c r="D82" s="73" cm="1">
        <f t="array" ref="D82">D23</f>
        <v>3.0773734022317569</v>
      </c>
      <c r="E82" s="73" cm="1">
        <f t="array" ref="E82">E23</f>
        <v>3.0773734022317569</v>
      </c>
      <c r="F82" s="73" cm="1">
        <f t="array" ref="F82">F23</f>
        <v>3.0773734022317569</v>
      </c>
      <c r="G82" s="73" cm="1">
        <f t="array" ref="G82">G23</f>
        <v>3.0773734022317569</v>
      </c>
      <c r="H82" s="73" cm="1">
        <f t="array" ref="H82">H23</f>
        <v>3.0773734022317569</v>
      </c>
      <c r="I82" s="73" cm="1">
        <f t="array" ref="I82">I23</f>
        <v>3.0773734022317569</v>
      </c>
      <c r="J82" s="73" cm="1">
        <f t="array" ref="J82">J23</f>
        <v>3.0773734022317569</v>
      </c>
      <c r="K82" s="73" cm="1">
        <f t="array" ref="K82">K23</f>
        <v>3.0773734022317569</v>
      </c>
      <c r="L82" s="73" cm="1">
        <f t="array" ref="L82">L23</f>
        <v>3.0773734022317569</v>
      </c>
      <c r="M82" s="73">
        <f t="shared" si="0"/>
        <v>30.773734022317569</v>
      </c>
      <c r="N82" t="s">
        <v>206</v>
      </c>
    </row>
    <row r="83" spans="2:14" ht="16.5" customHeight="1">
      <c r="B83" t="s">
        <v>228</v>
      </c>
      <c r="C83" s="73" cm="1">
        <f t="array" ref="C83">C18</f>
        <v>3.0773734022317569</v>
      </c>
      <c r="D83" s="73" cm="1">
        <f t="array" ref="D83">D18</f>
        <v>3.0773734022317569</v>
      </c>
      <c r="E83" s="73" cm="1">
        <f t="array" ref="E83">E18</f>
        <v>3.0773734022317569</v>
      </c>
      <c r="F83" s="73" cm="1">
        <f t="array" ref="F83">F18</f>
        <v>3.0773734022317569</v>
      </c>
      <c r="G83" s="73" cm="1">
        <f t="array" ref="G83">G18</f>
        <v>3.0773734022317569</v>
      </c>
      <c r="H83" s="73" cm="1">
        <f t="array" ref="H83">H18</f>
        <v>3.0773734022317569</v>
      </c>
      <c r="I83" s="73" cm="1">
        <f t="array" ref="I83">I18</f>
        <v>3.0773734022317569</v>
      </c>
      <c r="J83" s="73" cm="1">
        <f t="array" ref="J83">J18</f>
        <v>3.0773734022317569</v>
      </c>
      <c r="K83" s="73" cm="1">
        <f t="array" ref="K83">K18</f>
        <v>3.0773734022317569</v>
      </c>
      <c r="L83" s="73" cm="1">
        <f t="array" ref="L83">L18</f>
        <v>3.0773734022317569</v>
      </c>
      <c r="M83" s="73">
        <f t="shared" si="0"/>
        <v>30.773734022317569</v>
      </c>
      <c r="N83" t="s">
        <v>206</v>
      </c>
    </row>
    <row r="84" spans="2:14" ht="16.5" customHeight="1">
      <c r="B84" t="s">
        <v>229</v>
      </c>
      <c r="C84" s="73">
        <f t="shared" ref="C84:L84" si="6">C64-C60</f>
        <v>0</v>
      </c>
      <c r="D84" s="73">
        <f t="shared" si="6"/>
        <v>0</v>
      </c>
      <c r="E84" s="73">
        <f t="shared" si="6"/>
        <v>0</v>
      </c>
      <c r="F84" s="73">
        <f t="shared" si="6"/>
        <v>0</v>
      </c>
      <c r="G84" s="73">
        <f t="shared" si="6"/>
        <v>0</v>
      </c>
      <c r="H84" s="73">
        <f t="shared" si="6"/>
        <v>0</v>
      </c>
      <c r="I84" s="73">
        <f t="shared" si="6"/>
        <v>0</v>
      </c>
      <c r="J84" s="73">
        <f t="shared" si="6"/>
        <v>0</v>
      </c>
      <c r="K84" s="73">
        <f t="shared" si="6"/>
        <v>0</v>
      </c>
      <c r="L84" s="73">
        <f t="shared" si="6"/>
        <v>0</v>
      </c>
      <c r="M84" s="73">
        <f t="shared" si="0"/>
        <v>0</v>
      </c>
      <c r="N84" t="s">
        <v>206</v>
      </c>
    </row>
    <row r="85" spans="2:14" ht="16.5" customHeight="1">
      <c r="B85" t="s">
        <v>230</v>
      </c>
      <c r="C85" s="73">
        <f t="shared" ref="C85:L91" si="7">C82+C83-C84</f>
        <v>6.1547468044635139</v>
      </c>
      <c r="D85" s="73">
        <f t="shared" si="7"/>
        <v>6.1547468044635139</v>
      </c>
      <c r="E85" s="73">
        <f t="shared" si="7"/>
        <v>6.1547468044635139</v>
      </c>
      <c r="F85" s="73">
        <f t="shared" si="7"/>
        <v>6.1547468044635139</v>
      </c>
      <c r="G85" s="73">
        <f t="shared" si="7"/>
        <v>6.1547468044635139</v>
      </c>
      <c r="H85" s="73">
        <f t="shared" si="7"/>
        <v>6.1547468044635139</v>
      </c>
      <c r="I85" s="73">
        <f t="shared" si="7"/>
        <v>6.1547468044635139</v>
      </c>
      <c r="J85" s="73">
        <f t="shared" si="7"/>
        <v>6.1547468044635139</v>
      </c>
      <c r="K85" s="73">
        <f t="shared" si="7"/>
        <v>6.1547468044635139</v>
      </c>
      <c r="L85" s="73">
        <f t="shared" si="7"/>
        <v>6.1547468044635139</v>
      </c>
      <c r="M85" s="73">
        <f t="shared" si="0"/>
        <v>61.547468044635139</v>
      </c>
      <c r="N85" s="73">
        <f>NPV(Inputs!$C$6,C85:L85)</f>
        <v>37.818254758647505</v>
      </c>
    </row>
    <row r="87" spans="2:14" ht="14.25" customHeight="1">
      <c r="B87" s="71" t="s">
        <v>220</v>
      </c>
    </row>
    <row r="88" spans="2:14" ht="16.5" customHeight="1">
      <c r="B88" t="s">
        <v>227</v>
      </c>
      <c r="C88" s="73" cm="1">
        <f t="array" ref="C88">C24</f>
        <v>6.8030393786542991</v>
      </c>
      <c r="D88" s="73" cm="1">
        <f t="array" ref="D88">D24</f>
        <v>6.8030393786542991</v>
      </c>
      <c r="E88" s="73" cm="1">
        <f t="array" ref="E88">E24</f>
        <v>6.8030393786542991</v>
      </c>
      <c r="F88" s="73" cm="1">
        <f t="array" ref="F88">F24</f>
        <v>6.8030393786542991</v>
      </c>
      <c r="G88" s="73" cm="1">
        <f t="array" ref="G88">G24</f>
        <v>6.8030393786542991</v>
      </c>
      <c r="H88" s="73" cm="1">
        <f t="array" ref="H88">H24</f>
        <v>6.8030393786542991</v>
      </c>
      <c r="I88" s="73" cm="1">
        <f t="array" ref="I88">I24</f>
        <v>6.8030393786542991</v>
      </c>
      <c r="J88" s="73" cm="1">
        <f t="array" ref="J88">J24</f>
        <v>6.8030393786542991</v>
      </c>
      <c r="K88" s="73" cm="1">
        <f t="array" ref="K88">K24</f>
        <v>6.8030393786542991</v>
      </c>
      <c r="L88" s="73" cm="1">
        <f t="array" ref="L88">L24</f>
        <v>6.8030393786542991</v>
      </c>
      <c r="M88" s="73">
        <f t="shared" si="0"/>
        <v>68.030393786542987</v>
      </c>
      <c r="N88" t="s">
        <v>206</v>
      </c>
    </row>
    <row r="89" spans="2:14" ht="16.5" customHeight="1">
      <c r="B89" t="s">
        <v>228</v>
      </c>
      <c r="C89" s="73" cm="1">
        <f t="array" ref="C89">C19</f>
        <v>6.8030393786542991</v>
      </c>
      <c r="D89" s="73" cm="1">
        <f t="array" ref="D89">D19</f>
        <v>6.8030393786542991</v>
      </c>
      <c r="E89" s="73" cm="1">
        <f t="array" ref="E89">E19</f>
        <v>6.8030393786542991</v>
      </c>
      <c r="F89" s="73" cm="1">
        <f t="array" ref="F89">F19</f>
        <v>6.8030393786542991</v>
      </c>
      <c r="G89" s="73" cm="1">
        <f t="array" ref="G89">G19</f>
        <v>6.8030393786542991</v>
      </c>
      <c r="H89" s="73" cm="1">
        <f t="array" ref="H89">H19</f>
        <v>6.8030393786542991</v>
      </c>
      <c r="I89" s="73" cm="1">
        <f t="array" ref="I89">I19</f>
        <v>6.8030393786542991</v>
      </c>
      <c r="J89" s="73" cm="1">
        <f t="array" ref="J89">J19</f>
        <v>6.8030393786542991</v>
      </c>
      <c r="K89" s="73" cm="1">
        <f t="array" ref="K89">K19</f>
        <v>6.8030393786542991</v>
      </c>
      <c r="L89" s="73" cm="1">
        <f t="array" ref="L89">L19</f>
        <v>6.8030393786542991</v>
      </c>
      <c r="M89" s="73">
        <f t="shared" si="0"/>
        <v>68.030393786542987</v>
      </c>
      <c r="N89" t="s">
        <v>206</v>
      </c>
    </row>
    <row r="90" spans="2:14" ht="16.5" customHeight="1">
      <c r="B90" t="s">
        <v>229</v>
      </c>
      <c r="C90" s="73">
        <f t="shared" ref="C90:L90" si="8">C68-C60</f>
        <v>0</v>
      </c>
      <c r="D90" s="73">
        <f t="shared" si="8"/>
        <v>0</v>
      </c>
      <c r="E90" s="73">
        <f t="shared" si="8"/>
        <v>0</v>
      </c>
      <c r="F90" s="73">
        <f t="shared" si="8"/>
        <v>0</v>
      </c>
      <c r="G90" s="73">
        <f t="shared" si="8"/>
        <v>0</v>
      </c>
      <c r="H90" s="73">
        <f t="shared" si="8"/>
        <v>0</v>
      </c>
      <c r="I90" s="73">
        <f t="shared" si="8"/>
        <v>0</v>
      </c>
      <c r="J90" s="73">
        <f t="shared" si="8"/>
        <v>0</v>
      </c>
      <c r="K90" s="73">
        <f t="shared" si="8"/>
        <v>0</v>
      </c>
      <c r="L90" s="73">
        <f t="shared" si="8"/>
        <v>0</v>
      </c>
      <c r="M90" s="73">
        <f t="shared" si="0"/>
        <v>0</v>
      </c>
      <c r="N90" t="s">
        <v>206</v>
      </c>
    </row>
    <row r="91" spans="2:14" ht="16.5" customHeight="1">
      <c r="B91" t="s">
        <v>230</v>
      </c>
      <c r="C91" s="73">
        <f t="shared" si="7"/>
        <v>13.606078757308598</v>
      </c>
      <c r="D91" s="73">
        <f t="shared" si="7"/>
        <v>13.606078757308598</v>
      </c>
      <c r="E91" s="73">
        <f t="shared" si="7"/>
        <v>13.606078757308598</v>
      </c>
      <c r="F91" s="73">
        <f t="shared" si="7"/>
        <v>13.606078757308598</v>
      </c>
      <c r="G91" s="73">
        <f t="shared" si="7"/>
        <v>13.606078757308598</v>
      </c>
      <c r="H91" s="73">
        <f t="shared" si="7"/>
        <v>13.606078757308598</v>
      </c>
      <c r="I91" s="73">
        <f t="shared" si="7"/>
        <v>13.606078757308598</v>
      </c>
      <c r="J91" s="73">
        <f t="shared" si="7"/>
        <v>13.606078757308598</v>
      </c>
      <c r="K91" s="73">
        <f t="shared" si="7"/>
        <v>13.606078757308598</v>
      </c>
      <c r="L91" s="73">
        <f t="shared" si="7"/>
        <v>13.606078757308598</v>
      </c>
      <c r="M91" s="73">
        <f t="shared" si="0"/>
        <v>136.06078757308597</v>
      </c>
      <c r="N91" s="73">
        <f>NPV(Inputs!$C$6,C91:L91)</f>
        <v>83.603463969785622</v>
      </c>
    </row>
    <row r="93" spans="2:14" ht="14.25" customHeight="1">
      <c r="B93" s="74" t="s">
        <v>231</v>
      </c>
    </row>
    <row r="94" spans="2:14" ht="15.75" customHeight="1">
      <c r="B94" s="68" t="s">
        <v>61</v>
      </c>
      <c r="C94" s="68" t="s">
        <v>232</v>
      </c>
      <c r="D94" s="68" t="s">
        <v>55</v>
      </c>
      <c r="E94" s="68" t="s">
        <v>233</v>
      </c>
    </row>
    <row r="95" spans="2:14" ht="16.5" customHeight="1">
      <c r="B95" s="69" t="s">
        <v>234</v>
      </c>
      <c r="C95" s="73">
        <v>0</v>
      </c>
      <c r="D95" s="73">
        <v>0</v>
      </c>
      <c r="E95" s="73">
        <v>0</v>
      </c>
    </row>
    <row r="96" spans="2:14" ht="16.5" customHeight="1">
      <c r="B96" s="69" t="s">
        <v>235</v>
      </c>
      <c r="C96" s="73" cm="1">
        <f t="array" ref="C96">M85</f>
        <v>61.547468044635139</v>
      </c>
      <c r="D96" s="73" cm="1">
        <f t="array" ref="D96">N85</f>
        <v>37.818254758647505</v>
      </c>
      <c r="E96" s="73">
        <f>D96-D95</f>
        <v>37.818254758647505</v>
      </c>
    </row>
    <row r="97" spans="2:5" ht="16.5" customHeight="1">
      <c r="B97" s="69" t="s">
        <v>236</v>
      </c>
      <c r="C97" s="73" cm="1">
        <f t="array" ref="C97">M91</f>
        <v>136.06078757308597</v>
      </c>
      <c r="D97" s="73" cm="1">
        <f t="array" ref="D97">N91</f>
        <v>83.603463969785622</v>
      </c>
      <c r="E97" s="73">
        <f>D97-D95</f>
        <v>83.603463969785622</v>
      </c>
    </row>
    <row r="99" spans="2:5" ht="14.25" customHeight="1">
      <c r="B99" s="76" t="s">
        <v>237</v>
      </c>
    </row>
    <row r="100" spans="2:5" ht="14.25" customHeight="1">
      <c r="B100" s="67" t="s">
        <v>238</v>
      </c>
    </row>
    <row r="101" spans="2:5" ht="14.25" customHeight="1">
      <c r="B101" s="67" t="s">
        <v>239</v>
      </c>
    </row>
  </sheetData>
  <sheetProtection algorithmName="SHA-512" hashValue="/UP6YurgQL6Lpnr6Bi9MVYz9GYYmG69F8nhbWNNjH1VXQpvlQMTBtpftugTRfdTWpaDA8a2kVzGiuMKFhgVydA==" saltValue="M7CKdouDP0oN7K/FcStOIg==" spinCount="100000" sheet="1" objects="1" scenarios="1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05B8-8758-F8F8-C0E8-037DBB7BDEFA}">
  <dimension ref="B2:M40"/>
  <sheetViews>
    <sheetView showGridLines="0" topLeftCell="A21" workbookViewId="0">
      <selection activeCell="E15" sqref="E15"/>
    </sheetView>
  </sheetViews>
  <sheetFormatPr defaultColWidth="7.796875" defaultRowHeight="15" customHeight="1"/>
  <cols>
    <col min="1" max="1" width="5" customWidth="1"/>
    <col min="2" max="2" width="27.5" customWidth="1"/>
    <col min="3" max="3" width="22.59765625" customWidth="1"/>
    <col min="4" max="13" width="14.3984375" customWidth="1"/>
  </cols>
  <sheetData>
    <row r="2" spans="2:13" ht="18.75" customHeight="1">
      <c r="B2" s="31" t="s">
        <v>240</v>
      </c>
    </row>
    <row r="3" spans="2:13" ht="15.75" customHeight="1">
      <c r="B3" s="32" t="s">
        <v>241</v>
      </c>
    </row>
    <row r="5" spans="2:13" ht="16.5" customHeight="1">
      <c r="B5" s="34" t="s">
        <v>242</v>
      </c>
      <c r="C5" s="8" cm="1">
        <f t="array" ref="C5">Depreciation_Scenario_Analysis!H30</f>
        <v>515364283775</v>
      </c>
    </row>
    <row r="6" spans="2:13" ht="16.5" customHeight="1">
      <c r="C6" s="53" cm="1">
        <f t="array" ref="C6">Inputs!$C$5</f>
        <v>0.22</v>
      </c>
    </row>
    <row r="7" spans="2:13" ht="15.75" customHeight="1">
      <c r="B7" s="33" t="s">
        <v>243</v>
      </c>
    </row>
    <row r="8" spans="2:13" ht="15.75" customHeight="1">
      <c r="B8" s="36" t="s">
        <v>244</v>
      </c>
      <c r="C8" s="36">
        <v>2024</v>
      </c>
      <c r="D8" s="47">
        <v>2025</v>
      </c>
      <c r="E8" s="47">
        <v>2026</v>
      </c>
      <c r="F8" s="47">
        <v>2027</v>
      </c>
      <c r="G8" s="47">
        <v>2028</v>
      </c>
      <c r="H8" s="47">
        <v>2029</v>
      </c>
      <c r="I8" s="47">
        <v>2030</v>
      </c>
      <c r="J8" s="47">
        <v>2031</v>
      </c>
      <c r="K8" s="47">
        <v>2032</v>
      </c>
      <c r="L8" s="47">
        <v>2033</v>
      </c>
      <c r="M8" s="47">
        <v>2034</v>
      </c>
    </row>
    <row r="9" spans="2:13" ht="16.5" customHeight="1">
      <c r="B9" s="37" t="s">
        <v>187</v>
      </c>
      <c r="C9" s="55">
        <f>C5/Inputs!$C$23</f>
        <v>515.36428377499999</v>
      </c>
      <c r="D9" s="54">
        <f>C9-Financial_Impact_Dashboard!D12</f>
        <v>501.46461068299999</v>
      </c>
      <c r="E9" s="54">
        <f>D9-Financial_Impact_Dashboard!E12</f>
        <v>487.56493759099999</v>
      </c>
      <c r="F9" s="54">
        <f>E9-Financial_Impact_Dashboard!F12</f>
        <v>473.66526449899999</v>
      </c>
      <c r="G9" s="54">
        <f>F9-Financial_Impact_Dashboard!G12</f>
        <v>459.76559140699999</v>
      </c>
      <c r="H9" s="54">
        <f>G9-Financial_Impact_Dashboard!H12</f>
        <v>445.86591831499999</v>
      </c>
      <c r="I9" s="54">
        <f>H9-Financial_Impact_Dashboard!I12</f>
        <v>431.96624522299999</v>
      </c>
      <c r="J9" s="54">
        <f>I9-Financial_Impact_Dashboard!J12</f>
        <v>418.06657213099999</v>
      </c>
      <c r="K9" s="54">
        <f>J9-Financial_Impact_Dashboard!K12</f>
        <v>404.16689903899999</v>
      </c>
      <c r="L9" s="54">
        <f>K9-Financial_Impact_Dashboard!L12</f>
        <v>390.26722594699999</v>
      </c>
      <c r="M9" s="54">
        <f>L9-Financial_Impact_Dashboard!M12</f>
        <v>251.27049502699998</v>
      </c>
    </row>
    <row r="10" spans="2:13" ht="16.5" customHeight="1">
      <c r="B10" s="37" t="s">
        <v>77</v>
      </c>
      <c r="C10" s="55">
        <f>C5/Inputs!$C$23</f>
        <v>515.36428377499999</v>
      </c>
      <c r="D10" s="54">
        <f>C10-Financial_Impact_Dashboard!D13</f>
        <v>504.54198408523177</v>
      </c>
      <c r="E10" s="54">
        <f>D10-Financial_Impact_Dashboard!E13</f>
        <v>493.71968439546356</v>
      </c>
      <c r="F10" s="54">
        <f>E10-Financial_Impact_Dashboard!F13</f>
        <v>482.89738470569534</v>
      </c>
      <c r="G10" s="54">
        <f>F10-Financial_Impact_Dashboard!G13</f>
        <v>472.07508501592713</v>
      </c>
      <c r="H10" s="54">
        <f>G10-Financial_Impact_Dashboard!H13</f>
        <v>461.25278532615891</v>
      </c>
      <c r="I10" s="54">
        <f>H10-Financial_Impact_Dashboard!I13</f>
        <v>450.4304856363907</v>
      </c>
      <c r="J10" s="54">
        <f>I10-Financial_Impact_Dashboard!J13</f>
        <v>439.60818594662248</v>
      </c>
      <c r="K10" s="54">
        <f>J10-Financial_Impact_Dashboard!K13</f>
        <v>428.78588625685427</v>
      </c>
      <c r="L10" s="54">
        <f>K10-Financial_Impact_Dashboard!L13</f>
        <v>417.96358656708605</v>
      </c>
      <c r="M10" s="54">
        <f>L10-Financial_Impact_Dashboard!M13</f>
        <v>309.74058966940362</v>
      </c>
    </row>
    <row r="11" spans="2:13" ht="16.5" customHeight="1">
      <c r="B11" s="37" t="s">
        <v>78</v>
      </c>
      <c r="C11" s="55">
        <f>C5/Inputs!$C$23</f>
        <v>515.36428377499999</v>
      </c>
      <c r="D11" s="54">
        <f>C11-Financial_Impact_Dashboard!D14</f>
        <v>508.26765006165431</v>
      </c>
      <c r="E11" s="54">
        <f>D11-Financial_Impact_Dashboard!E14</f>
        <v>501.17101634830863</v>
      </c>
      <c r="F11" s="54">
        <f>E11-Financial_Impact_Dashboard!F14</f>
        <v>494.07438263496294</v>
      </c>
      <c r="G11" s="54">
        <f>F11-Financial_Impact_Dashboard!G14</f>
        <v>486.97774892161726</v>
      </c>
      <c r="H11" s="54">
        <f>G11-Financial_Impact_Dashboard!H14</f>
        <v>479.88111520827158</v>
      </c>
      <c r="I11" s="54">
        <f>H11-Financial_Impact_Dashboard!I14</f>
        <v>472.7844814949259</v>
      </c>
      <c r="J11" s="54">
        <f>I11-Financial_Impact_Dashboard!J14</f>
        <v>465.68784778158022</v>
      </c>
      <c r="K11" s="54">
        <f>J11-Financial_Impact_Dashboard!K14</f>
        <v>458.59121406823454</v>
      </c>
      <c r="L11" s="54">
        <f>K11-Financial_Impact_Dashboard!L14</f>
        <v>451.49458035488885</v>
      </c>
      <c r="M11" s="54">
        <f>L11-Financial_Impact_Dashboard!M14</f>
        <v>380.52824322143181</v>
      </c>
    </row>
    <row r="13" spans="2:13" ht="15.75" customHeight="1">
      <c r="B13" s="33" t="s">
        <v>245</v>
      </c>
    </row>
    <row r="14" spans="2:13" ht="15.75" customHeight="1">
      <c r="B14" s="36" t="s">
        <v>244</v>
      </c>
      <c r="C14" s="36">
        <v>2024</v>
      </c>
      <c r="D14" s="47">
        <v>2025</v>
      </c>
      <c r="E14" s="47">
        <v>2026</v>
      </c>
      <c r="F14" s="47">
        <v>2027</v>
      </c>
      <c r="G14" s="47">
        <v>2028</v>
      </c>
      <c r="H14" s="47">
        <v>2029</v>
      </c>
      <c r="I14" s="47">
        <v>2030</v>
      </c>
      <c r="J14" s="47">
        <v>2031</v>
      </c>
      <c r="K14" s="47">
        <v>2032</v>
      </c>
      <c r="L14" s="47">
        <v>2033</v>
      </c>
      <c r="M14" s="47">
        <v>2034</v>
      </c>
    </row>
    <row r="15" spans="2:13" ht="16.5" customHeight="1">
      <c r="B15" s="49" t="s">
        <v>246</v>
      </c>
      <c r="C15" s="77">
        <v>0</v>
      </c>
      <c r="D15" s="56">
        <f t="shared" ref="D15:M15" si="0">D10-D9</f>
        <v>3.0773734022317853</v>
      </c>
      <c r="E15" s="56">
        <f t="shared" si="0"/>
        <v>6.1547468044635707</v>
      </c>
      <c r="F15" s="56">
        <f t="shared" si="0"/>
        <v>9.232120206695356</v>
      </c>
      <c r="G15" s="56">
        <f t="shared" si="0"/>
        <v>12.309493608927141</v>
      </c>
      <c r="H15" s="56">
        <f t="shared" si="0"/>
        <v>15.386867011158927</v>
      </c>
      <c r="I15" s="56">
        <f t="shared" si="0"/>
        <v>18.464240413390712</v>
      </c>
      <c r="J15" s="56">
        <f t="shared" si="0"/>
        <v>21.541613815622497</v>
      </c>
      <c r="K15" s="56">
        <f t="shared" si="0"/>
        <v>24.618987217854283</v>
      </c>
      <c r="L15" s="56">
        <f t="shared" si="0"/>
        <v>27.696360620086068</v>
      </c>
      <c r="M15" s="56">
        <f t="shared" si="0"/>
        <v>58.470094642403637</v>
      </c>
    </row>
    <row r="16" spans="2:13" ht="16.5" customHeight="1">
      <c r="B16" s="49" t="s">
        <v>247</v>
      </c>
      <c r="C16" s="77">
        <v>0</v>
      </c>
      <c r="D16" s="56">
        <f t="shared" ref="D16:M16" si="1">D11-D9</f>
        <v>6.8030393786543186</v>
      </c>
      <c r="E16" s="56">
        <f t="shared" si="1"/>
        <v>13.606078757308637</v>
      </c>
      <c r="F16" s="56">
        <f t="shared" si="1"/>
        <v>20.409118135962956</v>
      </c>
      <c r="G16" s="56">
        <f t="shared" si="1"/>
        <v>27.212157514617275</v>
      </c>
      <c r="H16" s="56">
        <f t="shared" si="1"/>
        <v>34.015196893271593</v>
      </c>
      <c r="I16" s="56">
        <f t="shared" si="1"/>
        <v>40.818236271925912</v>
      </c>
      <c r="J16" s="56">
        <f t="shared" si="1"/>
        <v>47.62127565058023</v>
      </c>
      <c r="K16" s="56">
        <f t="shared" si="1"/>
        <v>54.424315029234549</v>
      </c>
      <c r="L16" s="56">
        <f t="shared" si="1"/>
        <v>61.227354407888868</v>
      </c>
      <c r="M16" s="56">
        <f t="shared" si="1"/>
        <v>129.25774819443183</v>
      </c>
    </row>
    <row r="18" spans="2:13" ht="15.75" customHeight="1">
      <c r="B18" s="33" t="s">
        <v>248</v>
      </c>
    </row>
    <row r="19" spans="2:13" ht="16.5" customHeight="1">
      <c r="B19" s="37" t="s">
        <v>249</v>
      </c>
      <c r="C19" s="41" cm="1">
        <f t="array" ref="C19">Financial_Statements!J106</f>
        <v>6307801908803</v>
      </c>
    </row>
    <row r="20" spans="2:13" ht="16.5" customHeight="1">
      <c r="B20" s="37" t="s">
        <v>250</v>
      </c>
      <c r="C20" s="41" cm="1">
        <f t="array" ref="C20">C5</f>
        <v>515364283775</v>
      </c>
    </row>
    <row r="21" spans="2:13" ht="16.5" customHeight="1">
      <c r="B21" s="37" t="s">
        <v>251</v>
      </c>
      <c r="C21" s="41">
        <f>C19-C20</f>
        <v>5792437625028</v>
      </c>
    </row>
    <row r="23" spans="2:13" ht="15.75" customHeight="1">
      <c r="B23" s="33" t="s">
        <v>252</v>
      </c>
    </row>
    <row r="24" spans="2:13" ht="15.75" customHeight="1">
      <c r="B24" s="36" t="s">
        <v>61</v>
      </c>
      <c r="C24" s="36"/>
      <c r="D24" s="47">
        <v>2025</v>
      </c>
      <c r="E24" s="47">
        <v>2026</v>
      </c>
      <c r="F24" s="47">
        <v>2027</v>
      </c>
      <c r="G24" s="47">
        <v>2028</v>
      </c>
      <c r="H24" s="47">
        <v>2029</v>
      </c>
      <c r="I24" s="47">
        <v>2030</v>
      </c>
      <c r="J24" s="47">
        <v>2031</v>
      </c>
      <c r="K24" s="47">
        <v>2032</v>
      </c>
      <c r="L24" s="47">
        <v>2033</v>
      </c>
      <c r="M24" s="47">
        <v>2034</v>
      </c>
    </row>
    <row r="25" spans="2:13" ht="16.5" customHeight="1">
      <c r="B25" s="37" t="s">
        <v>187</v>
      </c>
      <c r="C25" s="37"/>
      <c r="D25" s="55">
        <f>($C$21/Inputs!$C$23)+D9</f>
        <v>6293.9022357109998</v>
      </c>
      <c r="E25" s="55">
        <f>($C$21/Inputs!$C$23)+E9</f>
        <v>6280.0025626189999</v>
      </c>
      <c r="F25" s="55">
        <f>($C$21/Inputs!$C$23)+F9</f>
        <v>6266.1028895270001</v>
      </c>
      <c r="G25" s="55">
        <f>($C$21/Inputs!$C$23)+G9</f>
        <v>6252.2032164350003</v>
      </c>
      <c r="H25" s="55">
        <f>($C$21/Inputs!$C$23)+H9</f>
        <v>6238.3035433430005</v>
      </c>
      <c r="I25" s="55">
        <f>($C$21/Inputs!$C$23)+I9</f>
        <v>6224.4038702510006</v>
      </c>
      <c r="J25" s="55">
        <f>($C$21/Inputs!$C$23)+J9</f>
        <v>6210.5041971589999</v>
      </c>
      <c r="K25" s="55">
        <f>($C$21/Inputs!$C$23)+K9</f>
        <v>6196.6045240670001</v>
      </c>
      <c r="L25" s="55">
        <f>($C$21/Inputs!$C$23)+L9</f>
        <v>6182.7048509750002</v>
      </c>
      <c r="M25" s="55">
        <f>($C$21/Inputs!$C$23)+M9</f>
        <v>6043.7081200550001</v>
      </c>
    </row>
    <row r="26" spans="2:13" ht="16.5" customHeight="1">
      <c r="B26" s="37" t="s">
        <v>77</v>
      </c>
      <c r="C26" s="37"/>
      <c r="D26" s="55">
        <f>($C$21/Inputs!$C$23)+D10</f>
        <v>6296.9796091132321</v>
      </c>
      <c r="E26" s="55">
        <f>($C$21/Inputs!$C$23)+E10</f>
        <v>6286.1573094234636</v>
      </c>
      <c r="F26" s="55">
        <f>($C$21/Inputs!$C$23)+F10</f>
        <v>6275.3350097336952</v>
      </c>
      <c r="G26" s="55">
        <f>($C$21/Inputs!$C$23)+G10</f>
        <v>6264.5127100439277</v>
      </c>
      <c r="H26" s="55">
        <f>($C$21/Inputs!$C$23)+H10</f>
        <v>6253.6904103541592</v>
      </c>
      <c r="I26" s="55">
        <f>($C$21/Inputs!$C$23)+I10</f>
        <v>6242.8681106643908</v>
      </c>
      <c r="J26" s="55">
        <f>($C$21/Inputs!$C$23)+J10</f>
        <v>6232.0458109746223</v>
      </c>
      <c r="K26" s="55">
        <f>($C$21/Inputs!$C$23)+K10</f>
        <v>6221.2235112848548</v>
      </c>
      <c r="L26" s="55">
        <f>($C$21/Inputs!$C$23)+L10</f>
        <v>6210.4012115950864</v>
      </c>
      <c r="M26" s="55">
        <f>($C$21/Inputs!$C$23)+M10</f>
        <v>6102.1782146974037</v>
      </c>
    </row>
    <row r="27" spans="2:13" ht="16.5" customHeight="1">
      <c r="B27" s="37" t="s">
        <v>78</v>
      </c>
      <c r="C27" s="37"/>
      <c r="D27" s="55">
        <f>($C$21/Inputs!$C$23)+D11</f>
        <v>6300.7052750896546</v>
      </c>
      <c r="E27" s="55">
        <f>($C$21/Inputs!$C$23)+E11</f>
        <v>6293.6086413763087</v>
      </c>
      <c r="F27" s="55">
        <f>($C$21/Inputs!$C$23)+F11</f>
        <v>6286.5120076629628</v>
      </c>
      <c r="G27" s="55">
        <f>($C$21/Inputs!$C$23)+G11</f>
        <v>6279.4153739496178</v>
      </c>
      <c r="H27" s="55">
        <f>($C$21/Inputs!$C$23)+H11</f>
        <v>6272.3187402362719</v>
      </c>
      <c r="I27" s="55">
        <f>($C$21/Inputs!$C$23)+I11</f>
        <v>6265.222106522926</v>
      </c>
      <c r="J27" s="55">
        <f>-($C$21/Inputs!$C$23)+J11</f>
        <v>-5326.7497772464203</v>
      </c>
      <c r="K27" s="55">
        <f>($C$21/Inputs!$C$23)+K11</f>
        <v>6251.0288390962351</v>
      </c>
      <c r="L27" s="55">
        <f>($C$21/Inputs!$C$23)+L11</f>
        <v>6243.9322053828892</v>
      </c>
      <c r="M27" s="55">
        <f>($C$21/Inputs!$C$23)+M11</f>
        <v>6172.9658682494319</v>
      </c>
    </row>
    <row r="29" spans="2:13" ht="15.75" customHeight="1">
      <c r="B29" s="33" t="s">
        <v>253</v>
      </c>
    </row>
    <row r="30" spans="2:13" ht="15.75" customHeight="1">
      <c r="B30" s="36" t="s">
        <v>76</v>
      </c>
      <c r="C30" s="36" t="s">
        <v>52</v>
      </c>
      <c r="D30" s="36" t="s">
        <v>77</v>
      </c>
      <c r="E30" s="36" t="s">
        <v>78</v>
      </c>
      <c r="F30" s="36" t="s">
        <v>254</v>
      </c>
      <c r="G30" s="36" t="s">
        <v>255</v>
      </c>
    </row>
    <row r="31" spans="2:13" ht="16.5" customHeight="1">
      <c r="B31" s="37" t="s">
        <v>256</v>
      </c>
      <c r="C31" s="55" cm="1">
        <f t="array" ref="C31">M9</f>
        <v>251.27049502699998</v>
      </c>
      <c r="D31" s="55" cm="1">
        <f t="array" ref="D31">M10</f>
        <v>309.74058966940362</v>
      </c>
      <c r="E31" s="55" cm="1">
        <f t="array" ref="E31">M11</f>
        <v>380.52824322143181</v>
      </c>
      <c r="F31" s="55">
        <f t="shared" ref="F31:F33" si="2">D31-C31</f>
        <v>58.470094642403637</v>
      </c>
      <c r="G31" s="55">
        <f t="shared" ref="G31:G33" si="3">E31-C31</f>
        <v>129.25774819443183</v>
      </c>
    </row>
    <row r="32" spans="2:13" ht="16.5" customHeight="1">
      <c r="B32" s="37" t="s">
        <v>257</v>
      </c>
      <c r="C32" s="55" cm="1">
        <f t="array" ref="C32">M25</f>
        <v>6043.7081200550001</v>
      </c>
      <c r="D32" s="55" cm="1">
        <f t="array" ref="D32">M26</f>
        <v>6102.1782146974037</v>
      </c>
      <c r="E32" s="55" cm="1">
        <f t="array" ref="E32">M27</f>
        <v>6172.9658682494319</v>
      </c>
      <c r="F32" s="55">
        <f t="shared" si="2"/>
        <v>58.470094642403637</v>
      </c>
      <c r="G32" s="55">
        <f t="shared" si="3"/>
        <v>129.25774819443177</v>
      </c>
    </row>
    <row r="33" spans="2:7" ht="16.5" customHeight="1">
      <c r="B33" s="37" t="s">
        <v>258</v>
      </c>
      <c r="C33" s="60">
        <f t="shared" ref="C33:E33" si="4">C31/C32</f>
        <v>4.1575550975600943E-2</v>
      </c>
      <c r="D33" s="60">
        <f t="shared" si="4"/>
        <v>5.075902059421631E-2</v>
      </c>
      <c r="E33" s="60">
        <f t="shared" si="4"/>
        <v>6.1644313502310741E-2</v>
      </c>
      <c r="F33" s="60">
        <f t="shared" si="2"/>
        <v>9.1834696186153669E-3</v>
      </c>
      <c r="G33" s="60">
        <f t="shared" si="3"/>
        <v>2.0068762526709798E-2</v>
      </c>
    </row>
    <row r="35" spans="2:7" ht="15.75" customHeight="1">
      <c r="B35" s="33" t="s">
        <v>259</v>
      </c>
    </row>
    <row r="36" spans="2:7" ht="14.25" customHeight="1">
      <c r="B36" s="34" t="s">
        <v>260</v>
      </c>
    </row>
    <row r="37" spans="2:7" ht="14.25" customHeight="1">
      <c r="B37" s="63" t="s">
        <v>261</v>
      </c>
      <c r="C37" s="63" t="s">
        <v>262</v>
      </c>
    </row>
    <row r="38" spans="2:7" ht="14.25" customHeight="1">
      <c r="B38" s="63" t="s">
        <v>263</v>
      </c>
      <c r="C38" s="63" t="s">
        <v>264</v>
      </c>
    </row>
    <row r="39" spans="2:7" ht="14.25" customHeight="1">
      <c r="B39" s="63" t="s">
        <v>265</v>
      </c>
      <c r="C39" s="63" t="s">
        <v>266</v>
      </c>
    </row>
    <row r="40" spans="2:7" ht="14.25" customHeight="1">
      <c r="B40" s="63" t="s">
        <v>267</v>
      </c>
      <c r="C40" s="63" t="s">
        <v>268</v>
      </c>
    </row>
  </sheetData>
  <sheetProtection algorithmName="SHA-512" hashValue="AUCx+m7kGm6J1j4Ee6lPZS/Kp5Kse+ATrf3GIBOFnr2Xvj/t+i31B6QyPLpBZmJ1RGJuXJO2XEQZU2a0jdXk0Q==" saltValue="73/OX5ITcp8pK4BRSYV31A==" spinCount="100000" sheet="1" objects="1" scenarios="1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DA6B-B244-A1C8-B84C-F8685F66A1E8}">
  <dimension ref="B2:H60"/>
  <sheetViews>
    <sheetView showGridLines="0" zoomScale="90" workbookViewId="0">
      <selection activeCell="B58" sqref="B58:D58"/>
    </sheetView>
  </sheetViews>
  <sheetFormatPr defaultColWidth="7.796875" defaultRowHeight="15" customHeight="1"/>
  <cols>
    <col min="1" max="1" width="5" customWidth="1"/>
    <col min="2" max="2" width="27.5" customWidth="1"/>
    <col min="3" max="3" width="19.69921875" customWidth="1"/>
    <col min="4" max="4" width="20.5" customWidth="1"/>
    <col min="5" max="8" width="20.796875" bestFit="1" customWidth="1"/>
  </cols>
  <sheetData>
    <row r="2" spans="2:8" ht="19.5" customHeight="1">
      <c r="B2" s="31" t="s">
        <v>83</v>
      </c>
    </row>
    <row r="3" spans="2:8" ht="15.75" customHeight="1">
      <c r="B3" s="32" t="s">
        <v>269</v>
      </c>
    </row>
    <row r="5" spans="2:8" ht="15.75" customHeight="1">
      <c r="B5" s="33" t="s">
        <v>270</v>
      </c>
    </row>
    <row r="6" spans="2:8" s="78" customFormat="1" ht="15.75" customHeight="1">
      <c r="B6" s="79" t="s">
        <v>84</v>
      </c>
      <c r="C6" s="79" t="s">
        <v>271</v>
      </c>
      <c r="D6" s="79" t="s">
        <v>272</v>
      </c>
      <c r="E6" s="79" t="s">
        <v>273</v>
      </c>
      <c r="F6" s="79" t="s">
        <v>274</v>
      </c>
    </row>
    <row r="7" spans="2:8" ht="17.25" customHeight="1">
      <c r="B7" s="37" t="s">
        <v>275</v>
      </c>
      <c r="C7" s="80">
        <v>600</v>
      </c>
      <c r="D7" s="80">
        <v>540</v>
      </c>
      <c r="E7" s="80">
        <v>660</v>
      </c>
      <c r="F7" s="81">
        <f>Inputs!C13</f>
        <v>600</v>
      </c>
    </row>
    <row r="8" spans="2:8" ht="17.25" customHeight="1">
      <c r="B8" s="37" t="s">
        <v>276</v>
      </c>
      <c r="C8" s="80">
        <v>900</v>
      </c>
      <c r="D8" s="80">
        <v>750</v>
      </c>
      <c r="E8" s="80">
        <v>1050</v>
      </c>
      <c r="F8" s="81" cm="1">
        <f t="array" ref="F8">Inputs!C14</f>
        <v>900</v>
      </c>
    </row>
    <row r="9" spans="2:8" ht="17.25" customHeight="1">
      <c r="B9" s="37" t="s">
        <v>2</v>
      </c>
      <c r="C9" s="82" cm="1">
        <f t="array" ref="C9">Inputs!$C$5</f>
        <v>0.22</v>
      </c>
      <c r="D9" s="82" cm="1">
        <f t="array" ref="D9">Inputs!C19</f>
        <v>0.2</v>
      </c>
      <c r="E9" s="82">
        <f>Inputs!C20</f>
        <v>0.25</v>
      </c>
      <c r="F9" s="83" cm="1">
        <f t="array" ref="F9">Inputs!C5</f>
        <v>0.22</v>
      </c>
    </row>
    <row r="10" spans="2:8" ht="17.25" customHeight="1">
      <c r="B10" s="37" t="s">
        <v>277</v>
      </c>
      <c r="C10" s="82" cm="1">
        <f t="array" ref="C10">Inputs!C6</f>
        <v>0.1</v>
      </c>
      <c r="D10" s="82" cm="1">
        <f t="array" ref="D10">Inputs!C17</f>
        <v>0.08</v>
      </c>
      <c r="E10" s="82" cm="1">
        <f t="array" ref="E10">Inputs!C18</f>
        <v>0.12</v>
      </c>
      <c r="F10" s="82" cm="1">
        <f t="array" ref="F10">Inputs!C6</f>
        <v>0.1</v>
      </c>
    </row>
    <row r="12" spans="2:8" ht="15.75" customHeight="1">
      <c r="B12" s="33" t="s">
        <v>278</v>
      </c>
    </row>
    <row r="13" spans="2:8" ht="13.5" customHeight="1">
      <c r="B13" s="84" t="s">
        <v>279</v>
      </c>
    </row>
    <row r="14" spans="2:8" ht="15.75" customHeight="1">
      <c r="B14" s="36" t="s">
        <v>61</v>
      </c>
      <c r="C14" s="36" t="s">
        <v>280</v>
      </c>
      <c r="D14" s="36" t="s">
        <v>281</v>
      </c>
      <c r="E14" s="36" t="s">
        <v>282</v>
      </c>
      <c r="F14" s="36" t="s">
        <v>55</v>
      </c>
      <c r="G14" s="36" t="s">
        <v>283</v>
      </c>
      <c r="H14" s="36" t="s">
        <v>284</v>
      </c>
    </row>
    <row r="15" spans="2:8" ht="17.25" customHeight="1">
      <c r="B15" s="37" t="s">
        <v>77</v>
      </c>
      <c r="C15" s="54" cm="1">
        <f t="array" ref="C15">Financial_Impact_Dashboard!M18</f>
        <v>30.773734022317569</v>
      </c>
      <c r="D15" s="55">
        <f t="shared" ref="D15:D16" si="0">-C15*$F$9</f>
        <v>-6.7702214849098654</v>
      </c>
      <c r="E15" s="55">
        <f t="shared" ref="E15:E16" si="1">C15+D15</f>
        <v>24.003512537407705</v>
      </c>
      <c r="F15" s="305">
        <f>E15/$C$10*Inputs!C23*((1-(1+$C$10)^-10)/$C$10)</f>
        <v>1474911935587.2537</v>
      </c>
      <c r="G15" s="305">
        <f>E15/$D$10*Inputs!C23*((1-(1+$D$10)^-10)/$D$10)</f>
        <v>2013319037331.4658</v>
      </c>
      <c r="H15" s="305">
        <f>E15/$E$10*Inputs!C23*((1-(1+$E$10)^-10)/$E$10)</f>
        <v>1130209994180.0833</v>
      </c>
    </row>
    <row r="16" spans="2:8" ht="17.25" customHeight="1">
      <c r="B16" s="37" t="s">
        <v>78</v>
      </c>
      <c r="C16" s="54" cm="1">
        <f t="array" ref="C16">Financial_Impact_Dashboard!M19</f>
        <v>68.030393786542987</v>
      </c>
      <c r="D16" s="55">
        <f t="shared" si="0"/>
        <v>-14.966686633039457</v>
      </c>
      <c r="E16" s="55">
        <f t="shared" si="1"/>
        <v>53.063707153503529</v>
      </c>
      <c r="F16" s="305">
        <f>E16/$C$10*Inputs!C23*((1-(1+$C$10)^-10)/$C$10)</f>
        <v>3260535094821.6416</v>
      </c>
      <c r="G16" s="305">
        <f>E16/$D$10*Inputs!C23*((1-(1+$D$10)^-10)/$D$10)</f>
        <v>4450772429120.0029</v>
      </c>
      <c r="H16" s="305">
        <f>E16/$E$10*Inputs!C23*((1-(1+$E$10)^-10)/$E$10)</f>
        <v>2498514834429.8008</v>
      </c>
    </row>
    <row r="18" spans="2:6" ht="15.75" customHeight="1">
      <c r="B18" s="33" t="s">
        <v>285</v>
      </c>
    </row>
    <row r="19" spans="2:6" ht="15.75" customHeight="1">
      <c r="B19" s="36" t="s">
        <v>286</v>
      </c>
      <c r="C19" s="36" t="s">
        <v>287</v>
      </c>
      <c r="D19" s="36" t="s">
        <v>288</v>
      </c>
      <c r="E19" s="36" t="s">
        <v>289</v>
      </c>
      <c r="F19" s="36" t="s">
        <v>290</v>
      </c>
    </row>
    <row r="20" spans="2:6" ht="17.25" customHeight="1">
      <c r="B20" s="37" t="s">
        <v>291</v>
      </c>
      <c r="C20" s="303" t="s">
        <v>292</v>
      </c>
      <c r="D20" s="305" cm="1">
        <f t="array" ref="D20">F15</f>
        <v>1474911935587.2537</v>
      </c>
      <c r="E20" s="303" t="s">
        <v>292</v>
      </c>
      <c r="F20" s="37" t="s">
        <v>293</v>
      </c>
    </row>
    <row r="21" spans="2:6" ht="17.25" customHeight="1">
      <c r="B21" s="37" t="s">
        <v>87</v>
      </c>
      <c r="C21" s="304">
        <f>(Financial_Impact_Dashboard!M18*(1-$D$9))/$C$10*1000000000*((1-(1+$C$10)^-10)/$C$10)</f>
        <v>1512730190345.9014</v>
      </c>
      <c r="D21" s="305" cm="1">
        <f t="array" ref="D21">F15</f>
        <v>1474911935587.2537</v>
      </c>
      <c r="E21" s="304">
        <f>(Financial_Impact_Dashboard!M18*(1-$E$9))/$C$10*Inputs!C23*((1-(1+$C$10)^-10)/$C$10)</f>
        <v>1418184553449.2825</v>
      </c>
      <c r="F21" s="305">
        <f>E21-C21</f>
        <v>-94545636896.618896</v>
      </c>
    </row>
    <row r="22" spans="2:6" ht="17.25" customHeight="1">
      <c r="B22" s="37" t="s">
        <v>86</v>
      </c>
      <c r="C22" s="305" cm="1">
        <f t="array" ref="C22">G15</f>
        <v>2013319037331.4658</v>
      </c>
      <c r="D22" s="305" cm="1">
        <f t="array" ref="D22">F15</f>
        <v>1474911935587.2537</v>
      </c>
      <c r="E22" s="305" cm="1">
        <f t="array" ref="E22">H15</f>
        <v>1130209994180.0833</v>
      </c>
      <c r="F22" s="305">
        <f t="shared" ref="F22:F55" si="2">C22-E22</f>
        <v>883109043151.38257</v>
      </c>
    </row>
    <row r="24" spans="2:6" ht="15.75" customHeight="1">
      <c r="B24" s="33" t="s">
        <v>294</v>
      </c>
    </row>
    <row r="25" spans="2:6" ht="13.5" customHeight="1">
      <c r="B25" s="84" t="s">
        <v>295</v>
      </c>
    </row>
    <row r="26" spans="2:6" ht="15.75" customHeight="1">
      <c r="B26" s="36" t="s">
        <v>296</v>
      </c>
      <c r="C26" s="36" t="s">
        <v>297</v>
      </c>
      <c r="D26" s="36" t="s">
        <v>298</v>
      </c>
    </row>
    <row r="27" spans="2:6" ht="17.25" customHeight="1">
      <c r="B27" s="37" t="s">
        <v>299</v>
      </c>
      <c r="C27" s="54">
        <f>Financial_Impact_Dashboard!M12*0.01</f>
        <v>1.3899673092</v>
      </c>
      <c r="D27" s="37" t="s">
        <v>300</v>
      </c>
    </row>
    <row r="28" spans="2:6" ht="17.25" customHeight="1">
      <c r="B28" s="37" t="s">
        <v>301</v>
      </c>
      <c r="C28" s="54">
        <f>Financial_Impact_Dashboard!M12*0.05</f>
        <v>6.9498365460000002</v>
      </c>
      <c r="D28" s="37" t="s">
        <v>302</v>
      </c>
    </row>
    <row r="29" spans="2:6" ht="17.25" customHeight="1">
      <c r="B29" s="37" t="s">
        <v>303</v>
      </c>
      <c r="C29" s="54">
        <f>Financial_Impact_Dashboard!M12*0.1</f>
        <v>13.899673092</v>
      </c>
      <c r="D29" s="37" t="s">
        <v>304</v>
      </c>
    </row>
    <row r="30" spans="2:6" ht="17.25" customHeight="1">
      <c r="B30" s="37" t="s">
        <v>305</v>
      </c>
      <c r="C30" s="54" cm="1">
        <f t="array" ref="C30">Financial_Impact_Dashboard!M18</f>
        <v>30.773734022317569</v>
      </c>
      <c r="D30" s="37" t="s">
        <v>306</v>
      </c>
    </row>
    <row r="32" spans="2:6" ht="15.75" customHeight="1">
      <c r="B32" s="33" t="s">
        <v>307</v>
      </c>
    </row>
    <row r="33" spans="2:6" ht="14.25" customHeight="1">
      <c r="B33" s="63" t="s">
        <v>308</v>
      </c>
      <c r="C33" s="85" t="s">
        <v>309</v>
      </c>
    </row>
    <row r="34" spans="2:6" ht="14.25" customHeight="1">
      <c r="B34" s="63" t="s">
        <v>310</v>
      </c>
      <c r="C34" s="85" t="s">
        <v>311</v>
      </c>
    </row>
    <row r="35" spans="2:6" ht="14.25" customHeight="1">
      <c r="B35" s="63" t="s">
        <v>312</v>
      </c>
      <c r="C35" s="85" t="s">
        <v>313</v>
      </c>
    </row>
    <row r="36" spans="2:6" ht="14.25" customHeight="1">
      <c r="B36" s="63" t="s">
        <v>314</v>
      </c>
      <c r="C36" s="85" t="s">
        <v>315</v>
      </c>
    </row>
    <row r="37" spans="2:6" ht="14.25" customHeight="1">
      <c r="B37" s="63" t="s">
        <v>316</v>
      </c>
      <c r="C37" s="85" t="s">
        <v>317</v>
      </c>
    </row>
    <row r="39" spans="2:6" ht="15.75" customHeight="1">
      <c r="B39" s="75" t="s">
        <v>318</v>
      </c>
    </row>
    <row r="40" spans="2:6" ht="14.25" customHeight="1">
      <c r="B40" s="67" t="s">
        <v>319</v>
      </c>
    </row>
    <row r="42" spans="2:6" ht="14.25" customHeight="1">
      <c r="B42" s="86" t="s">
        <v>320</v>
      </c>
      <c r="C42" s="86" t="s">
        <v>321</v>
      </c>
      <c r="D42" s="86" t="s">
        <v>322</v>
      </c>
      <c r="E42" s="86" t="s">
        <v>323</v>
      </c>
      <c r="F42" s="86" t="s">
        <v>290</v>
      </c>
    </row>
    <row r="43" spans="2:6" ht="17.25" customHeight="1">
      <c r="B43" t="s">
        <v>324</v>
      </c>
      <c r="C43" s="73">
        <f>Depreciation_Scenario_Analysis!E30/Inputs!$C$23</f>
        <v>548.30331526299994</v>
      </c>
      <c r="D43" s="73" cm="1">
        <f t="array" ref="D43">C43</f>
        <v>548.30331526299994</v>
      </c>
      <c r="E43" s="73" cm="1">
        <f t="array" ref="E43">C43</f>
        <v>548.30331526299994</v>
      </c>
      <c r="F43" t="s">
        <v>206</v>
      </c>
    </row>
    <row r="45" spans="2:6" ht="14.25" customHeight="1">
      <c r="B45" s="71" t="s">
        <v>219</v>
      </c>
    </row>
    <row r="46" spans="2:6" ht="17.25" customHeight="1">
      <c r="B46" t="s">
        <v>325</v>
      </c>
      <c r="C46" s="73">
        <f>C43*0.9</f>
        <v>493.47298373669997</v>
      </c>
      <c r="D46" s="73">
        <f>C43*0.7</f>
        <v>383.81232068409992</v>
      </c>
      <c r="E46" s="73">
        <f>C43*0.5</f>
        <v>274.15165763149997</v>
      </c>
      <c r="F46" s="73">
        <f t="shared" si="2"/>
        <v>219.3213261052</v>
      </c>
    </row>
    <row r="47" spans="2:6" ht="17.25" customHeight="1">
      <c r="B47" t="s">
        <v>326</v>
      </c>
      <c r="C47" s="73">
        <f t="shared" ref="C47:E47" si="3">C43-C46</f>
        <v>54.830331526299972</v>
      </c>
      <c r="D47" s="73">
        <f t="shared" si="3"/>
        <v>164.49099457890003</v>
      </c>
      <c r="E47" s="73">
        <f t="shared" si="3"/>
        <v>274.15165763149997</v>
      </c>
      <c r="F47" s="73">
        <f t="shared" si="2"/>
        <v>-219.3213261052</v>
      </c>
    </row>
    <row r="48" spans="2:6" ht="17.25" customHeight="1">
      <c r="B48" t="s">
        <v>327</v>
      </c>
      <c r="C48" s="73" cm="1">
        <f t="array" ref="C48">C46</f>
        <v>493.47298373669997</v>
      </c>
      <c r="D48" s="73" cm="1">
        <f t="array" ref="D48">D46</f>
        <v>383.81232068409992</v>
      </c>
      <c r="E48" s="73" cm="1">
        <f t="array" ref="E48">E46</f>
        <v>274.15165763149997</v>
      </c>
      <c r="F48" s="73">
        <f t="shared" si="2"/>
        <v>219.3213261052</v>
      </c>
    </row>
    <row r="49" spans="2:6" ht="17.25" customHeight="1">
      <c r="B49" t="s">
        <v>328</v>
      </c>
      <c r="C49" s="73">
        <f t="shared" ref="C49:E55" si="4">C46-C48</f>
        <v>0</v>
      </c>
      <c r="D49" s="73">
        <f t="shared" si="4"/>
        <v>0</v>
      </c>
      <c r="E49" s="73">
        <f t="shared" si="4"/>
        <v>0</v>
      </c>
      <c r="F49" s="73">
        <f t="shared" si="2"/>
        <v>0</v>
      </c>
    </row>
    <row r="51" spans="2:6" ht="14.25" customHeight="1">
      <c r="B51" s="71" t="s">
        <v>220</v>
      </c>
    </row>
    <row r="52" spans="2:6" ht="17.25" customHeight="1">
      <c r="B52" t="s">
        <v>325</v>
      </c>
      <c r="C52" s="73">
        <f>C43*0.9</f>
        <v>493.47298373669997</v>
      </c>
      <c r="D52" s="73">
        <f>C43*0.7</f>
        <v>383.81232068409992</v>
      </c>
      <c r="E52" s="73">
        <f>C43*0.5</f>
        <v>274.15165763149997</v>
      </c>
      <c r="F52" s="73">
        <f t="shared" si="2"/>
        <v>219.3213261052</v>
      </c>
    </row>
    <row r="53" spans="2:6" ht="17.25" customHeight="1">
      <c r="B53" t="s">
        <v>326</v>
      </c>
      <c r="C53" s="73">
        <f t="shared" ref="C53:E53" si="5">C43-C52</f>
        <v>54.830331526299972</v>
      </c>
      <c r="D53" s="73">
        <f t="shared" si="5"/>
        <v>164.49099457890003</v>
      </c>
      <c r="E53" s="73">
        <f t="shared" si="5"/>
        <v>274.15165763149997</v>
      </c>
      <c r="F53" s="73">
        <f t="shared" si="2"/>
        <v>-219.3213261052</v>
      </c>
    </row>
    <row r="54" spans="2:6" ht="17.25" customHeight="1">
      <c r="B54" t="s">
        <v>329</v>
      </c>
      <c r="C54" s="73" cm="1">
        <f t="array" ref="C54">C52</f>
        <v>493.47298373669997</v>
      </c>
      <c r="D54" s="73" cm="1">
        <f t="array" ref="D54">D52</f>
        <v>383.81232068409992</v>
      </c>
      <c r="E54" s="73" cm="1">
        <f t="array" ref="E54">E52</f>
        <v>274.15165763149997</v>
      </c>
      <c r="F54" s="73">
        <f t="shared" si="2"/>
        <v>219.3213261052</v>
      </c>
    </row>
    <row r="55" spans="2:6" ht="17.25" customHeight="1">
      <c r="B55" t="s">
        <v>328</v>
      </c>
      <c r="C55" s="73">
        <f t="shared" si="4"/>
        <v>0</v>
      </c>
      <c r="D55" s="73">
        <f t="shared" si="4"/>
        <v>0</v>
      </c>
      <c r="E55" s="73">
        <f t="shared" si="4"/>
        <v>0</v>
      </c>
      <c r="F55" s="73">
        <f t="shared" si="2"/>
        <v>0</v>
      </c>
    </row>
    <row r="57" spans="2:6" ht="17.25" customHeight="1">
      <c r="B57" t="s">
        <v>330</v>
      </c>
    </row>
    <row r="58" spans="2:6" ht="17.25" customHeight="1">
      <c r="B58" t="s">
        <v>84</v>
      </c>
      <c r="C58" t="s">
        <v>331</v>
      </c>
      <c r="D58" t="s">
        <v>332</v>
      </c>
    </row>
    <row r="59" spans="2:6" ht="17.25" customHeight="1">
      <c r="B59" t="s">
        <v>86</v>
      </c>
      <c r="C59" s="306">
        <v>538.40710174421997</v>
      </c>
      <c r="D59" s="306">
        <v>-344.7019414071699</v>
      </c>
    </row>
    <row r="60" spans="2:6" ht="17.25" customHeight="1">
      <c r="B60" t="s">
        <v>87</v>
      </c>
      <c r="C60" s="306">
        <v>37.8182547586499</v>
      </c>
      <c r="D60" s="306">
        <v>-56.727382137969968</v>
      </c>
    </row>
  </sheetData>
  <sheetProtection algorithmName="SHA-512" hashValue="PBFksvUHbRj0l8sfDmjPzdCr4TBN6ZQvk/Wl2/+5GzhHb31VMgYtEi278xN+Qvo+2lHT9DSykfbFvKALepd2dw==" saltValue="Wrkj7Xc6y7riRuCOCgYHpQ==" spinCount="100000" sheet="1" objects="1" scenarios="1"/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CB22-DDBE-228B-B5D8-2EE3BABDB7F8}">
  <dimension ref="B2:J26"/>
  <sheetViews>
    <sheetView showGridLines="0" workbookViewId="0">
      <selection activeCell="E14" sqref="E14"/>
    </sheetView>
  </sheetViews>
  <sheetFormatPr defaultColWidth="7.796875" defaultRowHeight="15" customHeight="1"/>
  <cols>
    <col min="1" max="1" width="5" customWidth="1"/>
    <col min="2" max="2" width="27.5" customWidth="1"/>
    <col min="3" max="13" width="13.796875" customWidth="1"/>
  </cols>
  <sheetData>
    <row r="2" spans="2:10" ht="18.75" customHeight="1">
      <c r="B2" s="31" t="s">
        <v>333</v>
      </c>
    </row>
    <row r="3" spans="2:10" ht="15.75" customHeight="1">
      <c r="B3" s="32" t="s">
        <v>334</v>
      </c>
    </row>
    <row r="5" spans="2:10" ht="15.75" customHeight="1">
      <c r="B5" s="33" t="s">
        <v>335</v>
      </c>
    </row>
    <row r="6" spans="2:10" ht="15.75" customHeight="1">
      <c r="B6" s="36" t="s">
        <v>121</v>
      </c>
      <c r="C6" s="47">
        <v>2018</v>
      </c>
      <c r="D6" s="47">
        <v>2019</v>
      </c>
      <c r="E6" s="47">
        <v>2020</v>
      </c>
      <c r="F6" s="47">
        <v>2021</v>
      </c>
      <c r="G6" s="47">
        <v>2022</v>
      </c>
      <c r="H6" s="47">
        <v>2023</v>
      </c>
      <c r="I6" s="47">
        <v>2024</v>
      </c>
      <c r="J6" s="36" t="s">
        <v>336</v>
      </c>
    </row>
    <row r="7" spans="2:10" ht="16.5" customHeight="1">
      <c r="B7" s="37" t="s">
        <v>337</v>
      </c>
      <c r="C7" s="54">
        <f>Financial_Statements!D228/1000000000</f>
        <v>15.192402126999999</v>
      </c>
      <c r="D7" s="54">
        <f>Financial_Statements!E228/1000000000</f>
        <v>22.266166604999999</v>
      </c>
      <c r="E7" s="54">
        <f>Financial_Statements!F228/1000000000</f>
        <v>29.544553395000001</v>
      </c>
      <c r="F7" s="88" cm="1">
        <f t="array" ref="F7">Inputs!C13</f>
        <v>600</v>
      </c>
      <c r="G7" s="54">
        <f>Financial_Statements!H228/1000000000</f>
        <v>128.553821554</v>
      </c>
      <c r="H7" s="54">
        <f>Financial_Statements!I228/1000000000</f>
        <v>35.377482821000001</v>
      </c>
      <c r="I7" s="54">
        <f>Financial_Statements!J228/1000000000</f>
        <v>37.583293769999997</v>
      </c>
      <c r="J7" s="60">
        <f>(I7/C7)^(1/6)-1</f>
        <v>0.16295095209026589</v>
      </c>
    </row>
    <row r="8" spans="2:10" ht="16.5" customHeight="1">
      <c r="F8" s="87" cm="1">
        <f t="array" ref="F8">Inputs!C14</f>
        <v>900</v>
      </c>
    </row>
    <row r="9" spans="2:10" ht="16.5" customHeight="1">
      <c r="B9" s="37" t="s">
        <v>338</v>
      </c>
      <c r="C9" s="51" cm="1">
        <f t="array" ref="C9">Inputs!$C$5</f>
        <v>0.22</v>
      </c>
      <c r="D9" s="60" cm="1">
        <f t="array" ref="D9">Inputs!C19</f>
        <v>0.2</v>
      </c>
      <c r="E9" s="60" cm="1">
        <f t="array" ref="E9">Inputs!C20</f>
        <v>0.25</v>
      </c>
      <c r="F9" s="60" cm="1">
        <f t="array" ref="F9">Inputs!C5</f>
        <v>0.22</v>
      </c>
      <c r="G9" s="60">
        <f t="shared" ref="G9:I9" si="0">(G7-F7)/F7</f>
        <v>-0.78574363074333331</v>
      </c>
      <c r="H9" s="60">
        <f t="shared" si="0"/>
        <v>-0.72480411400185851</v>
      </c>
      <c r="I9" s="60">
        <f t="shared" si="0"/>
        <v>6.2350703699321185E-2</v>
      </c>
    </row>
    <row r="10" spans="2:10" ht="16.5" customHeight="1">
      <c r="C10" s="53" cm="1">
        <f t="array" ref="C10">Inputs!C6</f>
        <v>0.1</v>
      </c>
      <c r="D10" s="53" cm="1">
        <f t="array" ref="D10">Inputs!C17</f>
        <v>0.08</v>
      </c>
      <c r="E10" s="53" cm="1">
        <f t="array" ref="E10">Inputs!C18</f>
        <v>0.12</v>
      </c>
      <c r="F10" s="53" cm="1">
        <f t="array" ref="F10">Inputs!C6</f>
        <v>0.1</v>
      </c>
    </row>
    <row r="11" spans="2:10" ht="15.75" customHeight="1">
      <c r="B11" s="33" t="s">
        <v>339</v>
      </c>
    </row>
    <row r="12" spans="2:10" ht="15.75" customHeight="1">
      <c r="B12" s="36" t="s">
        <v>340</v>
      </c>
      <c r="C12" s="36" t="s">
        <v>341</v>
      </c>
      <c r="D12" s="36" t="s">
        <v>342</v>
      </c>
      <c r="E12" s="36" t="s">
        <v>343</v>
      </c>
      <c r="F12" s="36" t="s">
        <v>344</v>
      </c>
      <c r="G12" s="36" t="s">
        <v>345</v>
      </c>
      <c r="H12" s="36" t="s">
        <v>346</v>
      </c>
    </row>
    <row r="13" spans="2:10" ht="16.5" customHeight="1">
      <c r="B13" s="37" t="s">
        <v>347</v>
      </c>
      <c r="C13" s="54" cm="1">
        <f t="array" ref="C13">Financial_Impact_Dashboard!C12</f>
        <v>13.899673092</v>
      </c>
      <c r="D13" s="54" cm="1">
        <f t="array" ref="D13">Financial_Impact_Dashboard!D12</f>
        <v>13.899673092</v>
      </c>
      <c r="E13" s="54" cm="1">
        <f t="array" ref="E13">Financial_Impact_Dashboard!D13</f>
        <v>10.822299689768244</v>
      </c>
      <c r="F13" s="54" cm="1">
        <f t="array" ref="F13">Financial_Impact_Dashboard!D14</f>
        <v>7.0966337133457014</v>
      </c>
      <c r="G13" s="55">
        <f t="shared" ref="G13:G15" si="1">E13-C13</f>
        <v>-3.0773734022317569</v>
      </c>
      <c r="H13" s="55">
        <f t="shared" ref="H13:H15" si="2">F13-C13</f>
        <v>-6.8030393786542991</v>
      </c>
    </row>
    <row r="14" spans="2:10" ht="16.5" customHeight="1">
      <c r="B14" s="37" t="s">
        <v>348</v>
      </c>
      <c r="C14" s="55">
        <f>(I7-C13)</f>
        <v>23.683620677999997</v>
      </c>
      <c r="D14" s="55" cm="1">
        <f t="array" ref="D14">C14</f>
        <v>23.683620677999997</v>
      </c>
      <c r="E14" s="55" cm="1">
        <f t="array" ref="E14">C14</f>
        <v>23.683620677999997</v>
      </c>
      <c r="F14" s="55" cm="1">
        <f t="array" ref="F14">C14</f>
        <v>23.683620677999997</v>
      </c>
      <c r="G14" s="89">
        <v>0</v>
      </c>
      <c r="H14" s="89">
        <v>0</v>
      </c>
    </row>
    <row r="15" spans="2:10" ht="16.5" customHeight="1">
      <c r="B15" s="37" t="s">
        <v>337</v>
      </c>
      <c r="C15" s="55">
        <f t="shared" ref="C15:F15" si="3">C13+C14</f>
        <v>37.583293769999997</v>
      </c>
      <c r="D15" s="55">
        <f t="shared" si="3"/>
        <v>37.583293769999997</v>
      </c>
      <c r="E15" s="55">
        <f t="shared" si="3"/>
        <v>34.50592036776824</v>
      </c>
      <c r="F15" s="55">
        <f t="shared" si="3"/>
        <v>30.7802543913457</v>
      </c>
      <c r="G15" s="55">
        <f t="shared" si="1"/>
        <v>-3.0773734022317569</v>
      </c>
      <c r="H15" s="55">
        <f t="shared" si="2"/>
        <v>-6.8030393786542973</v>
      </c>
    </row>
    <row r="17" spans="2:5" ht="15.75" customHeight="1">
      <c r="B17" s="33" t="s">
        <v>349</v>
      </c>
    </row>
    <row r="18" spans="2:5" ht="15.75" customHeight="1">
      <c r="B18" s="36" t="s">
        <v>76</v>
      </c>
      <c r="C18" s="36" t="s">
        <v>350</v>
      </c>
      <c r="D18" s="36" t="s">
        <v>351</v>
      </c>
      <c r="E18" s="36" t="s">
        <v>352</v>
      </c>
    </row>
    <row r="19" spans="2:5" ht="16.5" customHeight="1">
      <c r="B19" s="49" t="s">
        <v>353</v>
      </c>
      <c r="C19" s="56">
        <f>D15-C15</f>
        <v>0</v>
      </c>
      <c r="D19" s="56">
        <f>E15-C15</f>
        <v>-3.0773734022317569</v>
      </c>
      <c r="E19" s="56">
        <f>F15-C15</f>
        <v>-6.8030393786542973</v>
      </c>
    </row>
    <row r="20" spans="2:5" ht="16.5" customHeight="1">
      <c r="B20" s="49" t="s">
        <v>354</v>
      </c>
      <c r="C20" s="90">
        <f>C19/C15</f>
        <v>0</v>
      </c>
      <c r="D20" s="90">
        <f>D19/C15</f>
        <v>-8.1881418405328796E-2</v>
      </c>
      <c r="E20" s="90">
        <f>E19/C15</f>
        <v>-0.18101232479215718</v>
      </c>
    </row>
    <row r="22" spans="2:5" ht="15.75" customHeight="1">
      <c r="B22" s="33" t="s">
        <v>259</v>
      </c>
    </row>
    <row r="23" spans="2:5" ht="14.25" customHeight="1">
      <c r="B23" s="63" t="s">
        <v>355</v>
      </c>
      <c r="C23" s="63" t="str">
        <f>"Depreciation grew at "&amp;TEXT(J7,"0.0%")&amp;" CAGR from 2018-2024"</f>
        <v>Depreciation grew at 16.3% CAGR from 2018-2024</v>
      </c>
    </row>
    <row r="24" spans="2:5" ht="14.25" customHeight="1">
      <c r="B24" s="63" t="s">
        <v>356</v>
      </c>
      <c r="C24" s="63" t="s">
        <v>357</v>
      </c>
    </row>
    <row r="25" spans="2:5" ht="14.25" customHeight="1">
      <c r="B25" s="63" t="s">
        <v>358</v>
      </c>
      <c r="C25" s="63" t="s">
        <v>359</v>
      </c>
    </row>
    <row r="26" spans="2:5" ht="14.25" customHeight="1">
      <c r="B26" s="63" t="s">
        <v>360</v>
      </c>
      <c r="C26" s="63" t="s">
        <v>361</v>
      </c>
    </row>
  </sheetData>
  <sheetProtection algorithmName="SHA-512" hashValue="dEhmQ7tJC3Y6CcJqRfhMf6040nfcg9VcF5Nl7jKzOve0FKSuy8x+SLmlY+1BDhsCEdCkYrqyAVmFC4TNVsNkUQ==" saltValue="nqt1S2yKeQJuw3WJvIDExw==" spinCount="100000" sheet="1" objects="1" scenarios="1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B4D8-78D8-F42F-8C75-6AD86D619E04}">
  <dimension ref="A1:S235"/>
  <sheetViews>
    <sheetView showGridLines="0" topLeftCell="A133" workbookViewId="0">
      <selection activeCell="E3" sqref="E3"/>
    </sheetView>
  </sheetViews>
  <sheetFormatPr defaultColWidth="9" defaultRowHeight="15.9" customHeight="1"/>
  <cols>
    <col min="5" max="5" width="16.8984375" customWidth="1"/>
  </cols>
  <sheetData>
    <row r="1" spans="1:19" ht="13.5" customHeight="1">
      <c r="A1" s="337" t="s">
        <v>135</v>
      </c>
      <c r="B1" s="337" t="s">
        <v>474</v>
      </c>
      <c r="C1" s="337" t="s">
        <v>475</v>
      </c>
      <c r="D1" s="337" t="s">
        <v>476</v>
      </c>
      <c r="E1" s="337" t="s">
        <v>477</v>
      </c>
      <c r="F1" s="337" t="s">
        <v>478</v>
      </c>
      <c r="G1" s="337" t="s">
        <v>479</v>
      </c>
      <c r="H1" s="337" t="s">
        <v>480</v>
      </c>
      <c r="I1" s="337" t="s">
        <v>481</v>
      </c>
      <c r="J1" s="336" t="s">
        <v>482</v>
      </c>
      <c r="K1" s="336"/>
      <c r="L1" s="336"/>
      <c r="M1" s="336"/>
      <c r="N1" s="336"/>
      <c r="O1" s="336"/>
      <c r="P1" s="335" t="s">
        <v>483</v>
      </c>
      <c r="Q1" s="335" t="s">
        <v>484</v>
      </c>
      <c r="R1" s="335" t="s">
        <v>485</v>
      </c>
      <c r="S1" s="335" t="s">
        <v>486</v>
      </c>
    </row>
    <row r="2" spans="1:19" ht="13.5" customHeight="1">
      <c r="A2" s="337"/>
      <c r="B2" s="337"/>
      <c r="C2" s="337"/>
      <c r="D2" s="337"/>
      <c r="E2" s="337"/>
      <c r="F2" s="337"/>
      <c r="G2" s="337"/>
      <c r="H2" s="337"/>
      <c r="I2" s="337"/>
      <c r="J2" s="91">
        <v>2021</v>
      </c>
      <c r="K2" s="91">
        <v>2022</v>
      </c>
      <c r="L2" s="91">
        <v>2023</v>
      </c>
      <c r="M2" s="91">
        <v>2024</v>
      </c>
      <c r="N2" s="91">
        <v>2025</v>
      </c>
      <c r="O2" s="91">
        <v>2026</v>
      </c>
      <c r="P2" s="335"/>
      <c r="Q2" s="335"/>
      <c r="R2" s="335"/>
      <c r="S2" s="335"/>
    </row>
    <row r="3" spans="1:19" ht="15" customHeight="1">
      <c r="A3" s="92">
        <v>1</v>
      </c>
      <c r="B3" s="92" t="s">
        <v>487</v>
      </c>
      <c r="C3" s="92" t="s">
        <v>488</v>
      </c>
      <c r="D3" s="93" t="s">
        <v>489</v>
      </c>
      <c r="E3" s="92" t="s">
        <v>490</v>
      </c>
      <c r="F3" s="94" t="s">
        <v>491</v>
      </c>
      <c r="G3" s="95">
        <v>2550000</v>
      </c>
      <c r="H3" s="92">
        <v>48</v>
      </c>
      <c r="I3" s="95">
        <v>53125</v>
      </c>
      <c r="J3" s="96">
        <v>5</v>
      </c>
      <c r="K3" s="96">
        <v>12</v>
      </c>
      <c r="L3" s="96">
        <v>12</v>
      </c>
      <c r="M3" s="96">
        <v>12</v>
      </c>
      <c r="N3" s="96">
        <v>7</v>
      </c>
      <c r="O3" s="96">
        <v>0</v>
      </c>
      <c r="P3" s="97">
        <v>-2178125</v>
      </c>
      <c r="Q3" s="97">
        <v>-371875</v>
      </c>
      <c r="R3" s="97">
        <v>-2550000</v>
      </c>
      <c r="S3" s="97" t="s">
        <v>492</v>
      </c>
    </row>
    <row r="4" spans="1:19" ht="15" customHeight="1">
      <c r="A4" s="92">
        <v>2</v>
      </c>
      <c r="B4" s="92" t="s">
        <v>487</v>
      </c>
      <c r="C4" s="92" t="s">
        <v>488</v>
      </c>
      <c r="D4" s="93" t="s">
        <v>493</v>
      </c>
      <c r="E4" s="92" t="s">
        <v>490</v>
      </c>
      <c r="F4" s="94">
        <v>44840</v>
      </c>
      <c r="G4" s="95">
        <v>14500000</v>
      </c>
      <c r="H4" s="92">
        <v>48</v>
      </c>
      <c r="I4" s="95">
        <v>302083</v>
      </c>
      <c r="J4" s="96" t="s">
        <v>494</v>
      </c>
      <c r="K4" s="96">
        <v>7</v>
      </c>
      <c r="L4" s="96">
        <v>12</v>
      </c>
      <c r="M4" s="96">
        <v>12</v>
      </c>
      <c r="N4" s="96">
        <v>12</v>
      </c>
      <c r="O4" s="96">
        <v>5</v>
      </c>
      <c r="P4" s="97">
        <v>-9364583</v>
      </c>
      <c r="Q4" s="97">
        <v>-2114583</v>
      </c>
      <c r="R4" s="97">
        <v>-11479167</v>
      </c>
      <c r="S4" s="97">
        <v>3020833</v>
      </c>
    </row>
    <row r="5" spans="1:19" ht="15" customHeight="1">
      <c r="A5" s="92">
        <v>3</v>
      </c>
      <c r="B5" s="92" t="s">
        <v>487</v>
      </c>
      <c r="C5" s="92" t="s">
        <v>488</v>
      </c>
      <c r="D5" s="93" t="s">
        <v>495</v>
      </c>
      <c r="E5" s="92" t="s">
        <v>490</v>
      </c>
      <c r="F5" s="94">
        <v>44840</v>
      </c>
      <c r="G5" s="95">
        <v>3700000</v>
      </c>
      <c r="H5" s="92">
        <v>48</v>
      </c>
      <c r="I5" s="95">
        <v>77083</v>
      </c>
      <c r="J5" s="96" t="s">
        <v>494</v>
      </c>
      <c r="K5" s="96">
        <v>7</v>
      </c>
      <c r="L5" s="96">
        <v>12</v>
      </c>
      <c r="M5" s="96">
        <v>12</v>
      </c>
      <c r="N5" s="96">
        <v>12</v>
      </c>
      <c r="O5" s="96">
        <v>5</v>
      </c>
      <c r="P5" s="97">
        <v>-2389583</v>
      </c>
      <c r="Q5" s="97">
        <v>-539583</v>
      </c>
      <c r="R5" s="97">
        <v>-2929167</v>
      </c>
      <c r="S5" s="97">
        <v>770833</v>
      </c>
    </row>
    <row r="6" spans="1:19" ht="15" customHeight="1">
      <c r="A6" s="92">
        <v>4</v>
      </c>
      <c r="B6" s="92" t="s">
        <v>487</v>
      </c>
      <c r="C6" s="92" t="s">
        <v>488</v>
      </c>
      <c r="D6" s="93" t="s">
        <v>496</v>
      </c>
      <c r="E6" s="92" t="s">
        <v>490</v>
      </c>
      <c r="F6" s="94">
        <v>44840</v>
      </c>
      <c r="G6" s="95">
        <v>6600000</v>
      </c>
      <c r="H6" s="92">
        <v>48</v>
      </c>
      <c r="I6" s="95">
        <v>137500</v>
      </c>
      <c r="J6" s="96" t="s">
        <v>494</v>
      </c>
      <c r="K6" s="96">
        <v>7</v>
      </c>
      <c r="L6" s="96">
        <v>12</v>
      </c>
      <c r="M6" s="96">
        <v>12</v>
      </c>
      <c r="N6" s="96">
        <v>12</v>
      </c>
      <c r="O6" s="96">
        <v>5</v>
      </c>
      <c r="P6" s="97">
        <v>-4262500</v>
      </c>
      <c r="Q6" s="97">
        <v>-962500</v>
      </c>
      <c r="R6" s="97">
        <v>-5225000</v>
      </c>
      <c r="S6" s="97">
        <v>1375000</v>
      </c>
    </row>
    <row r="7" spans="1:19" ht="15" customHeight="1">
      <c r="A7" s="92">
        <v>5</v>
      </c>
      <c r="B7" s="92" t="s">
        <v>487</v>
      </c>
      <c r="C7" s="92" t="s">
        <v>488</v>
      </c>
      <c r="D7" s="93" t="s">
        <v>497</v>
      </c>
      <c r="E7" s="92" t="s">
        <v>490</v>
      </c>
      <c r="F7" s="94">
        <v>44840</v>
      </c>
      <c r="G7" s="95">
        <v>7500000</v>
      </c>
      <c r="H7" s="92">
        <v>48</v>
      </c>
      <c r="I7" s="95">
        <v>156250</v>
      </c>
      <c r="J7" s="96" t="s">
        <v>494</v>
      </c>
      <c r="K7" s="96">
        <v>7</v>
      </c>
      <c r="L7" s="96">
        <v>12</v>
      </c>
      <c r="M7" s="96">
        <v>12</v>
      </c>
      <c r="N7" s="96">
        <v>12</v>
      </c>
      <c r="O7" s="96">
        <v>5</v>
      </c>
      <c r="P7" s="97">
        <v>-4843750</v>
      </c>
      <c r="Q7" s="97">
        <v>-1093750</v>
      </c>
      <c r="R7" s="97">
        <v>-5937500</v>
      </c>
      <c r="S7" s="97">
        <v>1562500</v>
      </c>
    </row>
    <row r="8" spans="1:19" ht="15" customHeight="1">
      <c r="A8" s="92">
        <v>6</v>
      </c>
      <c r="B8" s="92" t="s">
        <v>487</v>
      </c>
      <c r="C8" s="92" t="s">
        <v>488</v>
      </c>
      <c r="D8" s="93" t="s">
        <v>498</v>
      </c>
      <c r="E8" s="92" t="s">
        <v>490</v>
      </c>
      <c r="F8" s="94">
        <v>44840</v>
      </c>
      <c r="G8" s="95">
        <v>1600000</v>
      </c>
      <c r="H8" s="92">
        <v>48</v>
      </c>
      <c r="I8" s="95">
        <v>33333</v>
      </c>
      <c r="J8" s="96" t="s">
        <v>494</v>
      </c>
      <c r="K8" s="96">
        <v>7</v>
      </c>
      <c r="L8" s="96">
        <v>12</v>
      </c>
      <c r="M8" s="96">
        <v>12</v>
      </c>
      <c r="N8" s="96">
        <v>12</v>
      </c>
      <c r="O8" s="96">
        <v>5</v>
      </c>
      <c r="P8" s="97">
        <v>-1033333</v>
      </c>
      <c r="Q8" s="97">
        <v>-233333</v>
      </c>
      <c r="R8" s="97">
        <v>-1266667</v>
      </c>
      <c r="S8" s="97">
        <v>333333</v>
      </c>
    </row>
    <row r="9" spans="1:19" ht="15" customHeight="1">
      <c r="A9" s="92">
        <v>7</v>
      </c>
      <c r="B9" s="92" t="s">
        <v>487</v>
      </c>
      <c r="C9" s="92" t="s">
        <v>488</v>
      </c>
      <c r="D9" s="93" t="s">
        <v>499</v>
      </c>
      <c r="E9" s="92" t="s">
        <v>490</v>
      </c>
      <c r="F9" s="94">
        <v>44904</v>
      </c>
      <c r="G9" s="95">
        <v>10200000</v>
      </c>
      <c r="H9" s="92">
        <v>48</v>
      </c>
      <c r="I9" s="95">
        <v>212500</v>
      </c>
      <c r="J9" s="96" t="s">
        <v>494</v>
      </c>
      <c r="K9" s="96">
        <v>4</v>
      </c>
      <c r="L9" s="96">
        <v>12</v>
      </c>
      <c r="M9" s="96">
        <v>12</v>
      </c>
      <c r="N9" s="96">
        <v>12</v>
      </c>
      <c r="O9" s="96">
        <v>8</v>
      </c>
      <c r="P9" s="97">
        <v>-5950000</v>
      </c>
      <c r="Q9" s="97">
        <v>-1487500</v>
      </c>
      <c r="R9" s="97">
        <v>-7437500</v>
      </c>
      <c r="S9" s="97">
        <v>2762500</v>
      </c>
    </row>
    <row r="10" spans="1:19" ht="15" customHeight="1">
      <c r="A10" s="92">
        <v>8</v>
      </c>
      <c r="B10" s="92" t="s">
        <v>487</v>
      </c>
      <c r="C10" s="92" t="s">
        <v>488</v>
      </c>
      <c r="D10" s="93" t="s">
        <v>500</v>
      </c>
      <c r="E10" s="92" t="s">
        <v>490</v>
      </c>
      <c r="F10" s="94" t="s">
        <v>501</v>
      </c>
      <c r="G10" s="95" t="s">
        <v>150</v>
      </c>
      <c r="H10" s="92">
        <v>48</v>
      </c>
      <c r="I10" s="95" t="s">
        <v>150</v>
      </c>
      <c r="J10" s="96" t="s">
        <v>494</v>
      </c>
      <c r="K10" s="96">
        <v>4</v>
      </c>
      <c r="L10" s="96">
        <v>12</v>
      </c>
      <c r="M10" s="96">
        <v>12</v>
      </c>
      <c r="N10" s="96">
        <v>12</v>
      </c>
      <c r="O10" s="96">
        <v>8</v>
      </c>
      <c r="P10" s="97" t="s">
        <v>151</v>
      </c>
      <c r="Q10" s="97" t="s">
        <v>151</v>
      </c>
      <c r="R10" s="97" t="s">
        <v>151</v>
      </c>
      <c r="S10" s="97" t="s">
        <v>492</v>
      </c>
    </row>
    <row r="11" spans="1:19" ht="15" customHeight="1">
      <c r="A11" s="92">
        <v>9</v>
      </c>
      <c r="B11" s="92" t="s">
        <v>487</v>
      </c>
      <c r="C11" s="92" t="s">
        <v>488</v>
      </c>
      <c r="D11" s="93" t="s">
        <v>502</v>
      </c>
      <c r="E11" s="92" t="s">
        <v>490</v>
      </c>
      <c r="F11" s="94" t="s">
        <v>503</v>
      </c>
      <c r="G11" s="95">
        <v>7237000</v>
      </c>
      <c r="H11" s="92">
        <v>48</v>
      </c>
      <c r="I11" s="95">
        <v>150771</v>
      </c>
      <c r="J11" s="96" t="s">
        <v>494</v>
      </c>
      <c r="K11" s="96">
        <v>4</v>
      </c>
      <c r="L11" s="96">
        <v>12</v>
      </c>
      <c r="M11" s="96">
        <v>12</v>
      </c>
      <c r="N11" s="96">
        <v>12</v>
      </c>
      <c r="O11" s="96">
        <v>8</v>
      </c>
      <c r="P11" s="97">
        <v>-4221583</v>
      </c>
      <c r="Q11" s="97">
        <v>-1055396</v>
      </c>
      <c r="R11" s="97">
        <v>-5276979</v>
      </c>
      <c r="S11" s="97">
        <v>1960021</v>
      </c>
    </row>
    <row r="12" spans="1:19" ht="15" customHeight="1">
      <c r="A12" s="92">
        <v>10</v>
      </c>
      <c r="B12" s="92" t="s">
        <v>487</v>
      </c>
      <c r="C12" s="92" t="s">
        <v>488</v>
      </c>
      <c r="D12" s="93" t="s">
        <v>504</v>
      </c>
      <c r="E12" s="92" t="s">
        <v>490</v>
      </c>
      <c r="F12" s="94" t="s">
        <v>503</v>
      </c>
      <c r="G12" s="95">
        <v>5112000</v>
      </c>
      <c r="H12" s="92">
        <v>48</v>
      </c>
      <c r="I12" s="95">
        <v>106500</v>
      </c>
      <c r="J12" s="96" t="s">
        <v>494</v>
      </c>
      <c r="K12" s="96">
        <v>4</v>
      </c>
      <c r="L12" s="96">
        <v>12</v>
      </c>
      <c r="M12" s="96">
        <v>12</v>
      </c>
      <c r="N12" s="96">
        <v>12</v>
      </c>
      <c r="O12" s="96">
        <v>8</v>
      </c>
      <c r="P12" s="97">
        <v>-2982000</v>
      </c>
      <c r="Q12" s="97">
        <v>-745500</v>
      </c>
      <c r="R12" s="97">
        <v>-3727500</v>
      </c>
      <c r="S12" s="97">
        <v>1384500</v>
      </c>
    </row>
    <row r="13" spans="1:19" ht="15" customHeight="1">
      <c r="A13" s="92">
        <v>11</v>
      </c>
      <c r="B13" s="92" t="s">
        <v>487</v>
      </c>
      <c r="C13" s="92" t="s">
        <v>488</v>
      </c>
      <c r="D13" s="93" t="s">
        <v>505</v>
      </c>
      <c r="E13" s="92" t="s">
        <v>490</v>
      </c>
      <c r="F13" s="94" t="s">
        <v>503</v>
      </c>
      <c r="G13" s="95">
        <v>5800600</v>
      </c>
      <c r="H13" s="92">
        <v>48</v>
      </c>
      <c r="I13" s="95">
        <v>120846</v>
      </c>
      <c r="J13" s="96" t="s">
        <v>494</v>
      </c>
      <c r="K13" s="96">
        <v>4</v>
      </c>
      <c r="L13" s="96">
        <v>12</v>
      </c>
      <c r="M13" s="96">
        <v>12</v>
      </c>
      <c r="N13" s="96">
        <v>12</v>
      </c>
      <c r="O13" s="96">
        <v>8</v>
      </c>
      <c r="P13" s="97">
        <v>-3383683</v>
      </c>
      <c r="Q13" s="97">
        <v>-845921</v>
      </c>
      <c r="R13" s="97">
        <v>-4229604</v>
      </c>
      <c r="S13" s="97">
        <v>1570996</v>
      </c>
    </row>
    <row r="14" spans="1:19" ht="15" customHeight="1">
      <c r="A14" s="92">
        <v>12</v>
      </c>
      <c r="B14" s="92" t="s">
        <v>487</v>
      </c>
      <c r="C14" s="92" t="s">
        <v>488</v>
      </c>
      <c r="D14" s="93" t="s">
        <v>506</v>
      </c>
      <c r="E14" s="92" t="s">
        <v>490</v>
      </c>
      <c r="F14" s="94" t="s">
        <v>503</v>
      </c>
      <c r="G14" s="95">
        <v>10674000</v>
      </c>
      <c r="H14" s="92">
        <v>48</v>
      </c>
      <c r="I14" s="95">
        <v>222375</v>
      </c>
      <c r="J14" s="96" t="s">
        <v>494</v>
      </c>
      <c r="K14" s="96">
        <v>4</v>
      </c>
      <c r="L14" s="96">
        <v>12</v>
      </c>
      <c r="M14" s="96">
        <v>12</v>
      </c>
      <c r="N14" s="96">
        <v>12</v>
      </c>
      <c r="O14" s="96">
        <v>8</v>
      </c>
      <c r="P14" s="97">
        <v>-6226500</v>
      </c>
      <c r="Q14" s="97">
        <v>-1556625</v>
      </c>
      <c r="R14" s="97">
        <v>-7783125</v>
      </c>
      <c r="S14" s="97">
        <v>2890875</v>
      </c>
    </row>
    <row r="15" spans="1:19" ht="15" customHeight="1">
      <c r="A15" s="92">
        <v>13</v>
      </c>
      <c r="B15" s="92" t="s">
        <v>487</v>
      </c>
      <c r="C15" s="92" t="s">
        <v>488</v>
      </c>
      <c r="D15" s="93" t="s">
        <v>507</v>
      </c>
      <c r="E15" s="92" t="s">
        <v>490</v>
      </c>
      <c r="F15" s="94" t="s">
        <v>508</v>
      </c>
      <c r="G15" s="95">
        <v>16816500</v>
      </c>
      <c r="H15" s="92">
        <v>48</v>
      </c>
      <c r="I15" s="95">
        <v>350344</v>
      </c>
      <c r="J15" s="96" t="s">
        <v>494</v>
      </c>
      <c r="K15" s="96">
        <v>4</v>
      </c>
      <c r="L15" s="96">
        <v>12</v>
      </c>
      <c r="M15" s="96">
        <v>12</v>
      </c>
      <c r="N15" s="96">
        <v>12</v>
      </c>
      <c r="O15" s="96">
        <v>8</v>
      </c>
      <c r="P15" s="97">
        <v>-9809625</v>
      </c>
      <c r="Q15" s="97">
        <v>-2452406</v>
      </c>
      <c r="R15" s="97">
        <v>-12262031</v>
      </c>
      <c r="S15" s="97">
        <v>4554469</v>
      </c>
    </row>
    <row r="16" spans="1:19" ht="15" customHeight="1">
      <c r="A16" s="92">
        <v>14</v>
      </c>
      <c r="B16" s="92" t="s">
        <v>487</v>
      </c>
      <c r="C16" s="92" t="s">
        <v>488</v>
      </c>
      <c r="D16" s="93" t="s">
        <v>509</v>
      </c>
      <c r="E16" s="92" t="s">
        <v>490</v>
      </c>
      <c r="F16" s="94" t="s">
        <v>508</v>
      </c>
      <c r="G16" s="95">
        <v>2750000</v>
      </c>
      <c r="H16" s="92">
        <v>48</v>
      </c>
      <c r="I16" s="95">
        <v>57292</v>
      </c>
      <c r="J16" s="96" t="s">
        <v>494</v>
      </c>
      <c r="K16" s="96">
        <v>4</v>
      </c>
      <c r="L16" s="96">
        <v>12</v>
      </c>
      <c r="M16" s="96">
        <v>12</v>
      </c>
      <c r="N16" s="96">
        <v>12</v>
      </c>
      <c r="O16" s="96">
        <v>8</v>
      </c>
      <c r="P16" s="97">
        <v>-1604167</v>
      </c>
      <c r="Q16" s="97">
        <v>-401042</v>
      </c>
      <c r="R16" s="97">
        <v>-2005208</v>
      </c>
      <c r="S16" s="97">
        <v>744792</v>
      </c>
    </row>
    <row r="17" spans="1:19" ht="15" customHeight="1">
      <c r="A17" s="92">
        <v>15</v>
      </c>
      <c r="B17" s="92" t="s">
        <v>487</v>
      </c>
      <c r="C17" s="92" t="s">
        <v>488</v>
      </c>
      <c r="D17" s="93" t="s">
        <v>510</v>
      </c>
      <c r="E17" s="92" t="s">
        <v>490</v>
      </c>
      <c r="F17" s="94">
        <v>44691</v>
      </c>
      <c r="G17" s="95">
        <v>5000000</v>
      </c>
      <c r="H17" s="92">
        <v>48</v>
      </c>
      <c r="I17" s="95">
        <v>104167</v>
      </c>
      <c r="J17" s="96" t="s">
        <v>494</v>
      </c>
      <c r="K17" s="96">
        <v>3</v>
      </c>
      <c r="L17" s="96">
        <v>12</v>
      </c>
      <c r="M17" s="96">
        <v>12</v>
      </c>
      <c r="N17" s="96">
        <v>12</v>
      </c>
      <c r="O17" s="96">
        <v>9</v>
      </c>
      <c r="P17" s="97">
        <v>-2812500</v>
      </c>
      <c r="Q17" s="97">
        <v>-729167</v>
      </c>
      <c r="R17" s="97">
        <v>-3541667</v>
      </c>
      <c r="S17" s="97">
        <v>1458333</v>
      </c>
    </row>
    <row r="18" spans="1:19" ht="15" customHeight="1">
      <c r="A18" s="92">
        <v>16</v>
      </c>
      <c r="B18" s="92" t="s">
        <v>487</v>
      </c>
      <c r="C18" s="92" t="s">
        <v>488</v>
      </c>
      <c r="D18" s="93" t="s">
        <v>511</v>
      </c>
      <c r="E18" s="92" t="s">
        <v>490</v>
      </c>
      <c r="F18" s="94">
        <v>44691</v>
      </c>
      <c r="G18" s="95">
        <v>11000000</v>
      </c>
      <c r="H18" s="92">
        <v>48</v>
      </c>
      <c r="I18" s="95">
        <v>229167</v>
      </c>
      <c r="J18" s="96" t="s">
        <v>494</v>
      </c>
      <c r="K18" s="96">
        <v>3</v>
      </c>
      <c r="L18" s="96">
        <v>12</v>
      </c>
      <c r="M18" s="96">
        <v>12</v>
      </c>
      <c r="N18" s="96">
        <v>12</v>
      </c>
      <c r="O18" s="96">
        <v>9</v>
      </c>
      <c r="P18" s="97">
        <v>-6187500</v>
      </c>
      <c r="Q18" s="97">
        <v>-1604167</v>
      </c>
      <c r="R18" s="97">
        <v>-7791667</v>
      </c>
      <c r="S18" s="97">
        <v>3208333</v>
      </c>
    </row>
    <row r="19" spans="1:19" ht="15" customHeight="1">
      <c r="A19" s="92">
        <v>17</v>
      </c>
      <c r="B19" s="92" t="s">
        <v>487</v>
      </c>
      <c r="C19" s="92" t="s">
        <v>488</v>
      </c>
      <c r="D19" s="93" t="s">
        <v>512</v>
      </c>
      <c r="E19" s="92" t="s">
        <v>490</v>
      </c>
      <c r="F19" s="94">
        <v>44752</v>
      </c>
      <c r="G19" s="95">
        <v>6280000</v>
      </c>
      <c r="H19" s="92">
        <v>48</v>
      </c>
      <c r="I19" s="95">
        <v>130833</v>
      </c>
      <c r="J19" s="96" t="s">
        <v>494</v>
      </c>
      <c r="K19" s="96">
        <v>3</v>
      </c>
      <c r="L19" s="96">
        <v>12</v>
      </c>
      <c r="M19" s="96">
        <v>12</v>
      </c>
      <c r="N19" s="96">
        <v>12</v>
      </c>
      <c r="O19" s="96">
        <v>9</v>
      </c>
      <c r="P19" s="97">
        <v>-3532500</v>
      </c>
      <c r="Q19" s="97">
        <v>-915833</v>
      </c>
      <c r="R19" s="97">
        <v>-4448333</v>
      </c>
      <c r="S19" s="97">
        <v>1831667</v>
      </c>
    </row>
    <row r="20" spans="1:19" ht="15" customHeight="1">
      <c r="A20" s="92">
        <v>18</v>
      </c>
      <c r="B20" s="92" t="s">
        <v>487</v>
      </c>
      <c r="C20" s="92" t="s">
        <v>488</v>
      </c>
      <c r="D20" s="93" t="s">
        <v>513</v>
      </c>
      <c r="E20" s="92" t="s">
        <v>490</v>
      </c>
      <c r="F20" s="94">
        <v>44752</v>
      </c>
      <c r="G20" s="95">
        <v>4200000</v>
      </c>
      <c r="H20" s="92">
        <v>48</v>
      </c>
      <c r="I20" s="95">
        <v>87500</v>
      </c>
      <c r="J20" s="96" t="s">
        <v>494</v>
      </c>
      <c r="K20" s="96">
        <v>3</v>
      </c>
      <c r="L20" s="96">
        <v>12</v>
      </c>
      <c r="M20" s="96">
        <v>12</v>
      </c>
      <c r="N20" s="96">
        <v>12</v>
      </c>
      <c r="O20" s="96">
        <v>9</v>
      </c>
      <c r="P20" s="97">
        <v>-2362500</v>
      </c>
      <c r="Q20" s="97">
        <v>-612500</v>
      </c>
      <c r="R20" s="97">
        <v>-2975000</v>
      </c>
      <c r="S20" s="97">
        <v>1225000</v>
      </c>
    </row>
    <row r="21" spans="1:19" ht="15" customHeight="1">
      <c r="A21" s="92">
        <v>19</v>
      </c>
      <c r="B21" s="92" t="s">
        <v>487</v>
      </c>
      <c r="C21" s="92" t="s">
        <v>488</v>
      </c>
      <c r="D21" s="93" t="s">
        <v>514</v>
      </c>
      <c r="E21" s="92" t="s">
        <v>490</v>
      </c>
      <c r="F21" s="94" t="s">
        <v>515</v>
      </c>
      <c r="G21" s="95">
        <v>2121210</v>
      </c>
      <c r="H21" s="92">
        <v>48</v>
      </c>
      <c r="I21" s="95">
        <v>44192</v>
      </c>
      <c r="J21" s="96" t="s">
        <v>494</v>
      </c>
      <c r="K21" s="96">
        <v>3</v>
      </c>
      <c r="L21" s="96">
        <v>12</v>
      </c>
      <c r="M21" s="96">
        <v>12</v>
      </c>
      <c r="N21" s="96">
        <v>12</v>
      </c>
      <c r="O21" s="96">
        <v>9</v>
      </c>
      <c r="P21" s="97">
        <v>-1193181</v>
      </c>
      <c r="Q21" s="97">
        <v>-309343</v>
      </c>
      <c r="R21" s="97">
        <v>-1502524</v>
      </c>
      <c r="S21" s="97">
        <v>618686</v>
      </c>
    </row>
    <row r="22" spans="1:19" ht="15" customHeight="1">
      <c r="A22" s="92">
        <v>20</v>
      </c>
      <c r="B22" s="92" t="s">
        <v>487</v>
      </c>
      <c r="C22" s="92" t="s">
        <v>488</v>
      </c>
      <c r="D22" s="93" t="s">
        <v>516</v>
      </c>
      <c r="E22" s="92" t="s">
        <v>490</v>
      </c>
      <c r="F22" s="94" t="s">
        <v>517</v>
      </c>
      <c r="G22" s="95">
        <v>43734000</v>
      </c>
      <c r="H22" s="92">
        <v>48</v>
      </c>
      <c r="I22" s="95">
        <v>911125</v>
      </c>
      <c r="J22" s="96" t="s">
        <v>494</v>
      </c>
      <c r="K22" s="96">
        <v>3</v>
      </c>
      <c r="L22" s="96">
        <v>12</v>
      </c>
      <c r="M22" s="96">
        <v>12</v>
      </c>
      <c r="N22" s="96">
        <v>12</v>
      </c>
      <c r="O22" s="96">
        <v>9</v>
      </c>
      <c r="P22" s="97">
        <v>-24600375</v>
      </c>
      <c r="Q22" s="97">
        <v>-6377875</v>
      </c>
      <c r="R22" s="97">
        <v>-30978250</v>
      </c>
      <c r="S22" s="97">
        <v>12755750</v>
      </c>
    </row>
    <row r="23" spans="1:19" ht="15" customHeight="1">
      <c r="A23" s="92">
        <v>21</v>
      </c>
      <c r="B23" s="92" t="s">
        <v>487</v>
      </c>
      <c r="C23" s="92" t="s">
        <v>488</v>
      </c>
      <c r="D23" s="93" t="s">
        <v>518</v>
      </c>
      <c r="E23" s="92" t="s">
        <v>490</v>
      </c>
      <c r="F23" s="94">
        <v>44662</v>
      </c>
      <c r="G23" s="95">
        <v>17500000</v>
      </c>
      <c r="H23" s="92">
        <v>48</v>
      </c>
      <c r="I23" s="95">
        <v>364583</v>
      </c>
      <c r="J23" s="96" t="s">
        <v>494</v>
      </c>
      <c r="K23" s="96">
        <v>2</v>
      </c>
      <c r="L23" s="96">
        <v>12</v>
      </c>
      <c r="M23" s="96">
        <v>12</v>
      </c>
      <c r="N23" s="96">
        <v>12</v>
      </c>
      <c r="O23" s="96">
        <v>10</v>
      </c>
      <c r="P23" s="97">
        <v>-9479167</v>
      </c>
      <c r="Q23" s="97">
        <v>-2552083</v>
      </c>
      <c r="R23" s="97">
        <v>-12031250</v>
      </c>
      <c r="S23" s="97">
        <v>5468750</v>
      </c>
    </row>
    <row r="24" spans="1:19" ht="15" customHeight="1">
      <c r="A24" s="92">
        <v>22</v>
      </c>
      <c r="B24" s="92" t="s">
        <v>487</v>
      </c>
      <c r="C24" s="92" t="s">
        <v>488</v>
      </c>
      <c r="D24" s="93" t="s">
        <v>510</v>
      </c>
      <c r="E24" s="92" t="s">
        <v>490</v>
      </c>
      <c r="F24" s="94">
        <v>44784</v>
      </c>
      <c r="G24" s="95">
        <v>5000000</v>
      </c>
      <c r="H24" s="92">
        <v>48</v>
      </c>
      <c r="I24" s="95">
        <v>104167</v>
      </c>
      <c r="J24" s="96" t="s">
        <v>494</v>
      </c>
      <c r="K24" s="96">
        <v>2</v>
      </c>
      <c r="L24" s="96">
        <v>12</v>
      </c>
      <c r="M24" s="96">
        <v>12</v>
      </c>
      <c r="N24" s="96">
        <v>12</v>
      </c>
      <c r="O24" s="96">
        <v>10</v>
      </c>
      <c r="P24" s="97">
        <v>-2708333</v>
      </c>
      <c r="Q24" s="97">
        <v>-729167</v>
      </c>
      <c r="R24" s="97">
        <v>-3437500</v>
      </c>
      <c r="S24" s="97">
        <v>1562500</v>
      </c>
    </row>
    <row r="25" spans="1:19" ht="15" customHeight="1">
      <c r="A25" s="92">
        <v>23</v>
      </c>
      <c r="B25" s="92" t="s">
        <v>487</v>
      </c>
      <c r="C25" s="92" t="s">
        <v>488</v>
      </c>
      <c r="D25" s="93" t="s">
        <v>511</v>
      </c>
      <c r="E25" s="92" t="s">
        <v>490</v>
      </c>
      <c r="F25" s="94">
        <v>44784</v>
      </c>
      <c r="G25" s="95">
        <v>11000000</v>
      </c>
      <c r="H25" s="92">
        <v>48</v>
      </c>
      <c r="I25" s="95">
        <v>229167</v>
      </c>
      <c r="J25" s="96" t="s">
        <v>494</v>
      </c>
      <c r="K25" s="96">
        <v>2</v>
      </c>
      <c r="L25" s="96">
        <v>12</v>
      </c>
      <c r="M25" s="96">
        <v>12</v>
      </c>
      <c r="N25" s="96">
        <v>12</v>
      </c>
      <c r="O25" s="96">
        <v>10</v>
      </c>
      <c r="P25" s="97">
        <v>-5958333</v>
      </c>
      <c r="Q25" s="97">
        <v>-1604167</v>
      </c>
      <c r="R25" s="97">
        <v>-7562500</v>
      </c>
      <c r="S25" s="97">
        <v>3437500</v>
      </c>
    </row>
    <row r="26" spans="1:19" ht="15" customHeight="1">
      <c r="A26" s="92">
        <v>24</v>
      </c>
      <c r="B26" s="92" t="s">
        <v>487</v>
      </c>
      <c r="C26" s="92" t="s">
        <v>488</v>
      </c>
      <c r="D26" s="93" t="s">
        <v>519</v>
      </c>
      <c r="E26" s="92" t="s">
        <v>490</v>
      </c>
      <c r="F26" s="94" t="s">
        <v>520</v>
      </c>
      <c r="G26" s="95">
        <v>241708537</v>
      </c>
      <c r="H26" s="92">
        <v>48</v>
      </c>
      <c r="I26" s="95">
        <v>5035595</v>
      </c>
      <c r="J26" s="96" t="s">
        <v>494</v>
      </c>
      <c r="K26" s="96">
        <v>2</v>
      </c>
      <c r="L26" s="96">
        <v>12</v>
      </c>
      <c r="M26" s="96">
        <v>12</v>
      </c>
      <c r="N26" s="96">
        <v>12</v>
      </c>
      <c r="O26" s="96">
        <v>10</v>
      </c>
      <c r="P26" s="97">
        <v>-130925458</v>
      </c>
      <c r="Q26" s="97">
        <v>-35249162</v>
      </c>
      <c r="R26" s="97">
        <v>-166174619</v>
      </c>
      <c r="S26" s="97">
        <v>75533918</v>
      </c>
    </row>
    <row r="27" spans="1:19" ht="15" customHeight="1">
      <c r="A27" s="92">
        <v>25</v>
      </c>
      <c r="B27" s="92" t="s">
        <v>487</v>
      </c>
      <c r="C27" s="92" t="s">
        <v>488</v>
      </c>
      <c r="D27" s="93" t="s">
        <v>521</v>
      </c>
      <c r="E27" s="92" t="s">
        <v>490</v>
      </c>
      <c r="F27" s="94" t="s">
        <v>520</v>
      </c>
      <c r="G27" s="95">
        <v>11250000</v>
      </c>
      <c r="H27" s="92">
        <v>48</v>
      </c>
      <c r="I27" s="95">
        <v>234375</v>
      </c>
      <c r="J27" s="96" t="s">
        <v>494</v>
      </c>
      <c r="K27" s="96">
        <v>2</v>
      </c>
      <c r="L27" s="96">
        <v>12</v>
      </c>
      <c r="M27" s="96">
        <v>12</v>
      </c>
      <c r="N27" s="96">
        <v>12</v>
      </c>
      <c r="O27" s="96">
        <v>10</v>
      </c>
      <c r="P27" s="97">
        <v>-6093750</v>
      </c>
      <c r="Q27" s="97">
        <v>-1640625</v>
      </c>
      <c r="R27" s="97">
        <v>-7734375</v>
      </c>
      <c r="S27" s="97">
        <v>3515625</v>
      </c>
    </row>
    <row r="28" spans="1:19" ht="15" customHeight="1">
      <c r="A28" s="92">
        <v>26</v>
      </c>
      <c r="B28" s="92" t="s">
        <v>487</v>
      </c>
      <c r="C28" s="92" t="s">
        <v>488</v>
      </c>
      <c r="D28" s="93" t="s">
        <v>522</v>
      </c>
      <c r="E28" s="92" t="s">
        <v>490</v>
      </c>
      <c r="F28" s="94" t="s">
        <v>523</v>
      </c>
      <c r="G28" s="95">
        <v>28400000</v>
      </c>
      <c r="H28" s="92">
        <v>48</v>
      </c>
      <c r="I28" s="95">
        <v>591667</v>
      </c>
      <c r="J28" s="96" t="s">
        <v>494</v>
      </c>
      <c r="K28" s="96">
        <v>2</v>
      </c>
      <c r="L28" s="96">
        <v>12</v>
      </c>
      <c r="M28" s="96">
        <v>12</v>
      </c>
      <c r="N28" s="96">
        <v>12</v>
      </c>
      <c r="O28" s="96">
        <v>10</v>
      </c>
      <c r="P28" s="97">
        <v>-15383333</v>
      </c>
      <c r="Q28" s="97">
        <v>-4141667</v>
      </c>
      <c r="R28" s="97">
        <v>-19525000</v>
      </c>
      <c r="S28" s="97">
        <v>8875000</v>
      </c>
    </row>
    <row r="29" spans="1:19" ht="15" customHeight="1">
      <c r="A29" s="92">
        <v>27</v>
      </c>
      <c r="B29" s="92" t="s">
        <v>487</v>
      </c>
      <c r="C29" s="92" t="s">
        <v>488</v>
      </c>
      <c r="D29" s="93" t="s">
        <v>524</v>
      </c>
      <c r="E29" s="92" t="s">
        <v>490</v>
      </c>
      <c r="F29" s="94" t="s">
        <v>525</v>
      </c>
      <c r="G29" s="95">
        <v>28860000</v>
      </c>
      <c r="H29" s="92">
        <v>48</v>
      </c>
      <c r="I29" s="95">
        <v>601250</v>
      </c>
      <c r="J29" s="96" t="s">
        <v>494</v>
      </c>
      <c r="K29" s="96">
        <v>2</v>
      </c>
      <c r="L29" s="96">
        <v>12</v>
      </c>
      <c r="M29" s="96">
        <v>12</v>
      </c>
      <c r="N29" s="96">
        <v>12</v>
      </c>
      <c r="O29" s="96">
        <v>10</v>
      </c>
      <c r="P29" s="97">
        <v>-15632500</v>
      </c>
      <c r="Q29" s="97">
        <v>-4208750</v>
      </c>
      <c r="R29" s="97">
        <v>-19841250</v>
      </c>
      <c r="S29" s="97">
        <v>9018750</v>
      </c>
    </row>
    <row r="30" spans="1:19" ht="15" customHeight="1">
      <c r="A30" s="92">
        <v>28</v>
      </c>
      <c r="B30" s="92" t="s">
        <v>487</v>
      </c>
      <c r="C30" s="92" t="s">
        <v>488</v>
      </c>
      <c r="D30" s="93" t="s">
        <v>526</v>
      </c>
      <c r="E30" s="92" t="s">
        <v>490</v>
      </c>
      <c r="F30" s="94" t="s">
        <v>527</v>
      </c>
      <c r="G30" s="95">
        <v>6658000</v>
      </c>
      <c r="H30" s="92">
        <v>48</v>
      </c>
      <c r="I30" s="95">
        <v>138708</v>
      </c>
      <c r="J30" s="96" t="s">
        <v>494</v>
      </c>
      <c r="K30" s="96">
        <v>2</v>
      </c>
      <c r="L30" s="96">
        <v>12</v>
      </c>
      <c r="M30" s="96">
        <v>12</v>
      </c>
      <c r="N30" s="96">
        <v>12</v>
      </c>
      <c r="O30" s="96">
        <v>10</v>
      </c>
      <c r="P30" s="97">
        <v>-3606417</v>
      </c>
      <c r="Q30" s="97">
        <v>-970958</v>
      </c>
      <c r="R30" s="97">
        <v>-4577375</v>
      </c>
      <c r="S30" s="97">
        <v>2080625</v>
      </c>
    </row>
    <row r="31" spans="1:19" ht="15" customHeight="1">
      <c r="A31" s="92">
        <v>29</v>
      </c>
      <c r="B31" s="92" t="s">
        <v>487</v>
      </c>
      <c r="C31" s="92" t="s">
        <v>488</v>
      </c>
      <c r="D31" s="93" t="s">
        <v>528</v>
      </c>
      <c r="E31" s="92" t="s">
        <v>490</v>
      </c>
      <c r="F31" s="94" t="s">
        <v>529</v>
      </c>
      <c r="G31" s="95">
        <v>114476000</v>
      </c>
      <c r="H31" s="92">
        <v>48</v>
      </c>
      <c r="I31" s="95">
        <v>2384917</v>
      </c>
      <c r="J31" s="96" t="s">
        <v>494</v>
      </c>
      <c r="K31" s="96">
        <v>1</v>
      </c>
      <c r="L31" s="96">
        <v>12</v>
      </c>
      <c r="M31" s="96">
        <v>12</v>
      </c>
      <c r="N31" s="96">
        <v>12</v>
      </c>
      <c r="O31" s="96">
        <v>11</v>
      </c>
      <c r="P31" s="97">
        <v>-59622917</v>
      </c>
      <c r="Q31" s="97">
        <v>-16694417</v>
      </c>
      <c r="R31" s="97">
        <v>-76317333</v>
      </c>
      <c r="S31" s="97">
        <v>38158667</v>
      </c>
    </row>
    <row r="32" spans="1:19" ht="15" customHeight="1">
      <c r="A32" s="92">
        <v>30</v>
      </c>
      <c r="B32" s="92" t="s">
        <v>487</v>
      </c>
      <c r="C32" s="92" t="s">
        <v>488</v>
      </c>
      <c r="D32" s="93" t="s">
        <v>530</v>
      </c>
      <c r="E32" s="92" t="s">
        <v>490</v>
      </c>
      <c r="F32" s="94" t="s">
        <v>156</v>
      </c>
      <c r="G32" s="95">
        <v>139168504</v>
      </c>
      <c r="H32" s="92">
        <v>48</v>
      </c>
      <c r="I32" s="95">
        <v>2899344</v>
      </c>
      <c r="J32" s="96" t="s">
        <v>494</v>
      </c>
      <c r="K32" s="96">
        <v>2</v>
      </c>
      <c r="L32" s="96">
        <v>12</v>
      </c>
      <c r="M32" s="96">
        <v>12</v>
      </c>
      <c r="N32" s="96">
        <v>12</v>
      </c>
      <c r="O32" s="96">
        <v>10</v>
      </c>
      <c r="P32" s="97">
        <v>-75382940</v>
      </c>
      <c r="Q32" s="97">
        <v>-20295407</v>
      </c>
      <c r="R32" s="97">
        <v>-95678347</v>
      </c>
      <c r="S32" s="97">
        <v>43490158</v>
      </c>
    </row>
    <row r="33" spans="1:19" ht="15" customHeight="1">
      <c r="A33" s="92">
        <v>31</v>
      </c>
      <c r="B33" s="92" t="s">
        <v>487</v>
      </c>
      <c r="C33" s="92" t="s">
        <v>488</v>
      </c>
      <c r="D33" s="93" t="s">
        <v>531</v>
      </c>
      <c r="E33" s="92" t="s">
        <v>490</v>
      </c>
      <c r="F33" s="94">
        <v>44724</v>
      </c>
      <c r="G33" s="95">
        <v>31250000</v>
      </c>
      <c r="H33" s="92">
        <v>48</v>
      </c>
      <c r="I33" s="95">
        <v>651042</v>
      </c>
      <c r="J33" s="96" t="s">
        <v>494</v>
      </c>
      <c r="K33" s="96">
        <v>1</v>
      </c>
      <c r="L33" s="96">
        <v>12</v>
      </c>
      <c r="M33" s="96">
        <v>12</v>
      </c>
      <c r="N33" s="96">
        <v>12</v>
      </c>
      <c r="O33" s="96">
        <v>11</v>
      </c>
      <c r="P33" s="97">
        <v>-16276042</v>
      </c>
      <c r="Q33" s="97">
        <v>-4557292</v>
      </c>
      <c r="R33" s="97">
        <v>-20833333</v>
      </c>
      <c r="S33" s="97">
        <v>10416667</v>
      </c>
    </row>
    <row r="34" spans="1:19" ht="15" customHeight="1">
      <c r="A34" s="92">
        <v>32</v>
      </c>
      <c r="B34" s="92" t="s">
        <v>487</v>
      </c>
      <c r="C34" s="92" t="s">
        <v>488</v>
      </c>
      <c r="D34" s="93" t="s">
        <v>532</v>
      </c>
      <c r="E34" s="92" t="s">
        <v>490</v>
      </c>
      <c r="F34" s="94">
        <v>44754</v>
      </c>
      <c r="G34" s="95">
        <v>16000000</v>
      </c>
      <c r="H34" s="92">
        <v>48</v>
      </c>
      <c r="I34" s="95">
        <v>333333</v>
      </c>
      <c r="J34" s="96" t="s">
        <v>494</v>
      </c>
      <c r="K34" s="96">
        <v>1</v>
      </c>
      <c r="L34" s="96">
        <v>12</v>
      </c>
      <c r="M34" s="96">
        <v>12</v>
      </c>
      <c r="N34" s="96">
        <v>12</v>
      </c>
      <c r="O34" s="96">
        <v>11</v>
      </c>
      <c r="P34" s="97">
        <v>-8333333</v>
      </c>
      <c r="Q34" s="97">
        <v>-2333333</v>
      </c>
      <c r="R34" s="97">
        <v>-10666667</v>
      </c>
      <c r="S34" s="97">
        <v>5333333</v>
      </c>
    </row>
    <row r="35" spans="1:19" ht="15" customHeight="1">
      <c r="A35" s="92">
        <v>33</v>
      </c>
      <c r="B35" s="92" t="s">
        <v>487</v>
      </c>
      <c r="C35" s="92" t="s">
        <v>488</v>
      </c>
      <c r="D35" s="93" t="s">
        <v>533</v>
      </c>
      <c r="E35" s="92" t="s">
        <v>490</v>
      </c>
      <c r="F35" s="94" t="s">
        <v>534</v>
      </c>
      <c r="G35" s="95">
        <v>2969000</v>
      </c>
      <c r="H35" s="92">
        <v>48</v>
      </c>
      <c r="I35" s="95">
        <v>61854</v>
      </c>
      <c r="J35" s="96" t="s">
        <v>494</v>
      </c>
      <c r="K35" s="96">
        <v>1</v>
      </c>
      <c r="L35" s="96">
        <v>12</v>
      </c>
      <c r="M35" s="96">
        <v>12</v>
      </c>
      <c r="N35" s="96">
        <v>12</v>
      </c>
      <c r="O35" s="96">
        <v>11</v>
      </c>
      <c r="P35" s="97">
        <v>-1546354</v>
      </c>
      <c r="Q35" s="97">
        <v>-432979</v>
      </c>
      <c r="R35" s="97">
        <v>-1979333</v>
      </c>
      <c r="S35" s="97">
        <v>989667</v>
      </c>
    </row>
    <row r="36" spans="1:19" ht="15" customHeight="1">
      <c r="A36" s="92">
        <v>34</v>
      </c>
      <c r="B36" s="92" t="s">
        <v>487</v>
      </c>
      <c r="C36" s="92" t="s">
        <v>488</v>
      </c>
      <c r="D36" s="93" t="s">
        <v>535</v>
      </c>
      <c r="E36" s="92" t="s">
        <v>490</v>
      </c>
      <c r="F36" s="94" t="s">
        <v>536</v>
      </c>
      <c r="G36" s="95">
        <v>37313000</v>
      </c>
      <c r="H36" s="92">
        <v>48</v>
      </c>
      <c r="I36" s="95">
        <v>777354</v>
      </c>
      <c r="J36" s="96" t="s">
        <v>494</v>
      </c>
      <c r="K36" s="96">
        <v>0</v>
      </c>
      <c r="L36" s="96">
        <v>12</v>
      </c>
      <c r="M36" s="96">
        <v>12</v>
      </c>
      <c r="N36" s="96">
        <v>12</v>
      </c>
      <c r="O36" s="96">
        <v>12</v>
      </c>
      <c r="P36" s="97">
        <v>-18656500</v>
      </c>
      <c r="Q36" s="97">
        <v>-5441479</v>
      </c>
      <c r="R36" s="97">
        <v>-24097979</v>
      </c>
      <c r="S36" s="97">
        <v>13215021</v>
      </c>
    </row>
    <row r="37" spans="1:19" ht="15" customHeight="1">
      <c r="A37" s="92">
        <v>35</v>
      </c>
      <c r="B37" s="92" t="s">
        <v>487</v>
      </c>
      <c r="C37" s="92" t="s">
        <v>488</v>
      </c>
      <c r="D37" s="93" t="s">
        <v>537</v>
      </c>
      <c r="E37" s="92" t="s">
        <v>490</v>
      </c>
      <c r="F37" s="94" t="s">
        <v>536</v>
      </c>
      <c r="G37" s="95">
        <v>23123772</v>
      </c>
      <c r="H37" s="92">
        <v>48</v>
      </c>
      <c r="I37" s="95">
        <v>481745</v>
      </c>
      <c r="J37" s="96" t="s">
        <v>494</v>
      </c>
      <c r="K37" s="96">
        <v>0</v>
      </c>
      <c r="L37" s="96">
        <v>12</v>
      </c>
      <c r="M37" s="96">
        <v>12</v>
      </c>
      <c r="N37" s="96">
        <v>12</v>
      </c>
      <c r="O37" s="96">
        <v>12</v>
      </c>
      <c r="P37" s="97">
        <v>-11561886</v>
      </c>
      <c r="Q37" s="97">
        <v>-3372217</v>
      </c>
      <c r="R37" s="97">
        <v>-14934103</v>
      </c>
      <c r="S37" s="97">
        <v>8189669</v>
      </c>
    </row>
    <row r="38" spans="1:19" ht="15" customHeight="1">
      <c r="A38" s="92">
        <v>36</v>
      </c>
      <c r="B38" s="92" t="s">
        <v>487</v>
      </c>
      <c r="C38" s="92" t="s">
        <v>488</v>
      </c>
      <c r="D38" s="93" t="s">
        <v>538</v>
      </c>
      <c r="E38" s="92" t="s">
        <v>490</v>
      </c>
      <c r="F38" s="94" t="s">
        <v>539</v>
      </c>
      <c r="G38" s="95">
        <v>1900000</v>
      </c>
      <c r="H38" s="92">
        <v>48</v>
      </c>
      <c r="I38" s="95">
        <v>39583</v>
      </c>
      <c r="J38" s="96" t="s">
        <v>494</v>
      </c>
      <c r="K38" s="96">
        <v>0</v>
      </c>
      <c r="L38" s="96">
        <v>12</v>
      </c>
      <c r="M38" s="96">
        <v>12</v>
      </c>
      <c r="N38" s="96">
        <v>12</v>
      </c>
      <c r="O38" s="96">
        <v>12</v>
      </c>
      <c r="P38" s="97">
        <v>-950000</v>
      </c>
      <c r="Q38" s="97">
        <v>-277083</v>
      </c>
      <c r="R38" s="97">
        <v>-1227083</v>
      </c>
      <c r="S38" s="97">
        <v>672917</v>
      </c>
    </row>
    <row r="39" spans="1:19" ht="15" customHeight="1">
      <c r="A39" s="92">
        <v>37</v>
      </c>
      <c r="B39" s="92" t="s">
        <v>487</v>
      </c>
      <c r="C39" s="92" t="s">
        <v>488</v>
      </c>
      <c r="D39" s="93" t="s">
        <v>540</v>
      </c>
      <c r="E39" s="92" t="s">
        <v>490</v>
      </c>
      <c r="F39" s="94" t="s">
        <v>529</v>
      </c>
      <c r="G39" s="95">
        <v>1100000</v>
      </c>
      <c r="H39" s="92">
        <v>48</v>
      </c>
      <c r="I39" s="95">
        <v>22917</v>
      </c>
      <c r="J39" s="96" t="s">
        <v>494</v>
      </c>
      <c r="K39" s="96">
        <v>0</v>
      </c>
      <c r="L39" s="96">
        <v>12</v>
      </c>
      <c r="M39" s="96">
        <v>12</v>
      </c>
      <c r="N39" s="96">
        <v>12</v>
      </c>
      <c r="O39" s="96">
        <v>12</v>
      </c>
      <c r="P39" s="97">
        <v>-550000</v>
      </c>
      <c r="Q39" s="97">
        <v>-160417</v>
      </c>
      <c r="R39" s="97">
        <v>-710417</v>
      </c>
      <c r="S39" s="97">
        <v>389583</v>
      </c>
    </row>
    <row r="40" spans="1:19" ht="15" customHeight="1">
      <c r="A40" s="92">
        <v>38</v>
      </c>
      <c r="B40" s="92" t="s">
        <v>487</v>
      </c>
      <c r="C40" s="92" t="s">
        <v>488</v>
      </c>
      <c r="D40" s="93" t="s">
        <v>541</v>
      </c>
      <c r="E40" s="92" t="s">
        <v>490</v>
      </c>
      <c r="F40" s="94" t="s">
        <v>529</v>
      </c>
      <c r="G40" s="95">
        <v>78789078</v>
      </c>
      <c r="H40" s="92">
        <v>48</v>
      </c>
      <c r="I40" s="95">
        <v>1641439</v>
      </c>
      <c r="J40" s="96" t="s">
        <v>494</v>
      </c>
      <c r="K40" s="96">
        <v>0</v>
      </c>
      <c r="L40" s="96">
        <v>12</v>
      </c>
      <c r="M40" s="96">
        <v>12</v>
      </c>
      <c r="N40" s="96">
        <v>12</v>
      </c>
      <c r="O40" s="96">
        <v>12</v>
      </c>
      <c r="P40" s="97">
        <v>-39394539</v>
      </c>
      <c r="Q40" s="97">
        <v>-11490074</v>
      </c>
      <c r="R40" s="97">
        <v>-50884613</v>
      </c>
      <c r="S40" s="97">
        <v>27904465</v>
      </c>
    </row>
    <row r="41" spans="1:19" ht="15" customHeight="1">
      <c r="A41" s="92">
        <v>39</v>
      </c>
      <c r="B41" s="92" t="s">
        <v>487</v>
      </c>
      <c r="C41" s="92" t="s">
        <v>488</v>
      </c>
      <c r="D41" s="93" t="s">
        <v>542</v>
      </c>
      <c r="E41" s="92" t="s">
        <v>490</v>
      </c>
      <c r="F41" s="94" t="s">
        <v>543</v>
      </c>
      <c r="G41" s="95">
        <v>4062000</v>
      </c>
      <c r="H41" s="92">
        <v>48</v>
      </c>
      <c r="I41" s="95">
        <v>84625</v>
      </c>
      <c r="J41" s="96" t="s">
        <v>494</v>
      </c>
      <c r="K41" s="96">
        <v>0</v>
      </c>
      <c r="L41" s="96">
        <v>12</v>
      </c>
      <c r="M41" s="96">
        <v>12</v>
      </c>
      <c r="N41" s="96">
        <v>12</v>
      </c>
      <c r="O41" s="96">
        <v>12</v>
      </c>
      <c r="P41" s="97">
        <v>-2031000</v>
      </c>
      <c r="Q41" s="97">
        <v>-592375</v>
      </c>
      <c r="R41" s="97">
        <v>-2623375</v>
      </c>
      <c r="S41" s="97">
        <v>1438625</v>
      </c>
    </row>
    <row r="42" spans="1:19" ht="15" customHeight="1">
      <c r="A42" s="92">
        <v>40</v>
      </c>
      <c r="B42" s="92" t="s">
        <v>487</v>
      </c>
      <c r="C42" s="92" t="s">
        <v>488</v>
      </c>
      <c r="D42" s="93" t="s">
        <v>544</v>
      </c>
      <c r="E42" s="92" t="s">
        <v>490</v>
      </c>
      <c r="F42" s="94" t="s">
        <v>543</v>
      </c>
      <c r="G42" s="95">
        <v>30740000</v>
      </c>
      <c r="H42" s="92">
        <v>48</v>
      </c>
      <c r="I42" s="95">
        <v>640417</v>
      </c>
      <c r="J42" s="96" t="s">
        <v>494</v>
      </c>
      <c r="K42" s="96">
        <v>0</v>
      </c>
      <c r="L42" s="96">
        <v>12</v>
      </c>
      <c r="M42" s="96">
        <v>12</v>
      </c>
      <c r="N42" s="96">
        <v>12</v>
      </c>
      <c r="O42" s="96">
        <v>12</v>
      </c>
      <c r="P42" s="97">
        <v>-15370000</v>
      </c>
      <c r="Q42" s="97">
        <v>-4482917</v>
      </c>
      <c r="R42" s="97">
        <v>-19852917</v>
      </c>
      <c r="S42" s="97">
        <v>10887083</v>
      </c>
    </row>
    <row r="43" spans="1:19" ht="15" customHeight="1">
      <c r="A43" s="92">
        <v>41</v>
      </c>
      <c r="B43" s="92" t="s">
        <v>487</v>
      </c>
      <c r="C43" s="92" t="s">
        <v>488</v>
      </c>
      <c r="D43" s="93" t="s">
        <v>545</v>
      </c>
      <c r="E43" s="92" t="s">
        <v>490</v>
      </c>
      <c r="F43" s="94" t="s">
        <v>546</v>
      </c>
      <c r="G43" s="95">
        <v>37530000</v>
      </c>
      <c r="H43" s="92">
        <v>48</v>
      </c>
      <c r="I43" s="95">
        <v>781875</v>
      </c>
      <c r="J43" s="96" t="s">
        <v>494</v>
      </c>
      <c r="K43" s="96">
        <v>0</v>
      </c>
      <c r="L43" s="96">
        <v>12</v>
      </c>
      <c r="M43" s="96">
        <v>12</v>
      </c>
      <c r="N43" s="96">
        <v>12</v>
      </c>
      <c r="O43" s="96">
        <v>12</v>
      </c>
      <c r="P43" s="97">
        <v>-18765000</v>
      </c>
      <c r="Q43" s="97">
        <v>-5473125</v>
      </c>
      <c r="R43" s="97">
        <v>-24238125</v>
      </c>
      <c r="S43" s="97">
        <v>13291875</v>
      </c>
    </row>
    <row r="44" spans="1:19" ht="15" customHeight="1">
      <c r="A44" s="92">
        <v>42</v>
      </c>
      <c r="B44" s="92" t="s">
        <v>487</v>
      </c>
      <c r="C44" s="92" t="s">
        <v>488</v>
      </c>
      <c r="D44" s="93" t="s">
        <v>547</v>
      </c>
      <c r="E44" s="92" t="s">
        <v>490</v>
      </c>
      <c r="F44" s="94">
        <v>45261</v>
      </c>
      <c r="G44" s="95">
        <v>11000000</v>
      </c>
      <c r="H44" s="92">
        <v>48</v>
      </c>
      <c r="I44" s="95">
        <v>229167</v>
      </c>
      <c r="J44" s="96" t="s">
        <v>494</v>
      </c>
      <c r="K44" s="96">
        <v>0</v>
      </c>
      <c r="L44" s="96">
        <v>12</v>
      </c>
      <c r="M44" s="96">
        <v>12</v>
      </c>
      <c r="N44" s="96">
        <v>12</v>
      </c>
      <c r="O44" s="96">
        <v>12</v>
      </c>
      <c r="P44" s="97">
        <v>-5500000</v>
      </c>
      <c r="Q44" s="97">
        <v>-1604167</v>
      </c>
      <c r="R44" s="97">
        <v>-7104167</v>
      </c>
      <c r="S44" s="97">
        <v>3895833</v>
      </c>
    </row>
    <row r="45" spans="1:19" ht="15" customHeight="1">
      <c r="A45" s="92">
        <v>43</v>
      </c>
      <c r="B45" s="92" t="s">
        <v>487</v>
      </c>
      <c r="C45" s="92" t="s">
        <v>488</v>
      </c>
      <c r="D45" s="93" t="s">
        <v>548</v>
      </c>
      <c r="E45" s="92" t="s">
        <v>490</v>
      </c>
      <c r="F45" s="94" t="s">
        <v>549</v>
      </c>
      <c r="G45" s="95">
        <v>6400000</v>
      </c>
      <c r="H45" s="92">
        <v>48</v>
      </c>
      <c r="I45" s="95">
        <v>133333</v>
      </c>
      <c r="J45" s="96" t="s">
        <v>494</v>
      </c>
      <c r="K45" s="96">
        <v>0</v>
      </c>
      <c r="L45" s="96">
        <v>12</v>
      </c>
      <c r="M45" s="96">
        <v>12</v>
      </c>
      <c r="N45" s="96">
        <v>12</v>
      </c>
      <c r="O45" s="96">
        <v>12</v>
      </c>
      <c r="P45" s="97">
        <v>-3200000</v>
      </c>
      <c r="Q45" s="97">
        <v>-933333</v>
      </c>
      <c r="R45" s="97">
        <v>-4133333</v>
      </c>
      <c r="S45" s="97">
        <v>2266667</v>
      </c>
    </row>
    <row r="46" spans="1:19" ht="15" customHeight="1">
      <c r="A46" s="92">
        <v>44</v>
      </c>
      <c r="B46" s="92" t="s">
        <v>487</v>
      </c>
      <c r="C46" s="92" t="s">
        <v>488</v>
      </c>
      <c r="D46" s="93" t="s">
        <v>550</v>
      </c>
      <c r="E46" s="92" t="s">
        <v>490</v>
      </c>
      <c r="F46" s="94">
        <v>45261</v>
      </c>
      <c r="G46" s="95">
        <v>7100000</v>
      </c>
      <c r="H46" s="92">
        <v>48</v>
      </c>
      <c r="I46" s="95">
        <v>147917</v>
      </c>
      <c r="J46" s="96" t="s">
        <v>494</v>
      </c>
      <c r="K46" s="96">
        <v>0</v>
      </c>
      <c r="L46" s="96">
        <v>12</v>
      </c>
      <c r="M46" s="96">
        <v>12</v>
      </c>
      <c r="N46" s="96">
        <v>12</v>
      </c>
      <c r="O46" s="96">
        <v>12</v>
      </c>
      <c r="P46" s="97">
        <v>-3550000</v>
      </c>
      <c r="Q46" s="97">
        <v>-1035417</v>
      </c>
      <c r="R46" s="97">
        <v>-4585417</v>
      </c>
      <c r="S46" s="97">
        <v>2514583</v>
      </c>
    </row>
    <row r="47" spans="1:19" ht="15" customHeight="1">
      <c r="A47" s="92">
        <v>45</v>
      </c>
      <c r="B47" s="92" t="s">
        <v>487</v>
      </c>
      <c r="C47" s="92" t="s">
        <v>488</v>
      </c>
      <c r="D47" s="93" t="s">
        <v>551</v>
      </c>
      <c r="E47" s="92" t="s">
        <v>490</v>
      </c>
      <c r="F47" s="94">
        <v>45261</v>
      </c>
      <c r="G47" s="95">
        <v>28350000</v>
      </c>
      <c r="H47" s="92">
        <v>48</v>
      </c>
      <c r="I47" s="95">
        <v>590625</v>
      </c>
      <c r="J47" s="96" t="s">
        <v>494</v>
      </c>
      <c r="K47" s="96">
        <v>0</v>
      </c>
      <c r="L47" s="96">
        <v>12</v>
      </c>
      <c r="M47" s="96">
        <v>12</v>
      </c>
      <c r="N47" s="96">
        <v>12</v>
      </c>
      <c r="O47" s="96">
        <v>12</v>
      </c>
      <c r="P47" s="97">
        <v>-14175000</v>
      </c>
      <c r="Q47" s="97">
        <v>-4134375</v>
      </c>
      <c r="R47" s="97">
        <v>-18309375</v>
      </c>
      <c r="S47" s="97">
        <v>10040625</v>
      </c>
    </row>
    <row r="48" spans="1:19" ht="15" customHeight="1">
      <c r="A48" s="92">
        <v>46</v>
      </c>
      <c r="B48" s="92" t="s">
        <v>487</v>
      </c>
      <c r="C48" s="92" t="s">
        <v>488</v>
      </c>
      <c r="D48" s="93" t="s">
        <v>552</v>
      </c>
      <c r="E48" s="92" t="s">
        <v>490</v>
      </c>
      <c r="F48" s="94">
        <v>45261</v>
      </c>
      <c r="G48" s="95">
        <v>5550000</v>
      </c>
      <c r="H48" s="92">
        <v>48</v>
      </c>
      <c r="I48" s="95">
        <v>115625</v>
      </c>
      <c r="J48" s="96" t="s">
        <v>494</v>
      </c>
      <c r="K48" s="96">
        <v>0</v>
      </c>
      <c r="L48" s="96">
        <v>12</v>
      </c>
      <c r="M48" s="96">
        <v>12</v>
      </c>
      <c r="N48" s="96">
        <v>12</v>
      </c>
      <c r="O48" s="96">
        <v>12</v>
      </c>
      <c r="P48" s="97">
        <v>-2775000</v>
      </c>
      <c r="Q48" s="97">
        <v>-809375</v>
      </c>
      <c r="R48" s="97">
        <v>-3584375</v>
      </c>
      <c r="S48" s="97">
        <v>1965625</v>
      </c>
    </row>
    <row r="49" spans="1:19" ht="15" customHeight="1">
      <c r="A49" s="92">
        <v>47</v>
      </c>
      <c r="B49" s="92" t="s">
        <v>487</v>
      </c>
      <c r="C49" s="92" t="s">
        <v>488</v>
      </c>
      <c r="D49" s="93" t="s">
        <v>553</v>
      </c>
      <c r="E49" s="92" t="s">
        <v>490</v>
      </c>
      <c r="F49" s="94">
        <v>45079</v>
      </c>
      <c r="G49" s="95">
        <v>14850000</v>
      </c>
      <c r="H49" s="92">
        <v>48</v>
      </c>
      <c r="I49" s="95">
        <v>309375</v>
      </c>
      <c r="J49" s="96" t="s">
        <v>494</v>
      </c>
      <c r="K49" s="96">
        <v>0</v>
      </c>
      <c r="L49" s="96">
        <v>11</v>
      </c>
      <c r="M49" s="96">
        <v>12</v>
      </c>
      <c r="N49" s="96">
        <v>12</v>
      </c>
      <c r="O49" s="96">
        <v>12</v>
      </c>
      <c r="P49" s="97">
        <v>-7115625</v>
      </c>
      <c r="Q49" s="97">
        <v>-2165625</v>
      </c>
      <c r="R49" s="97">
        <v>-9281250</v>
      </c>
      <c r="S49" s="97">
        <v>5568750</v>
      </c>
    </row>
    <row r="50" spans="1:19" ht="15" customHeight="1">
      <c r="A50" s="92">
        <v>48</v>
      </c>
      <c r="B50" s="92" t="s">
        <v>487</v>
      </c>
      <c r="C50" s="92" t="s">
        <v>488</v>
      </c>
      <c r="D50" s="93" t="s">
        <v>554</v>
      </c>
      <c r="E50" s="92" t="s">
        <v>490</v>
      </c>
      <c r="F50" s="94" t="s">
        <v>555</v>
      </c>
      <c r="G50" s="95">
        <v>7799000</v>
      </c>
      <c r="H50" s="92">
        <v>48</v>
      </c>
      <c r="I50" s="95">
        <v>162479</v>
      </c>
      <c r="J50" s="96" t="s">
        <v>494</v>
      </c>
      <c r="K50" s="96">
        <v>0</v>
      </c>
      <c r="L50" s="96">
        <v>10</v>
      </c>
      <c r="M50" s="96">
        <v>12</v>
      </c>
      <c r="N50" s="96">
        <v>12</v>
      </c>
      <c r="O50" s="96">
        <v>12</v>
      </c>
      <c r="P50" s="97">
        <v>-3574542</v>
      </c>
      <c r="Q50" s="97">
        <v>-1137354</v>
      </c>
      <c r="R50" s="97">
        <v>-4711896</v>
      </c>
      <c r="S50" s="97">
        <v>3087104</v>
      </c>
    </row>
    <row r="51" spans="1:19" ht="15" customHeight="1">
      <c r="A51" s="92">
        <v>49</v>
      </c>
      <c r="B51" s="92" t="s">
        <v>487</v>
      </c>
      <c r="C51" s="92" t="s">
        <v>488</v>
      </c>
      <c r="D51" s="93" t="s">
        <v>556</v>
      </c>
      <c r="E51" s="92" t="s">
        <v>490</v>
      </c>
      <c r="F51" s="94" t="s">
        <v>557</v>
      </c>
      <c r="G51" s="95">
        <v>23397000</v>
      </c>
      <c r="H51" s="92">
        <v>48</v>
      </c>
      <c r="I51" s="95">
        <v>487438</v>
      </c>
      <c r="J51" s="96" t="s">
        <v>494</v>
      </c>
      <c r="K51" s="96">
        <v>0</v>
      </c>
      <c r="L51" s="96">
        <v>10</v>
      </c>
      <c r="M51" s="96">
        <v>12</v>
      </c>
      <c r="N51" s="96">
        <v>12</v>
      </c>
      <c r="O51" s="96">
        <v>12</v>
      </c>
      <c r="P51" s="97">
        <v>-10723625</v>
      </c>
      <c r="Q51" s="97">
        <v>-3412063</v>
      </c>
      <c r="R51" s="97">
        <v>-14135688</v>
      </c>
      <c r="S51" s="97">
        <v>9261313</v>
      </c>
    </row>
    <row r="52" spans="1:19" ht="15" customHeight="1">
      <c r="A52" s="92">
        <v>50</v>
      </c>
      <c r="B52" s="92" t="s">
        <v>487</v>
      </c>
      <c r="C52" s="92" t="s">
        <v>488</v>
      </c>
      <c r="D52" s="93" t="s">
        <v>558</v>
      </c>
      <c r="E52" s="92" t="s">
        <v>490</v>
      </c>
      <c r="F52" s="94" t="s">
        <v>557</v>
      </c>
      <c r="G52" s="95">
        <v>8676900</v>
      </c>
      <c r="H52" s="92">
        <v>48</v>
      </c>
      <c r="I52" s="95">
        <v>180769</v>
      </c>
      <c r="J52" s="96" t="s">
        <v>494</v>
      </c>
      <c r="K52" s="96">
        <v>0</v>
      </c>
      <c r="L52" s="96">
        <v>10</v>
      </c>
      <c r="M52" s="96">
        <v>12</v>
      </c>
      <c r="N52" s="96">
        <v>12</v>
      </c>
      <c r="O52" s="96">
        <v>12</v>
      </c>
      <c r="P52" s="97">
        <v>-3976913</v>
      </c>
      <c r="Q52" s="97">
        <v>-1265381</v>
      </c>
      <c r="R52" s="97">
        <v>-5242294</v>
      </c>
      <c r="S52" s="97">
        <v>3434606</v>
      </c>
    </row>
    <row r="53" spans="1:19" ht="15" customHeight="1">
      <c r="A53" s="92">
        <v>51</v>
      </c>
      <c r="B53" s="92" t="s">
        <v>487</v>
      </c>
      <c r="C53" s="92" t="s">
        <v>488</v>
      </c>
      <c r="D53" s="93" t="s">
        <v>559</v>
      </c>
      <c r="E53" s="92" t="s">
        <v>490</v>
      </c>
      <c r="F53" s="94" t="s">
        <v>555</v>
      </c>
      <c r="G53" s="95">
        <v>19596000</v>
      </c>
      <c r="H53" s="92">
        <v>48</v>
      </c>
      <c r="I53" s="95">
        <v>408250</v>
      </c>
      <c r="J53" s="96" t="s">
        <v>494</v>
      </c>
      <c r="K53" s="96">
        <v>0</v>
      </c>
      <c r="L53" s="96">
        <v>10</v>
      </c>
      <c r="M53" s="96">
        <v>12</v>
      </c>
      <c r="N53" s="96">
        <v>12</v>
      </c>
      <c r="O53" s="96">
        <v>12</v>
      </c>
      <c r="P53" s="97">
        <v>-8981500</v>
      </c>
      <c r="Q53" s="97">
        <v>-2857750</v>
      </c>
      <c r="R53" s="97">
        <v>-11839250</v>
      </c>
      <c r="S53" s="97">
        <v>7756750</v>
      </c>
    </row>
    <row r="54" spans="1:19" ht="15" customHeight="1">
      <c r="A54" s="92">
        <v>52</v>
      </c>
      <c r="B54" s="92" t="s">
        <v>487</v>
      </c>
      <c r="C54" s="92" t="s">
        <v>488</v>
      </c>
      <c r="D54" s="93" t="s">
        <v>560</v>
      </c>
      <c r="E54" s="92" t="s">
        <v>490</v>
      </c>
      <c r="F54" s="94" t="s">
        <v>561</v>
      </c>
      <c r="G54" s="95">
        <v>12299000</v>
      </c>
      <c r="H54" s="92">
        <v>48</v>
      </c>
      <c r="I54" s="95">
        <v>256229</v>
      </c>
      <c r="J54" s="96" t="s">
        <v>494</v>
      </c>
      <c r="K54" s="96">
        <v>0</v>
      </c>
      <c r="L54" s="96">
        <v>9</v>
      </c>
      <c r="M54" s="96">
        <v>12</v>
      </c>
      <c r="N54" s="96">
        <v>12</v>
      </c>
      <c r="O54" s="96">
        <v>12</v>
      </c>
      <c r="P54" s="97">
        <v>-5380813</v>
      </c>
      <c r="Q54" s="97">
        <v>-1793604</v>
      </c>
      <c r="R54" s="97">
        <v>-7174417</v>
      </c>
      <c r="S54" s="97">
        <v>5124583</v>
      </c>
    </row>
    <row r="55" spans="1:19" ht="15" customHeight="1">
      <c r="A55" s="92">
        <v>53</v>
      </c>
      <c r="B55" s="92" t="s">
        <v>487</v>
      </c>
      <c r="C55" s="92" t="s">
        <v>488</v>
      </c>
      <c r="D55" s="93" t="s">
        <v>562</v>
      </c>
      <c r="E55" s="92" t="s">
        <v>490</v>
      </c>
      <c r="F55" s="94" t="s">
        <v>563</v>
      </c>
      <c r="G55" s="95">
        <v>45780000</v>
      </c>
      <c r="H55" s="92">
        <v>48</v>
      </c>
      <c r="I55" s="95">
        <v>953750</v>
      </c>
      <c r="J55" s="96" t="s">
        <v>494</v>
      </c>
      <c r="K55" s="96">
        <v>0</v>
      </c>
      <c r="L55" s="96">
        <v>8</v>
      </c>
      <c r="M55" s="96">
        <v>12</v>
      </c>
      <c r="N55" s="96">
        <v>12</v>
      </c>
      <c r="O55" s="96">
        <v>12</v>
      </c>
      <c r="P55" s="97">
        <v>-19075000</v>
      </c>
      <c r="Q55" s="97">
        <v>-6676250</v>
      </c>
      <c r="R55" s="97">
        <v>-25751250</v>
      </c>
      <c r="S55" s="97">
        <v>20028750</v>
      </c>
    </row>
    <row r="56" spans="1:19" ht="15" customHeight="1">
      <c r="A56" s="92">
        <v>54</v>
      </c>
      <c r="B56" s="92" t="s">
        <v>487</v>
      </c>
      <c r="C56" s="92" t="s">
        <v>488</v>
      </c>
      <c r="D56" s="93" t="s">
        <v>564</v>
      </c>
      <c r="E56" s="92" t="s">
        <v>490</v>
      </c>
      <c r="F56" s="94">
        <v>44931</v>
      </c>
      <c r="G56" s="95">
        <v>35000000</v>
      </c>
      <c r="H56" s="92">
        <v>48</v>
      </c>
      <c r="I56" s="95">
        <v>729167</v>
      </c>
      <c r="J56" s="96" t="s">
        <v>494</v>
      </c>
      <c r="K56" s="96">
        <v>0</v>
      </c>
      <c r="L56" s="96">
        <v>8</v>
      </c>
      <c r="M56" s="96">
        <v>12</v>
      </c>
      <c r="N56" s="96">
        <v>12</v>
      </c>
      <c r="O56" s="96">
        <v>12</v>
      </c>
      <c r="P56" s="97">
        <v>-14583333</v>
      </c>
      <c r="Q56" s="97">
        <v>-5104167</v>
      </c>
      <c r="R56" s="97">
        <v>-19687500</v>
      </c>
      <c r="S56" s="97">
        <v>15312500</v>
      </c>
    </row>
    <row r="57" spans="1:19" ht="15" customHeight="1">
      <c r="A57" s="92">
        <v>55</v>
      </c>
      <c r="B57" s="92" t="s">
        <v>487</v>
      </c>
      <c r="C57" s="92" t="s">
        <v>488</v>
      </c>
      <c r="D57" s="93" t="s">
        <v>565</v>
      </c>
      <c r="E57" s="92" t="s">
        <v>490</v>
      </c>
      <c r="F57" s="94" t="s">
        <v>566</v>
      </c>
      <c r="G57" s="95">
        <v>4650000</v>
      </c>
      <c r="H57" s="92">
        <v>48</v>
      </c>
      <c r="I57" s="95">
        <v>96875</v>
      </c>
      <c r="J57" s="96" t="s">
        <v>494</v>
      </c>
      <c r="K57" s="96">
        <v>0</v>
      </c>
      <c r="L57" s="96">
        <v>7</v>
      </c>
      <c r="M57" s="96">
        <v>12</v>
      </c>
      <c r="N57" s="96">
        <v>12</v>
      </c>
      <c r="O57" s="96">
        <v>12</v>
      </c>
      <c r="P57" s="97">
        <v>-1840625</v>
      </c>
      <c r="Q57" s="97">
        <v>-678125</v>
      </c>
      <c r="R57" s="97">
        <v>-2518750</v>
      </c>
      <c r="S57" s="97">
        <v>2131250</v>
      </c>
    </row>
    <row r="58" spans="1:19" ht="15" customHeight="1">
      <c r="A58" s="92">
        <v>56</v>
      </c>
      <c r="B58" s="92" t="s">
        <v>487</v>
      </c>
      <c r="C58" s="92" t="s">
        <v>488</v>
      </c>
      <c r="D58" s="93" t="s">
        <v>567</v>
      </c>
      <c r="E58" s="92" t="s">
        <v>490</v>
      </c>
      <c r="F58" s="94" t="s">
        <v>566</v>
      </c>
      <c r="G58" s="95">
        <v>5800000</v>
      </c>
      <c r="H58" s="92">
        <v>48</v>
      </c>
      <c r="I58" s="95">
        <v>120833</v>
      </c>
      <c r="J58" s="96" t="s">
        <v>494</v>
      </c>
      <c r="K58" s="96">
        <v>0</v>
      </c>
      <c r="L58" s="96">
        <v>7</v>
      </c>
      <c r="M58" s="96">
        <v>12</v>
      </c>
      <c r="N58" s="96">
        <v>12</v>
      </c>
      <c r="O58" s="96">
        <v>12</v>
      </c>
      <c r="P58" s="97">
        <v>-2295833</v>
      </c>
      <c r="Q58" s="97">
        <v>-845833</v>
      </c>
      <c r="R58" s="97">
        <v>-3141667</v>
      </c>
      <c r="S58" s="97">
        <v>2658333</v>
      </c>
    </row>
    <row r="59" spans="1:19" ht="15" customHeight="1">
      <c r="A59" s="92">
        <v>57</v>
      </c>
      <c r="B59" s="92" t="s">
        <v>487</v>
      </c>
      <c r="C59" s="92" t="s">
        <v>488</v>
      </c>
      <c r="D59" s="93" t="s">
        <v>568</v>
      </c>
      <c r="E59" s="92" t="s">
        <v>490</v>
      </c>
      <c r="F59" s="94" t="s">
        <v>569</v>
      </c>
      <c r="G59" s="95">
        <v>8890739</v>
      </c>
      <c r="H59" s="92">
        <v>48</v>
      </c>
      <c r="I59" s="95">
        <v>185224</v>
      </c>
      <c r="J59" s="96" t="s">
        <v>494</v>
      </c>
      <c r="K59" s="96">
        <v>0</v>
      </c>
      <c r="L59" s="96">
        <v>7</v>
      </c>
      <c r="M59" s="96">
        <v>12</v>
      </c>
      <c r="N59" s="96">
        <v>12</v>
      </c>
      <c r="O59" s="96">
        <v>12</v>
      </c>
      <c r="P59" s="97">
        <v>-3519251</v>
      </c>
      <c r="Q59" s="97">
        <v>-1296566</v>
      </c>
      <c r="R59" s="97">
        <v>-4815817</v>
      </c>
      <c r="S59" s="97">
        <v>4074922</v>
      </c>
    </row>
    <row r="60" spans="1:19" ht="15" customHeight="1">
      <c r="A60" s="92">
        <v>58</v>
      </c>
      <c r="B60" s="92" t="s">
        <v>487</v>
      </c>
      <c r="C60" s="92" t="s">
        <v>488</v>
      </c>
      <c r="D60" s="93" t="s">
        <v>570</v>
      </c>
      <c r="E60" s="92" t="s">
        <v>490</v>
      </c>
      <c r="F60" s="94" t="s">
        <v>569</v>
      </c>
      <c r="G60" s="95">
        <v>6025000</v>
      </c>
      <c r="H60" s="92">
        <v>48</v>
      </c>
      <c r="I60" s="95">
        <v>125521</v>
      </c>
      <c r="J60" s="96" t="s">
        <v>494</v>
      </c>
      <c r="K60" s="96">
        <v>0</v>
      </c>
      <c r="L60" s="96">
        <v>7</v>
      </c>
      <c r="M60" s="96">
        <v>12</v>
      </c>
      <c r="N60" s="96">
        <v>12</v>
      </c>
      <c r="O60" s="96">
        <v>12</v>
      </c>
      <c r="P60" s="97">
        <v>-2384896</v>
      </c>
      <c r="Q60" s="97">
        <v>-878646</v>
      </c>
      <c r="R60" s="97">
        <v>-3263542</v>
      </c>
      <c r="S60" s="97">
        <v>2761458</v>
      </c>
    </row>
    <row r="61" spans="1:19" ht="15" customHeight="1">
      <c r="A61" s="92">
        <v>59</v>
      </c>
      <c r="B61" s="92" t="s">
        <v>487</v>
      </c>
      <c r="C61" s="92" t="s">
        <v>488</v>
      </c>
      <c r="D61" s="93" t="s">
        <v>571</v>
      </c>
      <c r="E61" s="92" t="s">
        <v>490</v>
      </c>
      <c r="F61" s="94">
        <v>45023</v>
      </c>
      <c r="G61" s="95">
        <v>1887000</v>
      </c>
      <c r="H61" s="92">
        <v>48</v>
      </c>
      <c r="I61" s="95">
        <v>39313</v>
      </c>
      <c r="J61" s="96" t="s">
        <v>494</v>
      </c>
      <c r="K61" s="96">
        <v>0</v>
      </c>
      <c r="L61" s="96">
        <v>6</v>
      </c>
      <c r="M61" s="96">
        <v>12</v>
      </c>
      <c r="N61" s="96">
        <v>12</v>
      </c>
      <c r="O61" s="96">
        <v>12</v>
      </c>
      <c r="P61" s="97">
        <v>-707625</v>
      </c>
      <c r="Q61" s="97">
        <v>-275188</v>
      </c>
      <c r="R61" s="97">
        <v>-982813</v>
      </c>
      <c r="S61" s="97">
        <v>904188</v>
      </c>
    </row>
    <row r="62" spans="1:19" ht="15" customHeight="1">
      <c r="A62" s="92">
        <v>60</v>
      </c>
      <c r="B62" s="92" t="s">
        <v>487</v>
      </c>
      <c r="C62" s="92" t="s">
        <v>488</v>
      </c>
      <c r="D62" s="93" t="s">
        <v>572</v>
      </c>
      <c r="E62" s="92" t="s">
        <v>490</v>
      </c>
      <c r="F62" s="94">
        <v>45025</v>
      </c>
      <c r="G62" s="95">
        <v>4121300</v>
      </c>
      <c r="H62" s="92">
        <v>48</v>
      </c>
      <c r="I62" s="95">
        <v>85860</v>
      </c>
      <c r="J62" s="96" t="s">
        <v>494</v>
      </c>
      <c r="K62" s="96">
        <v>0</v>
      </c>
      <c r="L62" s="96">
        <v>4</v>
      </c>
      <c r="M62" s="96">
        <v>12</v>
      </c>
      <c r="N62" s="96">
        <v>12</v>
      </c>
      <c r="O62" s="96">
        <v>12</v>
      </c>
      <c r="P62" s="97">
        <v>-1373767</v>
      </c>
      <c r="Q62" s="97">
        <v>-601023</v>
      </c>
      <c r="R62" s="97">
        <v>-1974790</v>
      </c>
      <c r="S62" s="97">
        <v>2146510</v>
      </c>
    </row>
    <row r="63" spans="1:19" ht="15" customHeight="1">
      <c r="A63" s="92">
        <v>61</v>
      </c>
      <c r="B63" s="92" t="s">
        <v>487</v>
      </c>
      <c r="C63" s="92" t="s">
        <v>488</v>
      </c>
      <c r="D63" s="93" t="s">
        <v>573</v>
      </c>
      <c r="E63" s="92" t="s">
        <v>490</v>
      </c>
      <c r="F63" s="94">
        <v>45240</v>
      </c>
      <c r="G63" s="95">
        <v>21672200</v>
      </c>
      <c r="H63" s="92">
        <v>48</v>
      </c>
      <c r="I63" s="95">
        <v>451504</v>
      </c>
      <c r="J63" s="96" t="s">
        <v>494</v>
      </c>
      <c r="K63" s="96">
        <v>0</v>
      </c>
      <c r="L63" s="96">
        <v>3</v>
      </c>
      <c r="M63" s="96">
        <v>12</v>
      </c>
      <c r="N63" s="96">
        <v>12</v>
      </c>
      <c r="O63" s="96">
        <v>12</v>
      </c>
      <c r="P63" s="97">
        <v>-6772563</v>
      </c>
      <c r="Q63" s="97">
        <v>-3160529</v>
      </c>
      <c r="R63" s="97">
        <v>-9933092</v>
      </c>
      <c r="S63" s="97">
        <v>11739108</v>
      </c>
    </row>
    <row r="64" spans="1:19" ht="15" customHeight="1">
      <c r="A64" s="92">
        <v>62</v>
      </c>
      <c r="B64" s="92" t="s">
        <v>487</v>
      </c>
      <c r="C64" s="92" t="s">
        <v>488</v>
      </c>
      <c r="D64" s="93" t="s">
        <v>574</v>
      </c>
      <c r="E64" s="92" t="s">
        <v>490</v>
      </c>
      <c r="F64" s="94" t="s">
        <v>158</v>
      </c>
      <c r="G64" s="95">
        <v>4269227</v>
      </c>
      <c r="H64" s="92">
        <v>48</v>
      </c>
      <c r="I64" s="95">
        <v>88942</v>
      </c>
      <c r="J64" s="96" t="s">
        <v>494</v>
      </c>
      <c r="K64" s="96">
        <v>0</v>
      </c>
      <c r="L64" s="96">
        <v>2</v>
      </c>
      <c r="M64" s="96">
        <v>12</v>
      </c>
      <c r="N64" s="96">
        <v>12</v>
      </c>
      <c r="O64" s="96">
        <v>12</v>
      </c>
      <c r="P64" s="97">
        <v>-1245191</v>
      </c>
      <c r="Q64" s="97">
        <v>-622596</v>
      </c>
      <c r="R64" s="97">
        <v>-1867787</v>
      </c>
      <c r="S64" s="97">
        <v>2401440</v>
      </c>
    </row>
    <row r="65" spans="1:19" ht="15" customHeight="1">
      <c r="A65" s="92">
        <v>63</v>
      </c>
      <c r="B65" s="92" t="s">
        <v>487</v>
      </c>
      <c r="C65" s="92" t="s">
        <v>488</v>
      </c>
      <c r="D65" s="93" t="s">
        <v>575</v>
      </c>
      <c r="E65" s="92" t="s">
        <v>490</v>
      </c>
      <c r="F65" s="94" t="s">
        <v>158</v>
      </c>
      <c r="G65" s="95">
        <v>15500000</v>
      </c>
      <c r="H65" s="92">
        <v>48</v>
      </c>
      <c r="I65" s="95">
        <v>322917</v>
      </c>
      <c r="J65" s="96" t="s">
        <v>494</v>
      </c>
      <c r="K65" s="96">
        <v>0</v>
      </c>
      <c r="L65" s="96">
        <v>2</v>
      </c>
      <c r="M65" s="96">
        <v>12</v>
      </c>
      <c r="N65" s="96">
        <v>12</v>
      </c>
      <c r="O65" s="96">
        <v>12</v>
      </c>
      <c r="P65" s="97">
        <v>-4520833</v>
      </c>
      <c r="Q65" s="97">
        <v>-2260417</v>
      </c>
      <c r="R65" s="97">
        <v>-6781250</v>
      </c>
      <c r="S65" s="97">
        <v>8718750</v>
      </c>
    </row>
    <row r="66" spans="1:19" ht="15" customHeight="1">
      <c r="A66" s="92">
        <v>64</v>
      </c>
      <c r="B66" s="92" t="s">
        <v>487</v>
      </c>
      <c r="C66" s="92" t="s">
        <v>488</v>
      </c>
      <c r="D66" s="93" t="s">
        <v>576</v>
      </c>
      <c r="E66" s="92" t="s">
        <v>490</v>
      </c>
      <c r="F66" s="94" t="s">
        <v>158</v>
      </c>
      <c r="G66" s="95">
        <v>19980000</v>
      </c>
      <c r="H66" s="92">
        <v>48</v>
      </c>
      <c r="I66" s="95">
        <v>416250</v>
      </c>
      <c r="J66" s="96" t="s">
        <v>494</v>
      </c>
      <c r="K66" s="96">
        <v>0</v>
      </c>
      <c r="L66" s="96">
        <v>2</v>
      </c>
      <c r="M66" s="96">
        <v>12</v>
      </c>
      <c r="N66" s="96">
        <v>12</v>
      </c>
      <c r="O66" s="96">
        <v>12</v>
      </c>
      <c r="P66" s="97">
        <v>-5827500</v>
      </c>
      <c r="Q66" s="97">
        <v>-2913750</v>
      </c>
      <c r="R66" s="97">
        <v>-8741250</v>
      </c>
      <c r="S66" s="97">
        <v>11238750</v>
      </c>
    </row>
    <row r="67" spans="1:19" ht="15" customHeight="1">
      <c r="A67" s="92">
        <v>65</v>
      </c>
      <c r="B67" s="92" t="s">
        <v>487</v>
      </c>
      <c r="C67" s="92" t="s">
        <v>488</v>
      </c>
      <c r="D67" s="93" t="s">
        <v>577</v>
      </c>
      <c r="E67" s="92" t="s">
        <v>490</v>
      </c>
      <c r="F67" s="94" t="s">
        <v>578</v>
      </c>
      <c r="G67" s="95">
        <v>13458750</v>
      </c>
      <c r="H67" s="92">
        <v>48</v>
      </c>
      <c r="I67" s="95">
        <v>280391</v>
      </c>
      <c r="J67" s="96" t="s">
        <v>494</v>
      </c>
      <c r="K67" s="96">
        <v>0</v>
      </c>
      <c r="L67" s="96">
        <v>1</v>
      </c>
      <c r="M67" s="96">
        <v>12</v>
      </c>
      <c r="N67" s="96">
        <v>12</v>
      </c>
      <c r="O67" s="96">
        <v>12</v>
      </c>
      <c r="P67" s="97">
        <v>-3645078</v>
      </c>
      <c r="Q67" s="97">
        <v>-1962734</v>
      </c>
      <c r="R67" s="97">
        <v>-5607813</v>
      </c>
      <c r="S67" s="97">
        <v>7850938</v>
      </c>
    </row>
    <row r="68" spans="1:19" ht="15" customHeight="1">
      <c r="A68" s="92">
        <v>66</v>
      </c>
      <c r="B68" s="92" t="s">
        <v>487</v>
      </c>
      <c r="C68" s="92" t="s">
        <v>488</v>
      </c>
      <c r="D68" s="93" t="s">
        <v>579</v>
      </c>
      <c r="E68" s="92" t="s">
        <v>490</v>
      </c>
      <c r="F68" s="94" t="s">
        <v>580</v>
      </c>
      <c r="G68" s="95">
        <v>10545000</v>
      </c>
      <c r="H68" s="92">
        <v>48</v>
      </c>
      <c r="I68" s="95">
        <v>219688</v>
      </c>
      <c r="J68" s="96" t="s">
        <v>494</v>
      </c>
      <c r="K68" s="96">
        <v>0</v>
      </c>
      <c r="L68" s="96">
        <v>1</v>
      </c>
      <c r="M68" s="96">
        <v>12</v>
      </c>
      <c r="N68" s="96">
        <v>12</v>
      </c>
      <c r="O68" s="96">
        <v>12</v>
      </c>
      <c r="P68" s="97">
        <v>-2855938</v>
      </c>
      <c r="Q68" s="97">
        <v>-1537813</v>
      </c>
      <c r="R68" s="97">
        <v>-4393750</v>
      </c>
      <c r="S68" s="97">
        <v>6151250</v>
      </c>
    </row>
    <row r="69" spans="1:19" ht="15" customHeight="1">
      <c r="A69" s="92">
        <v>67</v>
      </c>
      <c r="B69" s="92" t="s">
        <v>487</v>
      </c>
      <c r="C69" s="92" t="s">
        <v>488</v>
      </c>
      <c r="D69" s="93" t="s">
        <v>581</v>
      </c>
      <c r="E69" s="92" t="s">
        <v>490</v>
      </c>
      <c r="F69" s="94" t="s">
        <v>582</v>
      </c>
      <c r="G69" s="95">
        <v>5016000</v>
      </c>
      <c r="H69" s="92">
        <v>48</v>
      </c>
      <c r="I69" s="95">
        <v>104500</v>
      </c>
      <c r="J69" s="96" t="s">
        <v>494</v>
      </c>
      <c r="K69" s="96">
        <v>0</v>
      </c>
      <c r="L69" s="96" t="s">
        <v>494</v>
      </c>
      <c r="M69" s="96">
        <v>12</v>
      </c>
      <c r="N69" s="96">
        <v>12</v>
      </c>
      <c r="O69" s="96">
        <v>12</v>
      </c>
      <c r="P69" s="97">
        <v>-1254000</v>
      </c>
      <c r="Q69" s="97">
        <v>-731500</v>
      </c>
      <c r="R69" s="97">
        <v>-1985500</v>
      </c>
      <c r="S69" s="97">
        <v>3030500</v>
      </c>
    </row>
    <row r="70" spans="1:19" ht="15" customHeight="1">
      <c r="A70" s="92">
        <v>68</v>
      </c>
      <c r="B70" s="92" t="s">
        <v>487</v>
      </c>
      <c r="C70" s="92" t="s">
        <v>488</v>
      </c>
      <c r="D70" s="93" t="s">
        <v>579</v>
      </c>
      <c r="E70" s="92" t="s">
        <v>490</v>
      </c>
      <c r="F70" s="94">
        <v>44754</v>
      </c>
      <c r="G70" s="95">
        <v>59755000</v>
      </c>
      <c r="H70" s="92">
        <v>48</v>
      </c>
      <c r="I70" s="95">
        <v>1244896</v>
      </c>
      <c r="J70" s="96" t="s">
        <v>494</v>
      </c>
      <c r="K70" s="96">
        <v>1</v>
      </c>
      <c r="L70" s="96">
        <v>12</v>
      </c>
      <c r="M70" s="96">
        <v>12</v>
      </c>
      <c r="N70" s="96">
        <v>12</v>
      </c>
      <c r="O70" s="96">
        <v>11</v>
      </c>
      <c r="P70" s="97">
        <v>-31122396</v>
      </c>
      <c r="Q70" s="97">
        <v>-8714271</v>
      </c>
      <c r="R70" s="97">
        <v>-39836667</v>
      </c>
      <c r="S70" s="97">
        <v>19918333</v>
      </c>
    </row>
    <row r="71" spans="1:19" ht="15" customHeight="1">
      <c r="A71" s="92">
        <v>69</v>
      </c>
      <c r="B71" s="92" t="s">
        <v>487</v>
      </c>
      <c r="C71" s="92" t="s">
        <v>488</v>
      </c>
      <c r="D71" s="93" t="s">
        <v>583</v>
      </c>
      <c r="E71" s="92" t="s">
        <v>490</v>
      </c>
      <c r="F71" s="94">
        <v>45539</v>
      </c>
      <c r="G71" s="95">
        <v>17000000</v>
      </c>
      <c r="H71" s="92">
        <v>48</v>
      </c>
      <c r="I71" s="95">
        <v>354167</v>
      </c>
      <c r="J71" s="96" t="s">
        <v>494</v>
      </c>
      <c r="K71" s="96" t="s">
        <v>494</v>
      </c>
      <c r="L71" s="96" t="s">
        <v>494</v>
      </c>
      <c r="M71" s="96">
        <v>9</v>
      </c>
      <c r="N71" s="96">
        <v>12</v>
      </c>
      <c r="O71" s="96">
        <v>12</v>
      </c>
      <c r="P71" s="97">
        <v>-3187500</v>
      </c>
      <c r="Q71" s="97">
        <v>-2479167</v>
      </c>
      <c r="R71" s="97">
        <v>-5666667</v>
      </c>
      <c r="S71" s="97">
        <v>11333333</v>
      </c>
    </row>
    <row r="72" spans="1:19" ht="15" customHeight="1">
      <c r="A72" s="92">
        <v>70</v>
      </c>
      <c r="B72" s="92" t="s">
        <v>487</v>
      </c>
      <c r="C72" s="92" t="s">
        <v>488</v>
      </c>
      <c r="D72" s="93" t="s">
        <v>584</v>
      </c>
      <c r="E72" s="92" t="s">
        <v>490</v>
      </c>
      <c r="F72" s="94" t="s">
        <v>585</v>
      </c>
      <c r="G72" s="95">
        <v>5100000</v>
      </c>
      <c r="H72" s="92">
        <v>48</v>
      </c>
      <c r="I72" s="95">
        <v>106250</v>
      </c>
      <c r="J72" s="96" t="s">
        <v>494</v>
      </c>
      <c r="K72" s="96" t="s">
        <v>494</v>
      </c>
      <c r="L72" s="96" t="s">
        <v>494</v>
      </c>
      <c r="M72" s="96">
        <v>7</v>
      </c>
      <c r="N72" s="96">
        <v>12</v>
      </c>
      <c r="O72" s="96">
        <v>12</v>
      </c>
      <c r="P72" s="97">
        <v>-743750</v>
      </c>
      <c r="Q72" s="97">
        <v>-743750</v>
      </c>
      <c r="R72" s="97">
        <v>-1487500</v>
      </c>
      <c r="S72" s="97">
        <v>3612500</v>
      </c>
    </row>
    <row r="73" spans="1:19" ht="15" customHeight="1">
      <c r="A73" s="92">
        <v>71</v>
      </c>
      <c r="B73" s="92" t="s">
        <v>487</v>
      </c>
      <c r="C73" s="92" t="s">
        <v>488</v>
      </c>
      <c r="D73" s="93" t="s">
        <v>586</v>
      </c>
      <c r="E73" s="92" t="s">
        <v>490</v>
      </c>
      <c r="F73" s="94">
        <v>45572</v>
      </c>
      <c r="G73" s="95">
        <v>75600000</v>
      </c>
      <c r="H73" s="92">
        <v>48</v>
      </c>
      <c r="I73" s="95">
        <v>1575000</v>
      </c>
      <c r="J73" s="96" t="s">
        <v>494</v>
      </c>
      <c r="K73" s="96" t="s">
        <v>494</v>
      </c>
      <c r="L73" s="96" t="s">
        <v>494</v>
      </c>
      <c r="M73" s="96">
        <v>6</v>
      </c>
      <c r="N73" s="96">
        <v>12</v>
      </c>
      <c r="O73" s="96">
        <v>12</v>
      </c>
      <c r="P73" s="97">
        <v>-9450000</v>
      </c>
      <c r="Q73" s="97">
        <v>-11025000</v>
      </c>
      <c r="R73" s="97">
        <v>-20475000</v>
      </c>
      <c r="S73" s="97">
        <v>55125000</v>
      </c>
    </row>
    <row r="74" spans="1:19" ht="15" customHeight="1">
      <c r="A74" s="92">
        <v>72</v>
      </c>
      <c r="B74" s="92" t="s">
        <v>487</v>
      </c>
      <c r="C74" s="92" t="s">
        <v>488</v>
      </c>
      <c r="D74" s="93" t="s">
        <v>587</v>
      </c>
      <c r="E74" s="92" t="s">
        <v>490</v>
      </c>
      <c r="F74" s="94" t="s">
        <v>588</v>
      </c>
      <c r="G74" s="95">
        <v>4561200</v>
      </c>
      <c r="H74" s="92">
        <v>48</v>
      </c>
      <c r="I74" s="95">
        <v>95025</v>
      </c>
      <c r="J74" s="96" t="s">
        <v>494</v>
      </c>
      <c r="K74" s="96" t="s">
        <v>494</v>
      </c>
      <c r="L74" s="96" t="s">
        <v>494</v>
      </c>
      <c r="M74" s="96">
        <v>6</v>
      </c>
      <c r="N74" s="96">
        <v>12</v>
      </c>
      <c r="O74" s="96">
        <v>12</v>
      </c>
      <c r="P74" s="97">
        <v>-570150</v>
      </c>
      <c r="Q74" s="97">
        <v>-665175</v>
      </c>
      <c r="R74" s="97">
        <v>-1235325</v>
      </c>
      <c r="S74" s="97">
        <v>3325875</v>
      </c>
    </row>
    <row r="75" spans="1:19" ht="15" customHeight="1">
      <c r="A75" s="92">
        <v>73</v>
      </c>
      <c r="B75" s="92" t="s">
        <v>487</v>
      </c>
      <c r="C75" s="92" t="s">
        <v>488</v>
      </c>
      <c r="D75" s="93" t="s">
        <v>589</v>
      </c>
      <c r="E75" s="92" t="s">
        <v>490</v>
      </c>
      <c r="F75" s="94" t="s">
        <v>160</v>
      </c>
      <c r="G75" s="95">
        <v>4750000</v>
      </c>
      <c r="H75" s="92">
        <v>48</v>
      </c>
      <c r="I75" s="95">
        <v>98958</v>
      </c>
      <c r="J75" s="96" t="s">
        <v>494</v>
      </c>
      <c r="K75" s="96" t="s">
        <v>494</v>
      </c>
      <c r="L75" s="96" t="s">
        <v>494</v>
      </c>
      <c r="M75" s="96">
        <v>6</v>
      </c>
      <c r="N75" s="96">
        <v>12</v>
      </c>
      <c r="O75" s="96">
        <v>12</v>
      </c>
      <c r="P75" s="97">
        <v>-593750</v>
      </c>
      <c r="Q75" s="97">
        <v>-692708</v>
      </c>
      <c r="R75" s="97">
        <v>-1286458</v>
      </c>
      <c r="S75" s="97">
        <v>3463542</v>
      </c>
    </row>
    <row r="76" spans="1:19" ht="15" customHeight="1">
      <c r="A76" s="92">
        <v>74</v>
      </c>
      <c r="B76" s="92" t="s">
        <v>487</v>
      </c>
      <c r="C76" s="92" t="s">
        <v>488</v>
      </c>
      <c r="D76" s="93" t="s">
        <v>590</v>
      </c>
      <c r="E76" s="92" t="s">
        <v>490</v>
      </c>
      <c r="F76" s="94">
        <v>45606</v>
      </c>
      <c r="G76" s="95">
        <v>87328430</v>
      </c>
      <c r="H76" s="92">
        <v>48</v>
      </c>
      <c r="I76" s="95">
        <v>1819342</v>
      </c>
      <c r="J76" s="96" t="s">
        <v>494</v>
      </c>
      <c r="K76" s="96" t="s">
        <v>494</v>
      </c>
      <c r="L76" s="96" t="s">
        <v>494</v>
      </c>
      <c r="M76" s="96">
        <v>3</v>
      </c>
      <c r="N76" s="96">
        <v>12</v>
      </c>
      <c r="O76" s="96">
        <v>12</v>
      </c>
      <c r="P76" s="97">
        <v>-5458027</v>
      </c>
      <c r="Q76" s="97">
        <v>-12735396</v>
      </c>
      <c r="R76" s="97">
        <v>-18193423</v>
      </c>
      <c r="S76" s="97">
        <v>69135007</v>
      </c>
    </row>
    <row r="77" spans="1:19" ht="15" customHeight="1">
      <c r="A77" s="92">
        <v>75</v>
      </c>
      <c r="B77" s="92" t="s">
        <v>487</v>
      </c>
      <c r="C77" s="92" t="s">
        <v>488</v>
      </c>
      <c r="D77" s="93" t="s">
        <v>591</v>
      </c>
      <c r="E77" s="92" t="s">
        <v>490</v>
      </c>
      <c r="F77" s="94">
        <v>45606</v>
      </c>
      <c r="G77" s="95">
        <v>142800000</v>
      </c>
      <c r="H77" s="92">
        <v>48</v>
      </c>
      <c r="I77" s="95">
        <v>2975000</v>
      </c>
      <c r="J77" s="96" t="s">
        <v>494</v>
      </c>
      <c r="K77" s="96" t="s">
        <v>494</v>
      </c>
      <c r="L77" s="96" t="s">
        <v>494</v>
      </c>
      <c r="M77" s="96">
        <v>3</v>
      </c>
      <c r="N77" s="96">
        <v>12</v>
      </c>
      <c r="O77" s="96">
        <v>12</v>
      </c>
      <c r="P77" s="97">
        <v>-8925000</v>
      </c>
      <c r="Q77" s="97">
        <v>-20825000</v>
      </c>
      <c r="R77" s="97">
        <v>-29750000</v>
      </c>
      <c r="S77" s="97">
        <v>113050000</v>
      </c>
    </row>
    <row r="78" spans="1:19" ht="15" customHeight="1">
      <c r="A78" s="92">
        <v>76</v>
      </c>
      <c r="B78" s="92" t="s">
        <v>487</v>
      </c>
      <c r="C78" s="92" t="s">
        <v>488</v>
      </c>
      <c r="D78" s="93" t="s">
        <v>592</v>
      </c>
      <c r="E78" s="92" t="s">
        <v>490</v>
      </c>
      <c r="F78" s="94" t="s">
        <v>593</v>
      </c>
      <c r="G78" s="95">
        <v>7288000</v>
      </c>
      <c r="H78" s="92">
        <v>48</v>
      </c>
      <c r="I78" s="95">
        <v>151833</v>
      </c>
      <c r="J78" s="96" t="s">
        <v>494</v>
      </c>
      <c r="K78" s="96" t="s">
        <v>494</v>
      </c>
      <c r="L78" s="96" t="s">
        <v>494</v>
      </c>
      <c r="M78" s="96">
        <v>2</v>
      </c>
      <c r="N78" s="96">
        <v>12</v>
      </c>
      <c r="O78" s="96">
        <v>12</v>
      </c>
      <c r="P78" s="97">
        <v>-303667</v>
      </c>
      <c r="Q78" s="97">
        <v>-1062833</v>
      </c>
      <c r="R78" s="97">
        <v>-1366500</v>
      </c>
      <c r="S78" s="97">
        <v>5921500</v>
      </c>
    </row>
    <row r="79" spans="1:19" ht="15" customHeight="1">
      <c r="A79" s="92">
        <v>77</v>
      </c>
      <c r="B79" s="92" t="s">
        <v>487</v>
      </c>
      <c r="C79" s="92" t="s">
        <v>488</v>
      </c>
      <c r="D79" s="93" t="s">
        <v>594</v>
      </c>
      <c r="E79" s="92" t="s">
        <v>490</v>
      </c>
      <c r="F79" s="94" t="s">
        <v>595</v>
      </c>
      <c r="G79" s="95">
        <v>9646344</v>
      </c>
      <c r="H79" s="92">
        <v>48</v>
      </c>
      <c r="I79" s="95">
        <v>200966</v>
      </c>
      <c r="J79" s="96" t="s">
        <v>494</v>
      </c>
      <c r="K79" s="96" t="s">
        <v>494</v>
      </c>
      <c r="L79" s="96" t="s">
        <v>494</v>
      </c>
      <c r="M79" s="96">
        <v>2</v>
      </c>
      <c r="N79" s="96">
        <v>12</v>
      </c>
      <c r="O79" s="96">
        <v>12</v>
      </c>
      <c r="P79" s="97">
        <v>-401931</v>
      </c>
      <c r="Q79" s="97">
        <v>-1406759</v>
      </c>
      <c r="R79" s="97">
        <v>-1808690</v>
      </c>
      <c r="S79" s="97">
        <v>7837655</v>
      </c>
    </row>
    <row r="80" spans="1:19" ht="15" customHeight="1">
      <c r="A80" s="92">
        <v>78</v>
      </c>
      <c r="B80" s="92" t="s">
        <v>487</v>
      </c>
      <c r="C80" s="92" t="s">
        <v>488</v>
      </c>
      <c r="D80" s="93" t="s">
        <v>596</v>
      </c>
      <c r="E80" s="92" t="s">
        <v>490</v>
      </c>
      <c r="F80" s="94">
        <v>45723</v>
      </c>
      <c r="G80" s="95">
        <v>145474657</v>
      </c>
      <c r="H80" s="92">
        <v>48</v>
      </c>
      <c r="I80" s="95">
        <v>3030722</v>
      </c>
      <c r="J80" s="96" t="s">
        <v>494</v>
      </c>
      <c r="K80" s="96" t="s">
        <v>494</v>
      </c>
      <c r="L80" s="96" t="s">
        <v>494</v>
      </c>
      <c r="M80" s="96" t="s">
        <v>494</v>
      </c>
      <c r="N80" s="96">
        <v>6</v>
      </c>
      <c r="O80" s="96">
        <v>12</v>
      </c>
      <c r="P80" s="97" t="s">
        <v>151</v>
      </c>
      <c r="Q80" s="97">
        <v>-21215054</v>
      </c>
      <c r="R80" s="97">
        <v>-21215054</v>
      </c>
      <c r="S80" s="97">
        <v>124259603</v>
      </c>
    </row>
    <row r="81" spans="1:19" ht="15" customHeight="1">
      <c r="A81" s="92">
        <v>79</v>
      </c>
      <c r="B81" s="92" t="s">
        <v>487</v>
      </c>
      <c r="C81" s="92" t="s">
        <v>488</v>
      </c>
      <c r="D81" s="93" t="s">
        <v>597</v>
      </c>
      <c r="E81" s="92" t="s">
        <v>490</v>
      </c>
      <c r="F81" s="94">
        <v>45723</v>
      </c>
      <c r="G81" s="95">
        <v>3252522</v>
      </c>
      <c r="H81" s="92">
        <v>48</v>
      </c>
      <c r="I81" s="95">
        <v>67761</v>
      </c>
      <c r="J81" s="96" t="s">
        <v>494</v>
      </c>
      <c r="K81" s="96" t="s">
        <v>494</v>
      </c>
      <c r="L81" s="96" t="s">
        <v>494</v>
      </c>
      <c r="M81" s="96" t="s">
        <v>494</v>
      </c>
      <c r="N81" s="96">
        <v>6</v>
      </c>
      <c r="O81" s="96">
        <v>12</v>
      </c>
      <c r="P81" s="97" t="s">
        <v>151</v>
      </c>
      <c r="Q81" s="97">
        <v>-474326</v>
      </c>
      <c r="R81" s="97">
        <v>-474326</v>
      </c>
      <c r="S81" s="97">
        <v>2778196</v>
      </c>
    </row>
    <row r="82" spans="1:19" ht="15" customHeight="1">
      <c r="A82" s="92">
        <v>80</v>
      </c>
      <c r="B82" s="92" t="s">
        <v>487</v>
      </c>
      <c r="C82" s="92" t="s">
        <v>598</v>
      </c>
      <c r="D82" s="93" t="s">
        <v>599</v>
      </c>
      <c r="E82" s="92" t="s">
        <v>490</v>
      </c>
      <c r="F82" s="94">
        <v>45025</v>
      </c>
      <c r="G82" s="95">
        <v>296000000</v>
      </c>
      <c r="H82" s="92">
        <v>60</v>
      </c>
      <c r="I82" s="95">
        <v>4933333</v>
      </c>
      <c r="J82" s="96" t="s">
        <v>494</v>
      </c>
      <c r="K82" s="96" t="s">
        <v>494</v>
      </c>
      <c r="L82" s="96">
        <v>4</v>
      </c>
      <c r="M82" s="96">
        <v>12</v>
      </c>
      <c r="N82" s="96">
        <v>12</v>
      </c>
      <c r="O82" s="96">
        <v>12</v>
      </c>
      <c r="P82" s="97">
        <v>-78933333</v>
      </c>
      <c r="Q82" s="97">
        <v>-34533333</v>
      </c>
      <c r="R82" s="97">
        <v>-113466667</v>
      </c>
      <c r="S82" s="97">
        <v>182533333</v>
      </c>
    </row>
    <row r="83" spans="1:19" ht="15" customHeight="1">
      <c r="A83" s="92">
        <v>81</v>
      </c>
      <c r="B83" s="92" t="s">
        <v>487</v>
      </c>
      <c r="C83" s="92" t="s">
        <v>600</v>
      </c>
      <c r="D83" s="93" t="s">
        <v>601</v>
      </c>
      <c r="E83" s="92" t="s">
        <v>490</v>
      </c>
      <c r="F83" s="94" t="s">
        <v>602</v>
      </c>
      <c r="G83" s="95">
        <v>236649414</v>
      </c>
      <c r="H83" s="92">
        <v>48</v>
      </c>
      <c r="I83" s="95">
        <v>4930196</v>
      </c>
      <c r="J83" s="96" t="s">
        <v>494</v>
      </c>
      <c r="K83" s="96">
        <v>8</v>
      </c>
      <c r="L83" s="96">
        <v>12</v>
      </c>
      <c r="M83" s="96">
        <v>12</v>
      </c>
      <c r="N83" s="96">
        <v>12</v>
      </c>
      <c r="O83" s="96">
        <v>4</v>
      </c>
      <c r="P83" s="97">
        <v>-157766276</v>
      </c>
      <c r="Q83" s="97">
        <v>-34511373</v>
      </c>
      <c r="R83" s="97">
        <v>-192277649</v>
      </c>
      <c r="S83" s="97">
        <v>44371765</v>
      </c>
    </row>
    <row r="84" spans="1:19" ht="15" customHeight="1">
      <c r="A84" s="92">
        <v>82</v>
      </c>
      <c r="B84" s="92" t="s">
        <v>487</v>
      </c>
      <c r="C84" s="92" t="s">
        <v>600</v>
      </c>
      <c r="D84" s="93" t="s">
        <v>603</v>
      </c>
      <c r="E84" s="92" t="s">
        <v>490</v>
      </c>
      <c r="F84" s="94">
        <v>44569</v>
      </c>
      <c r="G84" s="95">
        <v>9760590797</v>
      </c>
      <c r="H84" s="92">
        <v>48</v>
      </c>
      <c r="I84" s="95">
        <v>203345642</v>
      </c>
      <c r="J84" s="96" t="s">
        <v>494</v>
      </c>
      <c r="K84" s="96">
        <v>5</v>
      </c>
      <c r="L84" s="96">
        <v>12</v>
      </c>
      <c r="M84" s="96">
        <v>12</v>
      </c>
      <c r="N84" s="96">
        <v>12</v>
      </c>
      <c r="O84" s="96">
        <v>7</v>
      </c>
      <c r="P84" s="97">
        <v>-5897023607</v>
      </c>
      <c r="Q84" s="97">
        <v>-1423419491</v>
      </c>
      <c r="R84" s="97">
        <v>-7320443098</v>
      </c>
      <c r="S84" s="97">
        <v>2440147699</v>
      </c>
    </row>
    <row r="85" spans="1:19" ht="15" customHeight="1">
      <c r="A85" s="92">
        <v>83</v>
      </c>
      <c r="B85" s="92" t="s">
        <v>487</v>
      </c>
      <c r="C85" s="92" t="s">
        <v>600</v>
      </c>
      <c r="D85" s="93" t="s">
        <v>604</v>
      </c>
      <c r="E85" s="92" t="s">
        <v>490</v>
      </c>
      <c r="F85" s="94">
        <v>44447</v>
      </c>
      <c r="G85" s="95">
        <v>9850000</v>
      </c>
      <c r="H85" s="92">
        <v>48</v>
      </c>
      <c r="I85" s="95">
        <v>205208</v>
      </c>
      <c r="J85" s="96" t="s">
        <v>494</v>
      </c>
      <c r="K85" s="96">
        <v>17</v>
      </c>
      <c r="L85" s="96">
        <v>12</v>
      </c>
      <c r="M85" s="96">
        <v>12</v>
      </c>
      <c r="N85" s="96">
        <v>7</v>
      </c>
      <c r="O85" s="96">
        <v>0</v>
      </c>
      <c r="P85" s="97">
        <v>-8413542</v>
      </c>
      <c r="Q85" s="97">
        <v>-1436458</v>
      </c>
      <c r="R85" s="97">
        <v>-9850000</v>
      </c>
      <c r="S85" s="97" t="s">
        <v>492</v>
      </c>
    </row>
    <row r="86" spans="1:19" ht="15" customHeight="1">
      <c r="A86" s="92">
        <v>84</v>
      </c>
      <c r="B86" s="92" t="s">
        <v>487</v>
      </c>
      <c r="C86" s="92" t="s">
        <v>600</v>
      </c>
      <c r="D86" s="93" t="s">
        <v>605</v>
      </c>
      <c r="E86" s="92" t="s">
        <v>490</v>
      </c>
      <c r="F86" s="94">
        <v>44327</v>
      </c>
      <c r="G86" s="95">
        <v>15000000</v>
      </c>
      <c r="H86" s="92">
        <v>48</v>
      </c>
      <c r="I86" s="95">
        <v>312500</v>
      </c>
      <c r="J86" s="96" t="s">
        <v>494</v>
      </c>
      <c r="K86" s="96">
        <v>14</v>
      </c>
      <c r="L86" s="96">
        <v>12</v>
      </c>
      <c r="M86" s="96">
        <v>12</v>
      </c>
      <c r="N86" s="96">
        <v>10</v>
      </c>
      <c r="O86" s="96">
        <v>0</v>
      </c>
      <c r="P86" s="97">
        <v>-11875000</v>
      </c>
      <c r="Q86" s="97">
        <v>-2187500</v>
      </c>
      <c r="R86" s="97">
        <v>-14062500</v>
      </c>
      <c r="S86" s="97">
        <v>937500</v>
      </c>
    </row>
    <row r="87" spans="1:19" ht="15" customHeight="1">
      <c r="A87" s="92">
        <v>85</v>
      </c>
      <c r="B87" s="92" t="s">
        <v>487</v>
      </c>
      <c r="C87" s="92" t="s">
        <v>600</v>
      </c>
      <c r="D87" s="93" t="s">
        <v>606</v>
      </c>
      <c r="E87" s="92" t="s">
        <v>490</v>
      </c>
      <c r="F87" s="94" t="s">
        <v>607</v>
      </c>
      <c r="G87" s="95">
        <v>3199000</v>
      </c>
      <c r="H87" s="92">
        <v>48</v>
      </c>
      <c r="I87" s="95">
        <v>66646</v>
      </c>
      <c r="J87" s="96" t="s">
        <v>494</v>
      </c>
      <c r="K87" s="96">
        <v>8</v>
      </c>
      <c r="L87" s="96">
        <v>12</v>
      </c>
      <c r="M87" s="96">
        <v>12</v>
      </c>
      <c r="N87" s="96">
        <v>12</v>
      </c>
      <c r="O87" s="96">
        <v>4</v>
      </c>
      <c r="P87" s="97">
        <v>-2132667</v>
      </c>
      <c r="Q87" s="97">
        <v>-466521</v>
      </c>
      <c r="R87" s="97">
        <v>-2599188</v>
      </c>
      <c r="S87" s="97">
        <v>599813</v>
      </c>
    </row>
    <row r="88" spans="1:19" ht="15" customHeight="1">
      <c r="A88" s="92">
        <v>86</v>
      </c>
      <c r="B88" s="92" t="s">
        <v>487</v>
      </c>
      <c r="C88" s="92" t="s">
        <v>600</v>
      </c>
      <c r="D88" s="93" t="s">
        <v>608</v>
      </c>
      <c r="E88" s="92" t="s">
        <v>490</v>
      </c>
      <c r="F88" s="94" t="s">
        <v>609</v>
      </c>
      <c r="G88" s="95">
        <v>7200000</v>
      </c>
      <c r="H88" s="92">
        <v>48</v>
      </c>
      <c r="I88" s="95">
        <v>150000</v>
      </c>
      <c r="J88" s="96" t="s">
        <v>494</v>
      </c>
      <c r="K88" s="96">
        <v>6</v>
      </c>
      <c r="L88" s="96">
        <v>12</v>
      </c>
      <c r="M88" s="96">
        <v>12</v>
      </c>
      <c r="N88" s="96">
        <v>12</v>
      </c>
      <c r="O88" s="96">
        <v>6</v>
      </c>
      <c r="P88" s="97">
        <v>-4500000</v>
      </c>
      <c r="Q88" s="97">
        <v>-1050000</v>
      </c>
      <c r="R88" s="97">
        <v>-5550000</v>
      </c>
      <c r="S88" s="97">
        <v>1650000</v>
      </c>
    </row>
    <row r="89" spans="1:19" ht="15" customHeight="1">
      <c r="A89" s="92">
        <v>87</v>
      </c>
      <c r="B89" s="92" t="s">
        <v>487</v>
      </c>
      <c r="C89" s="92" t="s">
        <v>600</v>
      </c>
      <c r="D89" s="93" t="s">
        <v>610</v>
      </c>
      <c r="E89" s="92" t="s">
        <v>490</v>
      </c>
      <c r="F89" s="94" t="s">
        <v>609</v>
      </c>
      <c r="G89" s="95">
        <v>5325000</v>
      </c>
      <c r="H89" s="92">
        <v>48</v>
      </c>
      <c r="I89" s="95">
        <v>110938</v>
      </c>
      <c r="J89" s="96" t="s">
        <v>494</v>
      </c>
      <c r="K89" s="96">
        <v>6</v>
      </c>
      <c r="L89" s="96">
        <v>12</v>
      </c>
      <c r="M89" s="96">
        <v>12</v>
      </c>
      <c r="N89" s="96">
        <v>12</v>
      </c>
      <c r="O89" s="96">
        <v>6</v>
      </c>
      <c r="P89" s="97">
        <v>-3328125</v>
      </c>
      <c r="Q89" s="97">
        <v>-776563</v>
      </c>
      <c r="R89" s="97">
        <v>-4104688</v>
      </c>
      <c r="S89" s="97">
        <v>1220313</v>
      </c>
    </row>
    <row r="90" spans="1:19" ht="15" customHeight="1">
      <c r="A90" s="92">
        <v>88</v>
      </c>
      <c r="B90" s="92" t="s">
        <v>487</v>
      </c>
      <c r="C90" s="92" t="s">
        <v>600</v>
      </c>
      <c r="D90" s="93" t="s">
        <v>611</v>
      </c>
      <c r="E90" s="92" t="s">
        <v>490</v>
      </c>
      <c r="F90" s="94">
        <v>44751</v>
      </c>
      <c r="G90" s="95">
        <v>36741000</v>
      </c>
      <c r="H90" s="92">
        <v>48</v>
      </c>
      <c r="I90" s="95">
        <v>765438</v>
      </c>
      <c r="J90" s="96" t="s">
        <v>494</v>
      </c>
      <c r="K90" s="96">
        <v>4</v>
      </c>
      <c r="L90" s="96">
        <v>12</v>
      </c>
      <c r="M90" s="96">
        <v>12</v>
      </c>
      <c r="N90" s="96">
        <v>12</v>
      </c>
      <c r="O90" s="96">
        <v>8</v>
      </c>
      <c r="P90" s="97">
        <v>-21432250</v>
      </c>
      <c r="Q90" s="97">
        <v>-5358063</v>
      </c>
      <c r="R90" s="97">
        <v>-26790313</v>
      </c>
      <c r="S90" s="97">
        <v>9950688</v>
      </c>
    </row>
    <row r="91" spans="1:19" ht="15" customHeight="1">
      <c r="A91" s="92">
        <v>89</v>
      </c>
      <c r="B91" s="92" t="s">
        <v>487</v>
      </c>
      <c r="C91" s="92" t="s">
        <v>600</v>
      </c>
      <c r="D91" s="93" t="s">
        <v>612</v>
      </c>
      <c r="E91" s="92" t="s">
        <v>490</v>
      </c>
      <c r="F91" s="94">
        <v>44904</v>
      </c>
      <c r="G91" s="95">
        <v>8691300</v>
      </c>
      <c r="H91" s="92">
        <v>48</v>
      </c>
      <c r="I91" s="95">
        <v>181069</v>
      </c>
      <c r="J91" s="96" t="s">
        <v>494</v>
      </c>
      <c r="K91" s="96">
        <v>4</v>
      </c>
      <c r="L91" s="96">
        <v>12</v>
      </c>
      <c r="M91" s="96">
        <v>12</v>
      </c>
      <c r="N91" s="96">
        <v>12</v>
      </c>
      <c r="O91" s="96">
        <v>8</v>
      </c>
      <c r="P91" s="97">
        <v>-5069925</v>
      </c>
      <c r="Q91" s="97">
        <v>-1267481</v>
      </c>
      <c r="R91" s="97">
        <v>-6337406</v>
      </c>
      <c r="S91" s="97">
        <v>2353894</v>
      </c>
    </row>
    <row r="92" spans="1:19" ht="15" customHeight="1">
      <c r="A92" s="92">
        <v>90</v>
      </c>
      <c r="B92" s="92" t="s">
        <v>487</v>
      </c>
      <c r="C92" s="92" t="s">
        <v>600</v>
      </c>
      <c r="D92" s="93" t="s">
        <v>613</v>
      </c>
      <c r="E92" s="92" t="s">
        <v>490</v>
      </c>
      <c r="F92" s="94">
        <v>44904</v>
      </c>
      <c r="G92" s="95">
        <v>2500000</v>
      </c>
      <c r="H92" s="92">
        <v>48</v>
      </c>
      <c r="I92" s="95">
        <v>52083</v>
      </c>
      <c r="J92" s="96" t="s">
        <v>494</v>
      </c>
      <c r="K92" s="96">
        <v>4</v>
      </c>
      <c r="L92" s="96">
        <v>12</v>
      </c>
      <c r="M92" s="96">
        <v>12</v>
      </c>
      <c r="N92" s="96">
        <v>12</v>
      </c>
      <c r="O92" s="96">
        <v>8</v>
      </c>
      <c r="P92" s="97">
        <v>-1458333</v>
      </c>
      <c r="Q92" s="97">
        <v>-364583</v>
      </c>
      <c r="R92" s="97">
        <v>-1822917</v>
      </c>
      <c r="S92" s="97">
        <v>677083</v>
      </c>
    </row>
    <row r="93" spans="1:19" ht="15" customHeight="1">
      <c r="A93" s="92">
        <v>91</v>
      </c>
      <c r="B93" s="92" t="s">
        <v>487</v>
      </c>
      <c r="C93" s="92" t="s">
        <v>600</v>
      </c>
      <c r="D93" s="93" t="s">
        <v>614</v>
      </c>
      <c r="E93" s="92" t="s">
        <v>490</v>
      </c>
      <c r="F93" s="94" t="s">
        <v>503</v>
      </c>
      <c r="G93" s="95">
        <v>6000000</v>
      </c>
      <c r="H93" s="92">
        <v>48</v>
      </c>
      <c r="I93" s="95">
        <v>125000</v>
      </c>
      <c r="J93" s="96" t="s">
        <v>494</v>
      </c>
      <c r="K93" s="96">
        <v>4</v>
      </c>
      <c r="L93" s="96">
        <v>12</v>
      </c>
      <c r="M93" s="96">
        <v>12</v>
      </c>
      <c r="N93" s="96">
        <v>12</v>
      </c>
      <c r="O93" s="96">
        <v>8</v>
      </c>
      <c r="P93" s="97">
        <v>-3500000</v>
      </c>
      <c r="Q93" s="97">
        <v>-875000</v>
      </c>
      <c r="R93" s="97">
        <v>-4375000</v>
      </c>
      <c r="S93" s="97">
        <v>1625000</v>
      </c>
    </row>
    <row r="94" spans="1:19" ht="15" customHeight="1">
      <c r="A94" s="92">
        <v>92</v>
      </c>
      <c r="B94" s="92" t="s">
        <v>487</v>
      </c>
      <c r="C94" s="92" t="s">
        <v>600</v>
      </c>
      <c r="D94" s="93" t="s">
        <v>615</v>
      </c>
      <c r="E94" s="92" t="s">
        <v>490</v>
      </c>
      <c r="F94" s="94" t="s">
        <v>508</v>
      </c>
      <c r="G94" s="95">
        <v>19000000</v>
      </c>
      <c r="H94" s="92">
        <v>48</v>
      </c>
      <c r="I94" s="95">
        <v>395833</v>
      </c>
      <c r="J94" s="96" t="s">
        <v>494</v>
      </c>
      <c r="K94" s="96">
        <v>4</v>
      </c>
      <c r="L94" s="96">
        <v>12</v>
      </c>
      <c r="M94" s="96">
        <v>12</v>
      </c>
      <c r="N94" s="96">
        <v>12</v>
      </c>
      <c r="O94" s="96">
        <v>8</v>
      </c>
      <c r="P94" s="97">
        <v>-11083333</v>
      </c>
      <c r="Q94" s="97">
        <v>-2770833</v>
      </c>
      <c r="R94" s="97">
        <v>-13854167</v>
      </c>
      <c r="S94" s="97">
        <v>5145833</v>
      </c>
    </row>
    <row r="95" spans="1:19" ht="15" customHeight="1">
      <c r="A95" s="92">
        <v>93</v>
      </c>
      <c r="B95" s="92" t="s">
        <v>487</v>
      </c>
      <c r="C95" s="92" t="s">
        <v>600</v>
      </c>
      <c r="D95" s="93" t="s">
        <v>616</v>
      </c>
      <c r="E95" s="92" t="s">
        <v>490</v>
      </c>
      <c r="F95" s="94" t="s">
        <v>508</v>
      </c>
      <c r="G95" s="95">
        <v>14800000</v>
      </c>
      <c r="H95" s="92">
        <v>48</v>
      </c>
      <c r="I95" s="95">
        <v>308333</v>
      </c>
      <c r="J95" s="96" t="s">
        <v>494</v>
      </c>
      <c r="K95" s="96">
        <v>4</v>
      </c>
      <c r="L95" s="96">
        <v>12</v>
      </c>
      <c r="M95" s="96">
        <v>12</v>
      </c>
      <c r="N95" s="96">
        <v>12</v>
      </c>
      <c r="O95" s="96">
        <v>8</v>
      </c>
      <c r="P95" s="97">
        <v>-8633333</v>
      </c>
      <c r="Q95" s="97">
        <v>-2158333</v>
      </c>
      <c r="R95" s="97">
        <v>-10791667</v>
      </c>
      <c r="S95" s="97">
        <v>4008333</v>
      </c>
    </row>
    <row r="96" spans="1:19" ht="15" customHeight="1">
      <c r="A96" s="92">
        <v>94</v>
      </c>
      <c r="B96" s="92" t="s">
        <v>487</v>
      </c>
      <c r="C96" s="92" t="s">
        <v>600</v>
      </c>
      <c r="D96" s="93" t="s">
        <v>617</v>
      </c>
      <c r="E96" s="92" t="s">
        <v>490</v>
      </c>
      <c r="F96" s="94" t="s">
        <v>508</v>
      </c>
      <c r="G96" s="95">
        <v>4649000</v>
      </c>
      <c r="H96" s="92">
        <v>48</v>
      </c>
      <c r="I96" s="95">
        <v>96854</v>
      </c>
      <c r="J96" s="96" t="s">
        <v>494</v>
      </c>
      <c r="K96" s="96">
        <v>4</v>
      </c>
      <c r="L96" s="96">
        <v>12</v>
      </c>
      <c r="M96" s="96">
        <v>12</v>
      </c>
      <c r="N96" s="96">
        <v>12</v>
      </c>
      <c r="O96" s="96">
        <v>8</v>
      </c>
      <c r="P96" s="97">
        <v>-2711917</v>
      </c>
      <c r="Q96" s="97">
        <v>-677979</v>
      </c>
      <c r="R96" s="97">
        <v>-3389896</v>
      </c>
      <c r="S96" s="97">
        <v>1259104</v>
      </c>
    </row>
    <row r="97" spans="1:19" ht="15" customHeight="1">
      <c r="A97" s="92">
        <v>95</v>
      </c>
      <c r="B97" s="92" t="s">
        <v>487</v>
      </c>
      <c r="C97" s="92" t="s">
        <v>600</v>
      </c>
      <c r="D97" s="93" t="s">
        <v>618</v>
      </c>
      <c r="E97" s="92" t="s">
        <v>490</v>
      </c>
      <c r="F97" s="94" t="s">
        <v>508</v>
      </c>
      <c r="G97" s="95">
        <v>34410000</v>
      </c>
      <c r="H97" s="92">
        <v>48</v>
      </c>
      <c r="I97" s="95">
        <v>716875</v>
      </c>
      <c r="J97" s="96" t="s">
        <v>494</v>
      </c>
      <c r="K97" s="96">
        <v>4</v>
      </c>
      <c r="L97" s="96">
        <v>12</v>
      </c>
      <c r="M97" s="96">
        <v>12</v>
      </c>
      <c r="N97" s="96">
        <v>12</v>
      </c>
      <c r="O97" s="96">
        <v>8</v>
      </c>
      <c r="P97" s="97">
        <v>-20072500</v>
      </c>
      <c r="Q97" s="97">
        <v>-5018125</v>
      </c>
      <c r="R97" s="97">
        <v>-25090625</v>
      </c>
      <c r="S97" s="97">
        <v>9319375</v>
      </c>
    </row>
    <row r="98" spans="1:19" ht="15" customHeight="1">
      <c r="A98" s="92">
        <v>96</v>
      </c>
      <c r="B98" s="92" t="s">
        <v>487</v>
      </c>
      <c r="C98" s="92" t="s">
        <v>600</v>
      </c>
      <c r="D98" s="93" t="s">
        <v>619</v>
      </c>
      <c r="E98" s="92" t="s">
        <v>490</v>
      </c>
      <c r="F98" s="94" t="s">
        <v>508</v>
      </c>
      <c r="G98" s="95">
        <v>16913625</v>
      </c>
      <c r="H98" s="92">
        <v>48</v>
      </c>
      <c r="I98" s="95">
        <v>352367</v>
      </c>
      <c r="J98" s="96" t="s">
        <v>494</v>
      </c>
      <c r="K98" s="96">
        <v>4</v>
      </c>
      <c r="L98" s="96">
        <v>12</v>
      </c>
      <c r="M98" s="96">
        <v>12</v>
      </c>
      <c r="N98" s="96">
        <v>12</v>
      </c>
      <c r="O98" s="96">
        <v>8</v>
      </c>
      <c r="P98" s="97">
        <v>-9866281</v>
      </c>
      <c r="Q98" s="97">
        <v>-2466570</v>
      </c>
      <c r="R98" s="97">
        <v>-12332852</v>
      </c>
      <c r="S98" s="97">
        <v>4580773</v>
      </c>
    </row>
    <row r="99" spans="1:19" ht="15" customHeight="1">
      <c r="A99" s="92">
        <v>97</v>
      </c>
      <c r="B99" s="92" t="s">
        <v>487</v>
      </c>
      <c r="C99" s="92" t="s">
        <v>600</v>
      </c>
      <c r="D99" s="93" t="s">
        <v>620</v>
      </c>
      <c r="E99" s="92" t="s">
        <v>490</v>
      </c>
      <c r="F99" s="94" t="s">
        <v>508</v>
      </c>
      <c r="G99" s="95">
        <v>5149000</v>
      </c>
      <c r="H99" s="92">
        <v>48</v>
      </c>
      <c r="I99" s="95">
        <v>107271</v>
      </c>
      <c r="J99" s="96" t="s">
        <v>494</v>
      </c>
      <c r="K99" s="96">
        <v>4</v>
      </c>
      <c r="L99" s="96">
        <v>12</v>
      </c>
      <c r="M99" s="96">
        <v>12</v>
      </c>
      <c r="N99" s="96">
        <v>12</v>
      </c>
      <c r="O99" s="96">
        <v>8</v>
      </c>
      <c r="P99" s="97">
        <v>-3003583</v>
      </c>
      <c r="Q99" s="97">
        <v>-750896</v>
      </c>
      <c r="R99" s="97">
        <v>-3754479</v>
      </c>
      <c r="S99" s="97">
        <v>1394521</v>
      </c>
    </row>
    <row r="100" spans="1:19" ht="15" customHeight="1">
      <c r="A100" s="92">
        <v>98</v>
      </c>
      <c r="B100" s="92" t="s">
        <v>487</v>
      </c>
      <c r="C100" s="92" t="s">
        <v>600</v>
      </c>
      <c r="D100" s="93" t="s">
        <v>621</v>
      </c>
      <c r="E100" s="92" t="s">
        <v>490</v>
      </c>
      <c r="F100" s="94" t="s">
        <v>508</v>
      </c>
      <c r="G100" s="95">
        <v>7915000</v>
      </c>
      <c r="H100" s="92">
        <v>48</v>
      </c>
      <c r="I100" s="95">
        <v>164896</v>
      </c>
      <c r="J100" s="96" t="s">
        <v>494</v>
      </c>
      <c r="K100" s="96">
        <v>4</v>
      </c>
      <c r="L100" s="96">
        <v>12</v>
      </c>
      <c r="M100" s="96">
        <v>12</v>
      </c>
      <c r="N100" s="96">
        <v>12</v>
      </c>
      <c r="O100" s="96">
        <v>8</v>
      </c>
      <c r="P100" s="97">
        <v>-4617083</v>
      </c>
      <c r="Q100" s="97">
        <v>-1154271</v>
      </c>
      <c r="R100" s="97">
        <v>-5771354</v>
      </c>
      <c r="S100" s="97">
        <v>2143646</v>
      </c>
    </row>
    <row r="101" spans="1:19" ht="15" customHeight="1">
      <c r="A101" s="92">
        <v>99</v>
      </c>
      <c r="B101" s="92" t="s">
        <v>487</v>
      </c>
      <c r="C101" s="92" t="s">
        <v>600</v>
      </c>
      <c r="D101" s="93" t="s">
        <v>622</v>
      </c>
      <c r="E101" s="92" t="s">
        <v>490</v>
      </c>
      <c r="F101" s="94" t="s">
        <v>508</v>
      </c>
      <c r="G101" s="95">
        <v>9849000</v>
      </c>
      <c r="H101" s="92">
        <v>48</v>
      </c>
      <c r="I101" s="95">
        <v>205188</v>
      </c>
      <c r="J101" s="96" t="s">
        <v>494</v>
      </c>
      <c r="K101" s="96">
        <v>4</v>
      </c>
      <c r="L101" s="96">
        <v>12</v>
      </c>
      <c r="M101" s="96">
        <v>12</v>
      </c>
      <c r="N101" s="96">
        <v>12</v>
      </c>
      <c r="O101" s="96">
        <v>8</v>
      </c>
      <c r="P101" s="97">
        <v>-5745250</v>
      </c>
      <c r="Q101" s="97">
        <v>-1436313</v>
      </c>
      <c r="R101" s="97">
        <v>-7181563</v>
      </c>
      <c r="S101" s="97">
        <v>2667438</v>
      </c>
    </row>
    <row r="102" spans="1:19" ht="15" customHeight="1">
      <c r="A102" s="92">
        <v>100</v>
      </c>
      <c r="B102" s="92" t="s">
        <v>487</v>
      </c>
      <c r="C102" s="92" t="s">
        <v>600</v>
      </c>
      <c r="D102" s="93" t="s">
        <v>623</v>
      </c>
      <c r="E102" s="92" t="s">
        <v>490</v>
      </c>
      <c r="F102" s="94">
        <v>44691</v>
      </c>
      <c r="G102" s="95">
        <v>2220000</v>
      </c>
      <c r="H102" s="92">
        <v>48</v>
      </c>
      <c r="I102" s="95">
        <v>46250</v>
      </c>
      <c r="J102" s="96" t="s">
        <v>494</v>
      </c>
      <c r="K102" s="96">
        <v>3</v>
      </c>
      <c r="L102" s="96">
        <v>12</v>
      </c>
      <c r="M102" s="96">
        <v>12</v>
      </c>
      <c r="N102" s="96">
        <v>12</v>
      </c>
      <c r="O102" s="96">
        <v>9</v>
      </c>
      <c r="P102" s="97">
        <v>-1248750</v>
      </c>
      <c r="Q102" s="97">
        <v>-323750</v>
      </c>
      <c r="R102" s="97">
        <v>-1572500</v>
      </c>
      <c r="S102" s="97">
        <v>647500</v>
      </c>
    </row>
    <row r="103" spans="1:19" ht="15" customHeight="1">
      <c r="A103" s="92">
        <v>101</v>
      </c>
      <c r="B103" s="92" t="s">
        <v>487</v>
      </c>
      <c r="C103" s="92" t="s">
        <v>600</v>
      </c>
      <c r="D103" s="93" t="s">
        <v>624</v>
      </c>
      <c r="E103" s="92" t="s">
        <v>490</v>
      </c>
      <c r="F103" s="94">
        <v>44722</v>
      </c>
      <c r="G103" s="95">
        <v>25138503</v>
      </c>
      <c r="H103" s="92">
        <v>48</v>
      </c>
      <c r="I103" s="95">
        <v>523719</v>
      </c>
      <c r="J103" s="96" t="s">
        <v>494</v>
      </c>
      <c r="K103" s="96">
        <v>3</v>
      </c>
      <c r="L103" s="96">
        <v>12</v>
      </c>
      <c r="M103" s="96">
        <v>12</v>
      </c>
      <c r="N103" s="96">
        <v>12</v>
      </c>
      <c r="O103" s="96">
        <v>9</v>
      </c>
      <c r="P103" s="97">
        <v>-14140408</v>
      </c>
      <c r="Q103" s="97">
        <v>-3666032</v>
      </c>
      <c r="R103" s="97">
        <v>-17806440</v>
      </c>
      <c r="S103" s="97">
        <v>7332063</v>
      </c>
    </row>
    <row r="104" spans="1:19" ht="15" customHeight="1">
      <c r="A104" s="92">
        <v>102</v>
      </c>
      <c r="B104" s="92" t="s">
        <v>487</v>
      </c>
      <c r="C104" s="92" t="s">
        <v>600</v>
      </c>
      <c r="D104" s="93" t="s">
        <v>625</v>
      </c>
      <c r="E104" s="92" t="s">
        <v>490</v>
      </c>
      <c r="F104" s="94">
        <v>44722</v>
      </c>
      <c r="G104" s="95">
        <v>11450000</v>
      </c>
      <c r="H104" s="92">
        <v>48</v>
      </c>
      <c r="I104" s="95">
        <v>238542</v>
      </c>
      <c r="J104" s="96" t="s">
        <v>494</v>
      </c>
      <c r="K104" s="96">
        <v>3</v>
      </c>
      <c r="L104" s="96">
        <v>12</v>
      </c>
      <c r="M104" s="96">
        <v>12</v>
      </c>
      <c r="N104" s="96">
        <v>12</v>
      </c>
      <c r="O104" s="96">
        <v>9</v>
      </c>
      <c r="P104" s="97">
        <v>-6440625</v>
      </c>
      <c r="Q104" s="97">
        <v>-1669792</v>
      </c>
      <c r="R104" s="97">
        <v>-8110417</v>
      </c>
      <c r="S104" s="97">
        <v>3339583</v>
      </c>
    </row>
    <row r="105" spans="1:19" ht="15" customHeight="1">
      <c r="A105" s="92">
        <v>103</v>
      </c>
      <c r="B105" s="92" t="s">
        <v>487</v>
      </c>
      <c r="C105" s="92" t="s">
        <v>600</v>
      </c>
      <c r="D105" s="93" t="s">
        <v>626</v>
      </c>
      <c r="E105" s="92" t="s">
        <v>490</v>
      </c>
      <c r="F105" s="94" t="s">
        <v>536</v>
      </c>
      <c r="G105" s="95">
        <v>3699000</v>
      </c>
      <c r="H105" s="92">
        <v>48</v>
      </c>
      <c r="I105" s="95">
        <v>77063</v>
      </c>
      <c r="J105" s="96" t="s">
        <v>494</v>
      </c>
      <c r="K105" s="96">
        <v>1</v>
      </c>
      <c r="L105" s="96">
        <v>12</v>
      </c>
      <c r="M105" s="96">
        <v>12</v>
      </c>
      <c r="N105" s="96">
        <v>12</v>
      </c>
      <c r="O105" s="96">
        <v>11</v>
      </c>
      <c r="P105" s="97">
        <v>-1926563</v>
      </c>
      <c r="Q105" s="97">
        <v>-539438</v>
      </c>
      <c r="R105" s="97">
        <v>-2466000</v>
      </c>
      <c r="S105" s="97">
        <v>1233000</v>
      </c>
    </row>
    <row r="106" spans="1:19" ht="15" customHeight="1">
      <c r="A106" s="92">
        <v>104</v>
      </c>
      <c r="B106" s="92" t="s">
        <v>487</v>
      </c>
      <c r="C106" s="92" t="s">
        <v>600</v>
      </c>
      <c r="D106" s="93" t="s">
        <v>627</v>
      </c>
      <c r="E106" s="92" t="s">
        <v>490</v>
      </c>
      <c r="F106" s="94" t="s">
        <v>628</v>
      </c>
      <c r="G106" s="95">
        <v>1827600</v>
      </c>
      <c r="H106" s="92">
        <v>48</v>
      </c>
      <c r="I106" s="95">
        <v>38075</v>
      </c>
      <c r="J106" s="96" t="s">
        <v>494</v>
      </c>
      <c r="K106" s="96">
        <v>1</v>
      </c>
      <c r="L106" s="96">
        <v>12</v>
      </c>
      <c r="M106" s="96">
        <v>12</v>
      </c>
      <c r="N106" s="96">
        <v>12</v>
      </c>
      <c r="O106" s="96">
        <v>11</v>
      </c>
      <c r="P106" s="97">
        <v>-951875</v>
      </c>
      <c r="Q106" s="97">
        <v>-266525</v>
      </c>
      <c r="R106" s="97">
        <v>-1218400</v>
      </c>
      <c r="S106" s="97">
        <v>609200</v>
      </c>
    </row>
    <row r="107" spans="1:19" ht="15" customHeight="1">
      <c r="A107" s="92">
        <v>105</v>
      </c>
      <c r="B107" s="92" t="s">
        <v>487</v>
      </c>
      <c r="C107" s="92" t="s">
        <v>600</v>
      </c>
      <c r="D107" s="93" t="s">
        <v>629</v>
      </c>
      <c r="E107" s="92" t="s">
        <v>490</v>
      </c>
      <c r="F107" s="94" t="s">
        <v>529</v>
      </c>
      <c r="G107" s="95">
        <v>10848000</v>
      </c>
      <c r="H107" s="92">
        <v>48</v>
      </c>
      <c r="I107" s="95">
        <v>226000</v>
      </c>
      <c r="J107" s="96" t="s">
        <v>494</v>
      </c>
      <c r="K107" s="96">
        <v>1</v>
      </c>
      <c r="L107" s="96">
        <v>12</v>
      </c>
      <c r="M107" s="96">
        <v>12</v>
      </c>
      <c r="N107" s="96">
        <v>12</v>
      </c>
      <c r="O107" s="96">
        <v>11</v>
      </c>
      <c r="P107" s="97">
        <v>-5650000</v>
      </c>
      <c r="Q107" s="97">
        <v>-1582000</v>
      </c>
      <c r="R107" s="97">
        <v>-7232000</v>
      </c>
      <c r="S107" s="97">
        <v>3616000</v>
      </c>
    </row>
    <row r="108" spans="1:19" ht="15" customHeight="1">
      <c r="A108" s="92">
        <v>106</v>
      </c>
      <c r="B108" s="92" t="s">
        <v>487</v>
      </c>
      <c r="C108" s="92" t="s">
        <v>600</v>
      </c>
      <c r="D108" s="93" t="s">
        <v>630</v>
      </c>
      <c r="E108" s="92" t="s">
        <v>490</v>
      </c>
      <c r="F108" s="94" t="s">
        <v>529</v>
      </c>
      <c r="G108" s="95">
        <v>68684331</v>
      </c>
      <c r="H108" s="92">
        <v>48</v>
      </c>
      <c r="I108" s="95">
        <v>1430924</v>
      </c>
      <c r="J108" s="96" t="s">
        <v>494</v>
      </c>
      <c r="K108" s="96">
        <v>1</v>
      </c>
      <c r="L108" s="96">
        <v>12</v>
      </c>
      <c r="M108" s="96">
        <v>12</v>
      </c>
      <c r="N108" s="96">
        <v>12</v>
      </c>
      <c r="O108" s="96">
        <v>11</v>
      </c>
      <c r="P108" s="97">
        <v>-35773089</v>
      </c>
      <c r="Q108" s="97">
        <v>-10016465</v>
      </c>
      <c r="R108" s="97">
        <v>-45789554</v>
      </c>
      <c r="S108" s="97">
        <v>22894777</v>
      </c>
    </row>
    <row r="109" spans="1:19" ht="15" customHeight="1">
      <c r="A109" s="92">
        <v>107</v>
      </c>
      <c r="B109" s="92" t="s">
        <v>487</v>
      </c>
      <c r="C109" s="92" t="s">
        <v>600</v>
      </c>
      <c r="D109" s="93" t="s">
        <v>631</v>
      </c>
      <c r="E109" s="92" t="s">
        <v>490</v>
      </c>
      <c r="F109" s="94" t="s">
        <v>546</v>
      </c>
      <c r="G109" s="95">
        <v>3990000</v>
      </c>
      <c r="H109" s="92">
        <v>48</v>
      </c>
      <c r="I109" s="95">
        <v>83125</v>
      </c>
      <c r="J109" s="96" t="s">
        <v>494</v>
      </c>
      <c r="K109" s="96">
        <v>1</v>
      </c>
      <c r="L109" s="96">
        <v>12</v>
      </c>
      <c r="M109" s="96">
        <v>12</v>
      </c>
      <c r="N109" s="96">
        <v>12</v>
      </c>
      <c r="O109" s="96">
        <v>11</v>
      </c>
      <c r="P109" s="97">
        <v>-2078125</v>
      </c>
      <c r="Q109" s="97">
        <v>-581875</v>
      </c>
      <c r="R109" s="97">
        <v>-2660000</v>
      </c>
      <c r="S109" s="97">
        <v>1330000</v>
      </c>
    </row>
    <row r="110" spans="1:19" ht="15" customHeight="1">
      <c r="A110" s="92">
        <v>108</v>
      </c>
      <c r="B110" s="92" t="s">
        <v>487</v>
      </c>
      <c r="C110" s="92" t="s">
        <v>600</v>
      </c>
      <c r="D110" s="93" t="s">
        <v>632</v>
      </c>
      <c r="E110" s="92" t="s">
        <v>490</v>
      </c>
      <c r="F110" s="94">
        <v>45200</v>
      </c>
      <c r="G110" s="95">
        <v>25060000</v>
      </c>
      <c r="H110" s="92">
        <v>48</v>
      </c>
      <c r="I110" s="95">
        <v>522083</v>
      </c>
      <c r="J110" s="96" t="s">
        <v>494</v>
      </c>
      <c r="K110" s="96" t="s">
        <v>494</v>
      </c>
      <c r="L110" s="96">
        <v>12</v>
      </c>
      <c r="M110" s="96">
        <v>12</v>
      </c>
      <c r="N110" s="96">
        <v>12</v>
      </c>
      <c r="O110" s="96">
        <v>12</v>
      </c>
      <c r="P110" s="97">
        <v>-12530000</v>
      </c>
      <c r="Q110" s="97">
        <v>-3654583</v>
      </c>
      <c r="R110" s="97">
        <v>-16184583</v>
      </c>
      <c r="S110" s="97">
        <v>8875417</v>
      </c>
    </row>
    <row r="111" spans="1:19" ht="15" customHeight="1">
      <c r="A111" s="92">
        <v>109</v>
      </c>
      <c r="B111" s="92" t="s">
        <v>487</v>
      </c>
      <c r="C111" s="92" t="s">
        <v>600</v>
      </c>
      <c r="D111" s="93" t="s">
        <v>633</v>
      </c>
      <c r="E111" s="92" t="s">
        <v>490</v>
      </c>
      <c r="F111" s="94">
        <v>45109</v>
      </c>
      <c r="G111" s="95">
        <v>6900000</v>
      </c>
      <c r="H111" s="92">
        <v>48</v>
      </c>
      <c r="I111" s="95">
        <v>143750</v>
      </c>
      <c r="J111" s="96" t="s">
        <v>494</v>
      </c>
      <c r="K111" s="96" t="s">
        <v>494</v>
      </c>
      <c r="L111" s="96">
        <v>11</v>
      </c>
      <c r="M111" s="96">
        <v>12</v>
      </c>
      <c r="N111" s="96">
        <v>12</v>
      </c>
      <c r="O111" s="96">
        <v>12</v>
      </c>
      <c r="P111" s="97">
        <v>-3306250</v>
      </c>
      <c r="Q111" s="97">
        <v>-1006250</v>
      </c>
      <c r="R111" s="97">
        <v>-4312500</v>
      </c>
      <c r="S111" s="97">
        <v>2587500</v>
      </c>
    </row>
    <row r="112" spans="1:19" ht="15" customHeight="1">
      <c r="A112" s="92">
        <v>110</v>
      </c>
      <c r="B112" s="92" t="s">
        <v>487</v>
      </c>
      <c r="C112" s="92" t="s">
        <v>600</v>
      </c>
      <c r="D112" s="93" t="s">
        <v>634</v>
      </c>
      <c r="E112" s="92" t="s">
        <v>490</v>
      </c>
      <c r="F112" s="94" t="s">
        <v>635</v>
      </c>
      <c r="G112" s="95">
        <v>2569100</v>
      </c>
      <c r="H112" s="92">
        <v>48</v>
      </c>
      <c r="I112" s="95">
        <v>53523</v>
      </c>
      <c r="J112" s="96" t="s">
        <v>494</v>
      </c>
      <c r="K112" s="96" t="s">
        <v>494</v>
      </c>
      <c r="L112" s="96">
        <v>11</v>
      </c>
      <c r="M112" s="96">
        <v>12</v>
      </c>
      <c r="N112" s="96">
        <v>12</v>
      </c>
      <c r="O112" s="96">
        <v>12</v>
      </c>
      <c r="P112" s="97">
        <v>-1231027</v>
      </c>
      <c r="Q112" s="97">
        <v>-374660</v>
      </c>
      <c r="R112" s="97">
        <v>-1605688</v>
      </c>
      <c r="S112" s="97">
        <v>963413</v>
      </c>
    </row>
    <row r="113" spans="1:19" ht="15" customHeight="1">
      <c r="A113" s="92">
        <v>111</v>
      </c>
      <c r="B113" s="92" t="s">
        <v>487</v>
      </c>
      <c r="C113" s="92" t="s">
        <v>600</v>
      </c>
      <c r="D113" s="93" t="s">
        <v>636</v>
      </c>
      <c r="E113" s="92" t="s">
        <v>490</v>
      </c>
      <c r="F113" s="94" t="s">
        <v>555</v>
      </c>
      <c r="G113" s="95">
        <v>1750000</v>
      </c>
      <c r="H113" s="92">
        <v>48</v>
      </c>
      <c r="I113" s="95">
        <v>36458</v>
      </c>
      <c r="J113" s="96" t="s">
        <v>494</v>
      </c>
      <c r="K113" s="96" t="s">
        <v>494</v>
      </c>
      <c r="L113" s="96">
        <v>10</v>
      </c>
      <c r="M113" s="96">
        <v>12</v>
      </c>
      <c r="N113" s="96">
        <v>12</v>
      </c>
      <c r="O113" s="96">
        <v>12</v>
      </c>
      <c r="P113" s="97">
        <v>-802083</v>
      </c>
      <c r="Q113" s="97">
        <v>-255208</v>
      </c>
      <c r="R113" s="97">
        <v>-1057292</v>
      </c>
      <c r="S113" s="97">
        <v>692708</v>
      </c>
    </row>
    <row r="114" spans="1:19" ht="15" customHeight="1">
      <c r="A114" s="92">
        <v>112</v>
      </c>
      <c r="B114" s="92" t="s">
        <v>487</v>
      </c>
      <c r="C114" s="92" t="s">
        <v>600</v>
      </c>
      <c r="D114" s="93" t="s">
        <v>637</v>
      </c>
      <c r="E114" s="92" t="s">
        <v>490</v>
      </c>
      <c r="F114" s="94">
        <v>45172</v>
      </c>
      <c r="G114" s="95">
        <v>8774550</v>
      </c>
      <c r="H114" s="92">
        <v>48</v>
      </c>
      <c r="I114" s="95">
        <v>182803</v>
      </c>
      <c r="J114" s="96" t="s">
        <v>494</v>
      </c>
      <c r="K114" s="96" t="s">
        <v>494</v>
      </c>
      <c r="L114" s="96">
        <v>10</v>
      </c>
      <c r="M114" s="96">
        <v>12</v>
      </c>
      <c r="N114" s="96">
        <v>12</v>
      </c>
      <c r="O114" s="96">
        <v>12</v>
      </c>
      <c r="P114" s="97">
        <v>-4021669</v>
      </c>
      <c r="Q114" s="97">
        <v>-1279622</v>
      </c>
      <c r="R114" s="97">
        <v>-5301291</v>
      </c>
      <c r="S114" s="97">
        <v>3473259</v>
      </c>
    </row>
    <row r="115" spans="1:19" ht="15" customHeight="1">
      <c r="A115" s="92">
        <v>113</v>
      </c>
      <c r="B115" s="92" t="s">
        <v>487</v>
      </c>
      <c r="C115" s="92" t="s">
        <v>600</v>
      </c>
      <c r="D115" s="93" t="s">
        <v>638</v>
      </c>
      <c r="E115" s="92" t="s">
        <v>490</v>
      </c>
      <c r="F115" s="94">
        <v>45234</v>
      </c>
      <c r="G115" s="95">
        <v>24456000</v>
      </c>
      <c r="H115" s="92">
        <v>48</v>
      </c>
      <c r="I115" s="95">
        <v>509500</v>
      </c>
      <c r="J115" s="96" t="s">
        <v>494</v>
      </c>
      <c r="K115" s="96" t="s">
        <v>494</v>
      </c>
      <c r="L115" s="96">
        <v>9</v>
      </c>
      <c r="M115" s="96">
        <v>12</v>
      </c>
      <c r="N115" s="96">
        <v>12</v>
      </c>
      <c r="O115" s="96">
        <v>12</v>
      </c>
      <c r="P115" s="97">
        <v>-10699500</v>
      </c>
      <c r="Q115" s="97">
        <v>-3566500</v>
      </c>
      <c r="R115" s="97">
        <v>-14266000</v>
      </c>
      <c r="S115" s="97">
        <v>10190000</v>
      </c>
    </row>
    <row r="116" spans="1:19" ht="15" customHeight="1">
      <c r="A116" s="92">
        <v>114</v>
      </c>
      <c r="B116" s="92" t="s">
        <v>487</v>
      </c>
      <c r="C116" s="92" t="s">
        <v>600</v>
      </c>
      <c r="D116" s="93" t="s">
        <v>639</v>
      </c>
      <c r="E116" s="92" t="s">
        <v>490</v>
      </c>
      <c r="F116" s="94">
        <v>45265</v>
      </c>
      <c r="G116" s="95">
        <v>3029000</v>
      </c>
      <c r="H116" s="92">
        <v>48</v>
      </c>
      <c r="I116" s="95">
        <v>63104</v>
      </c>
      <c r="J116" s="96" t="s">
        <v>494</v>
      </c>
      <c r="K116" s="96" t="s">
        <v>494</v>
      </c>
      <c r="L116" s="96">
        <v>8</v>
      </c>
      <c r="M116" s="96">
        <v>12</v>
      </c>
      <c r="N116" s="96">
        <v>12</v>
      </c>
      <c r="O116" s="96">
        <v>12</v>
      </c>
      <c r="P116" s="97">
        <v>-1262083</v>
      </c>
      <c r="Q116" s="97">
        <v>-441729</v>
      </c>
      <c r="R116" s="97">
        <v>-1703813</v>
      </c>
      <c r="S116" s="97">
        <v>1325188</v>
      </c>
    </row>
    <row r="117" spans="1:19" ht="15" customHeight="1">
      <c r="A117" s="92">
        <v>115</v>
      </c>
      <c r="B117" s="92" t="s">
        <v>487</v>
      </c>
      <c r="C117" s="92" t="s">
        <v>600</v>
      </c>
      <c r="D117" s="93" t="s">
        <v>640</v>
      </c>
      <c r="E117" s="92" t="s">
        <v>490</v>
      </c>
      <c r="F117" s="94">
        <v>45143</v>
      </c>
      <c r="G117" s="95">
        <v>5311500</v>
      </c>
      <c r="H117" s="92">
        <v>48</v>
      </c>
      <c r="I117" s="95">
        <v>110656</v>
      </c>
      <c r="J117" s="96" t="s">
        <v>494</v>
      </c>
      <c r="K117" s="96" t="s">
        <v>494</v>
      </c>
      <c r="L117" s="96">
        <v>8</v>
      </c>
      <c r="M117" s="96">
        <v>12</v>
      </c>
      <c r="N117" s="96">
        <v>12</v>
      </c>
      <c r="O117" s="96">
        <v>12</v>
      </c>
      <c r="P117" s="97">
        <v>-2213125</v>
      </c>
      <c r="Q117" s="97">
        <v>-774594</v>
      </c>
      <c r="R117" s="97">
        <v>-2987719</v>
      </c>
      <c r="S117" s="97">
        <v>2323781</v>
      </c>
    </row>
    <row r="118" spans="1:19" ht="15" customHeight="1">
      <c r="A118" s="92">
        <v>116</v>
      </c>
      <c r="B118" s="92" t="s">
        <v>487</v>
      </c>
      <c r="C118" s="92" t="s">
        <v>600</v>
      </c>
      <c r="D118" s="93" t="s">
        <v>641</v>
      </c>
      <c r="E118" s="92" t="s">
        <v>490</v>
      </c>
      <c r="F118" s="94" t="s">
        <v>642</v>
      </c>
      <c r="G118" s="95">
        <v>4695000</v>
      </c>
      <c r="H118" s="92">
        <v>48</v>
      </c>
      <c r="I118" s="95">
        <v>97813</v>
      </c>
      <c r="J118" s="96" t="s">
        <v>494</v>
      </c>
      <c r="K118" s="96" t="s">
        <v>494</v>
      </c>
      <c r="L118" s="96">
        <v>6</v>
      </c>
      <c r="M118" s="96">
        <v>12</v>
      </c>
      <c r="N118" s="96">
        <v>12</v>
      </c>
      <c r="O118" s="96">
        <v>12</v>
      </c>
      <c r="P118" s="97">
        <v>-1760625</v>
      </c>
      <c r="Q118" s="97">
        <v>-684688</v>
      </c>
      <c r="R118" s="97">
        <v>-2445313</v>
      </c>
      <c r="S118" s="97">
        <v>2249688</v>
      </c>
    </row>
    <row r="119" spans="1:19" ht="15" customHeight="1">
      <c r="A119" s="92">
        <v>117</v>
      </c>
      <c r="B119" s="92" t="s">
        <v>487</v>
      </c>
      <c r="C119" s="92" t="s">
        <v>600</v>
      </c>
      <c r="D119" s="93" t="s">
        <v>643</v>
      </c>
      <c r="E119" s="92" t="s">
        <v>490</v>
      </c>
      <c r="F119" s="94">
        <v>44965</v>
      </c>
      <c r="G119" s="95">
        <v>6047280</v>
      </c>
      <c r="H119" s="92">
        <v>48</v>
      </c>
      <c r="I119" s="95">
        <v>125985</v>
      </c>
      <c r="J119" s="96" t="s">
        <v>494</v>
      </c>
      <c r="K119" s="96" t="s">
        <v>494</v>
      </c>
      <c r="L119" s="96">
        <v>5</v>
      </c>
      <c r="M119" s="96">
        <v>12</v>
      </c>
      <c r="N119" s="96">
        <v>12</v>
      </c>
      <c r="O119" s="96">
        <v>12</v>
      </c>
      <c r="P119" s="97">
        <v>-2141745</v>
      </c>
      <c r="Q119" s="97">
        <v>-881895</v>
      </c>
      <c r="R119" s="97">
        <v>-3023640</v>
      </c>
      <c r="S119" s="97">
        <v>3023640</v>
      </c>
    </row>
    <row r="120" spans="1:19" ht="15" customHeight="1">
      <c r="A120" s="92">
        <v>118</v>
      </c>
      <c r="B120" s="92" t="s">
        <v>487</v>
      </c>
      <c r="C120" s="92" t="s">
        <v>600</v>
      </c>
      <c r="D120" s="93" t="s">
        <v>644</v>
      </c>
      <c r="E120" s="92" t="s">
        <v>490</v>
      </c>
      <c r="F120" s="94" t="s">
        <v>645</v>
      </c>
      <c r="G120" s="95">
        <v>9850000</v>
      </c>
      <c r="H120" s="92">
        <v>48</v>
      </c>
      <c r="I120" s="95">
        <v>205208</v>
      </c>
      <c r="J120" s="96" t="s">
        <v>494</v>
      </c>
      <c r="K120" s="96" t="s">
        <v>494</v>
      </c>
      <c r="L120" s="96">
        <v>5</v>
      </c>
      <c r="M120" s="96">
        <v>12</v>
      </c>
      <c r="N120" s="96">
        <v>12</v>
      </c>
      <c r="O120" s="96">
        <v>12</v>
      </c>
      <c r="P120" s="97">
        <v>-3488542</v>
      </c>
      <c r="Q120" s="97">
        <v>-1436458</v>
      </c>
      <c r="R120" s="97">
        <v>-4925000</v>
      </c>
      <c r="S120" s="97">
        <v>4925000</v>
      </c>
    </row>
    <row r="121" spans="1:19" ht="15" customHeight="1">
      <c r="A121" s="92">
        <v>119</v>
      </c>
      <c r="B121" s="92" t="s">
        <v>487</v>
      </c>
      <c r="C121" s="92" t="s">
        <v>600</v>
      </c>
      <c r="D121" s="93" t="s">
        <v>646</v>
      </c>
      <c r="E121" s="92" t="s">
        <v>490</v>
      </c>
      <c r="F121" s="94" t="s">
        <v>647</v>
      </c>
      <c r="G121" s="95">
        <v>14218200</v>
      </c>
      <c r="H121" s="92">
        <v>48</v>
      </c>
      <c r="I121" s="95">
        <v>296213</v>
      </c>
      <c r="J121" s="96" t="s">
        <v>494</v>
      </c>
      <c r="K121" s="96" t="s">
        <v>494</v>
      </c>
      <c r="L121" s="96">
        <v>5</v>
      </c>
      <c r="M121" s="96">
        <v>12</v>
      </c>
      <c r="N121" s="96">
        <v>12</v>
      </c>
      <c r="O121" s="96">
        <v>12</v>
      </c>
      <c r="P121" s="97">
        <v>-5035613</v>
      </c>
      <c r="Q121" s="97">
        <v>-2073488</v>
      </c>
      <c r="R121" s="97">
        <v>-7109100</v>
      </c>
      <c r="S121" s="97">
        <v>7109100</v>
      </c>
    </row>
    <row r="122" spans="1:19" ht="15" customHeight="1">
      <c r="A122" s="92">
        <v>120</v>
      </c>
      <c r="B122" s="92" t="s">
        <v>487</v>
      </c>
      <c r="C122" s="92" t="s">
        <v>600</v>
      </c>
      <c r="D122" s="93" t="s">
        <v>648</v>
      </c>
      <c r="E122" s="92" t="s">
        <v>490</v>
      </c>
      <c r="F122" s="94">
        <v>45025</v>
      </c>
      <c r="G122" s="95">
        <v>14225000</v>
      </c>
      <c r="H122" s="92">
        <v>48</v>
      </c>
      <c r="I122" s="95">
        <v>296354</v>
      </c>
      <c r="J122" s="96" t="s">
        <v>494</v>
      </c>
      <c r="K122" s="96" t="s">
        <v>494</v>
      </c>
      <c r="L122" s="96">
        <v>4</v>
      </c>
      <c r="M122" s="96">
        <v>12</v>
      </c>
      <c r="N122" s="96">
        <v>12</v>
      </c>
      <c r="O122" s="96">
        <v>12</v>
      </c>
      <c r="P122" s="97">
        <v>-4741667</v>
      </c>
      <c r="Q122" s="97">
        <v>-2074479</v>
      </c>
      <c r="R122" s="97">
        <v>-6816146</v>
      </c>
      <c r="S122" s="97">
        <v>7408854</v>
      </c>
    </row>
    <row r="123" spans="1:19" ht="15" customHeight="1">
      <c r="A123" s="92">
        <v>121</v>
      </c>
      <c r="B123" s="92" t="s">
        <v>487</v>
      </c>
      <c r="C123" s="92" t="s">
        <v>600</v>
      </c>
      <c r="D123" s="93" t="s">
        <v>649</v>
      </c>
      <c r="E123" s="92" t="s">
        <v>490</v>
      </c>
      <c r="F123" s="94">
        <v>45116</v>
      </c>
      <c r="G123" s="95">
        <v>29254050</v>
      </c>
      <c r="H123" s="92">
        <v>48</v>
      </c>
      <c r="I123" s="95">
        <v>609459</v>
      </c>
      <c r="J123" s="96" t="s">
        <v>494</v>
      </c>
      <c r="K123" s="96" t="s">
        <v>494</v>
      </c>
      <c r="L123" s="96">
        <v>4</v>
      </c>
      <c r="M123" s="96">
        <v>12</v>
      </c>
      <c r="N123" s="96">
        <v>12</v>
      </c>
      <c r="O123" s="96">
        <v>12</v>
      </c>
      <c r="P123" s="97">
        <v>-9751350</v>
      </c>
      <c r="Q123" s="97">
        <v>-4266216</v>
      </c>
      <c r="R123" s="97">
        <v>-14017566</v>
      </c>
      <c r="S123" s="97">
        <v>15236484</v>
      </c>
    </row>
    <row r="124" spans="1:19" ht="15" customHeight="1">
      <c r="A124" s="92">
        <v>122</v>
      </c>
      <c r="B124" s="92" t="s">
        <v>487</v>
      </c>
      <c r="C124" s="92" t="s">
        <v>600</v>
      </c>
      <c r="D124" s="93" t="s">
        <v>650</v>
      </c>
      <c r="E124" s="92" t="s">
        <v>490</v>
      </c>
      <c r="F124" s="94" t="s">
        <v>651</v>
      </c>
      <c r="G124" s="95">
        <v>2944000</v>
      </c>
      <c r="H124" s="92">
        <v>48</v>
      </c>
      <c r="I124" s="95">
        <v>61333</v>
      </c>
      <c r="J124" s="96" t="s">
        <v>494</v>
      </c>
      <c r="K124" s="96" t="s">
        <v>494</v>
      </c>
      <c r="L124" s="96">
        <v>6</v>
      </c>
      <c r="M124" s="96">
        <v>12</v>
      </c>
      <c r="N124" s="96">
        <v>12</v>
      </c>
      <c r="O124" s="96">
        <v>12</v>
      </c>
      <c r="P124" s="97">
        <v>-1104000</v>
      </c>
      <c r="Q124" s="97">
        <v>-429333</v>
      </c>
      <c r="R124" s="97">
        <v>-1533333</v>
      </c>
      <c r="S124" s="97">
        <v>1410667</v>
      </c>
    </row>
    <row r="125" spans="1:19" ht="15" customHeight="1">
      <c r="A125" s="92">
        <v>123</v>
      </c>
      <c r="B125" s="92" t="s">
        <v>487</v>
      </c>
      <c r="C125" s="92" t="s">
        <v>600</v>
      </c>
      <c r="D125" s="93" t="s">
        <v>652</v>
      </c>
      <c r="E125" s="92" t="s">
        <v>490</v>
      </c>
      <c r="F125" s="94" t="s">
        <v>653</v>
      </c>
      <c r="G125" s="95">
        <v>4884000</v>
      </c>
      <c r="H125" s="92">
        <v>48</v>
      </c>
      <c r="I125" s="95">
        <v>101750</v>
      </c>
      <c r="J125" s="96" t="s">
        <v>494</v>
      </c>
      <c r="K125" s="96" t="s">
        <v>494</v>
      </c>
      <c r="L125" s="96">
        <v>4</v>
      </c>
      <c r="M125" s="96">
        <v>12</v>
      </c>
      <c r="N125" s="96">
        <v>12</v>
      </c>
      <c r="O125" s="96">
        <v>12</v>
      </c>
      <c r="P125" s="97">
        <v>-1628000</v>
      </c>
      <c r="Q125" s="97">
        <v>-712250</v>
      </c>
      <c r="R125" s="97">
        <v>-2340250</v>
      </c>
      <c r="S125" s="97">
        <v>2543750</v>
      </c>
    </row>
    <row r="126" spans="1:19" ht="15" customHeight="1">
      <c r="A126" s="92">
        <v>124</v>
      </c>
      <c r="B126" s="92" t="s">
        <v>487</v>
      </c>
      <c r="C126" s="92" t="s">
        <v>600</v>
      </c>
      <c r="D126" s="93" t="s">
        <v>654</v>
      </c>
      <c r="E126" s="92" t="s">
        <v>490</v>
      </c>
      <c r="F126" s="94" t="s">
        <v>655</v>
      </c>
      <c r="G126" s="95">
        <v>19700000</v>
      </c>
      <c r="H126" s="92">
        <v>48</v>
      </c>
      <c r="I126" s="95">
        <v>410417</v>
      </c>
      <c r="J126" s="96" t="s">
        <v>494</v>
      </c>
      <c r="K126" s="96" t="s">
        <v>494</v>
      </c>
      <c r="L126" s="96">
        <v>4</v>
      </c>
      <c r="M126" s="96">
        <v>12</v>
      </c>
      <c r="N126" s="96">
        <v>12</v>
      </c>
      <c r="O126" s="96">
        <v>12</v>
      </c>
      <c r="P126" s="97">
        <v>-6566667</v>
      </c>
      <c r="Q126" s="97">
        <v>-2872917</v>
      </c>
      <c r="R126" s="97">
        <v>-9439583</v>
      </c>
      <c r="S126" s="97">
        <v>10260417</v>
      </c>
    </row>
    <row r="127" spans="1:19" ht="15" customHeight="1">
      <c r="A127" s="92">
        <v>125</v>
      </c>
      <c r="B127" s="92" t="s">
        <v>487</v>
      </c>
      <c r="C127" s="92" t="s">
        <v>600</v>
      </c>
      <c r="D127" s="93" t="s">
        <v>656</v>
      </c>
      <c r="E127" s="92" t="s">
        <v>490</v>
      </c>
      <c r="F127" s="94">
        <v>45179</v>
      </c>
      <c r="G127" s="95">
        <v>21225000</v>
      </c>
      <c r="H127" s="92">
        <v>48</v>
      </c>
      <c r="I127" s="95">
        <v>442188</v>
      </c>
      <c r="J127" s="96" t="s">
        <v>494</v>
      </c>
      <c r="K127" s="96" t="s">
        <v>494</v>
      </c>
      <c r="L127" s="96">
        <v>3</v>
      </c>
      <c r="M127" s="96">
        <v>12</v>
      </c>
      <c r="N127" s="96">
        <v>12</v>
      </c>
      <c r="O127" s="96">
        <v>12</v>
      </c>
      <c r="P127" s="97">
        <v>-6632813</v>
      </c>
      <c r="Q127" s="97">
        <v>-3095313</v>
      </c>
      <c r="R127" s="97">
        <v>-9728125</v>
      </c>
      <c r="S127" s="97">
        <v>11496875</v>
      </c>
    </row>
    <row r="128" spans="1:19" ht="15" customHeight="1">
      <c r="A128" s="92">
        <v>126</v>
      </c>
      <c r="B128" s="92" t="s">
        <v>487</v>
      </c>
      <c r="C128" s="92" t="s">
        <v>600</v>
      </c>
      <c r="D128" s="93" t="s">
        <v>657</v>
      </c>
      <c r="E128" s="92" t="s">
        <v>490</v>
      </c>
      <c r="F128" s="94">
        <v>45240</v>
      </c>
      <c r="G128" s="95">
        <v>5800000</v>
      </c>
      <c r="H128" s="92">
        <v>48</v>
      </c>
      <c r="I128" s="95">
        <v>120833</v>
      </c>
      <c r="J128" s="96" t="s">
        <v>494</v>
      </c>
      <c r="K128" s="96" t="s">
        <v>494</v>
      </c>
      <c r="L128" s="96">
        <v>3</v>
      </c>
      <c r="M128" s="96">
        <v>12</v>
      </c>
      <c r="N128" s="96">
        <v>12</v>
      </c>
      <c r="O128" s="96">
        <v>12</v>
      </c>
      <c r="P128" s="97">
        <v>-1812500</v>
      </c>
      <c r="Q128" s="97">
        <v>-845833</v>
      </c>
      <c r="R128" s="97">
        <v>-2658333</v>
      </c>
      <c r="S128" s="97">
        <v>3141667</v>
      </c>
    </row>
    <row r="129" spans="1:19" ht="15" customHeight="1">
      <c r="A129" s="92">
        <v>127</v>
      </c>
      <c r="B129" s="92" t="s">
        <v>487</v>
      </c>
      <c r="C129" s="92" t="s">
        <v>600</v>
      </c>
      <c r="D129" s="93" t="s">
        <v>658</v>
      </c>
      <c r="E129" s="92" t="s">
        <v>490</v>
      </c>
      <c r="F129" s="94">
        <v>45240</v>
      </c>
      <c r="G129" s="95">
        <v>1872507</v>
      </c>
      <c r="H129" s="92">
        <v>48</v>
      </c>
      <c r="I129" s="95">
        <v>39011</v>
      </c>
      <c r="J129" s="96" t="s">
        <v>494</v>
      </c>
      <c r="K129" s="96" t="s">
        <v>494</v>
      </c>
      <c r="L129" s="96">
        <v>3</v>
      </c>
      <c r="M129" s="96">
        <v>12</v>
      </c>
      <c r="N129" s="96">
        <v>12</v>
      </c>
      <c r="O129" s="96">
        <v>12</v>
      </c>
      <c r="P129" s="97">
        <v>-585158</v>
      </c>
      <c r="Q129" s="97">
        <v>-273074</v>
      </c>
      <c r="R129" s="97">
        <v>-858232</v>
      </c>
      <c r="S129" s="97">
        <v>1014275</v>
      </c>
    </row>
    <row r="130" spans="1:19" ht="15" customHeight="1">
      <c r="A130" s="92">
        <v>128</v>
      </c>
      <c r="B130" s="92" t="s">
        <v>487</v>
      </c>
      <c r="C130" s="92" t="s">
        <v>600</v>
      </c>
      <c r="D130" s="93" t="s">
        <v>659</v>
      </c>
      <c r="E130" s="92" t="s">
        <v>490</v>
      </c>
      <c r="F130" s="94" t="s">
        <v>660</v>
      </c>
      <c r="G130" s="95">
        <v>85919550</v>
      </c>
      <c r="H130" s="92">
        <v>48</v>
      </c>
      <c r="I130" s="95">
        <v>1789991</v>
      </c>
      <c r="J130" s="96" t="s">
        <v>494</v>
      </c>
      <c r="K130" s="96" t="s">
        <v>494</v>
      </c>
      <c r="L130" s="96">
        <v>3</v>
      </c>
      <c r="M130" s="96">
        <v>12</v>
      </c>
      <c r="N130" s="96">
        <v>12</v>
      </c>
      <c r="O130" s="96">
        <v>12</v>
      </c>
      <c r="P130" s="97">
        <v>-26849859</v>
      </c>
      <c r="Q130" s="97">
        <v>-12529934</v>
      </c>
      <c r="R130" s="97">
        <v>-39379794</v>
      </c>
      <c r="S130" s="97">
        <v>46539756</v>
      </c>
    </row>
    <row r="131" spans="1:19" ht="15" customHeight="1">
      <c r="A131" s="92">
        <v>129</v>
      </c>
      <c r="B131" s="92" t="s">
        <v>487</v>
      </c>
      <c r="C131" s="92" t="s">
        <v>600</v>
      </c>
      <c r="D131" s="93" t="s">
        <v>661</v>
      </c>
      <c r="E131" s="92" t="s">
        <v>490</v>
      </c>
      <c r="F131" s="94" t="s">
        <v>158</v>
      </c>
      <c r="G131" s="95">
        <v>132090000</v>
      </c>
      <c r="H131" s="92">
        <v>48</v>
      </c>
      <c r="I131" s="95">
        <v>2751875</v>
      </c>
      <c r="J131" s="96" t="s">
        <v>494</v>
      </c>
      <c r="K131" s="96" t="s">
        <v>494</v>
      </c>
      <c r="L131" s="96">
        <v>2</v>
      </c>
      <c r="M131" s="96">
        <v>12</v>
      </c>
      <c r="N131" s="96">
        <v>12</v>
      </c>
      <c r="O131" s="96">
        <v>12</v>
      </c>
      <c r="P131" s="97">
        <v>-38526250</v>
      </c>
      <c r="Q131" s="97">
        <v>-19263125</v>
      </c>
      <c r="R131" s="97">
        <v>-57789375</v>
      </c>
      <c r="S131" s="97">
        <v>74300625</v>
      </c>
    </row>
    <row r="132" spans="1:19" ht="15" customHeight="1">
      <c r="A132" s="92">
        <v>130</v>
      </c>
      <c r="B132" s="92" t="s">
        <v>487</v>
      </c>
      <c r="C132" s="92" t="s">
        <v>600</v>
      </c>
      <c r="D132" s="93" t="s">
        <v>662</v>
      </c>
      <c r="E132" s="92" t="s">
        <v>490</v>
      </c>
      <c r="F132" s="94" t="s">
        <v>158</v>
      </c>
      <c r="G132" s="95">
        <v>176533750</v>
      </c>
      <c r="H132" s="92">
        <v>48</v>
      </c>
      <c r="I132" s="95">
        <v>3677786</v>
      </c>
      <c r="J132" s="96" t="s">
        <v>494</v>
      </c>
      <c r="K132" s="96" t="s">
        <v>494</v>
      </c>
      <c r="L132" s="96">
        <v>2</v>
      </c>
      <c r="M132" s="96">
        <v>12</v>
      </c>
      <c r="N132" s="96">
        <v>12</v>
      </c>
      <c r="O132" s="96">
        <v>12</v>
      </c>
      <c r="P132" s="97">
        <v>-51489010</v>
      </c>
      <c r="Q132" s="97">
        <v>-25744505</v>
      </c>
      <c r="R132" s="97">
        <v>-77233516</v>
      </c>
      <c r="S132" s="97">
        <v>99300234</v>
      </c>
    </row>
    <row r="133" spans="1:19" ht="15" customHeight="1">
      <c r="A133" s="92">
        <v>131</v>
      </c>
      <c r="B133" s="92" t="s">
        <v>487</v>
      </c>
      <c r="C133" s="92" t="s">
        <v>600</v>
      </c>
      <c r="D133" s="93" t="s">
        <v>663</v>
      </c>
      <c r="E133" s="92" t="s">
        <v>490</v>
      </c>
      <c r="F133" s="94" t="s">
        <v>158</v>
      </c>
      <c r="G133" s="95">
        <v>13920000</v>
      </c>
      <c r="H133" s="92">
        <v>48</v>
      </c>
      <c r="I133" s="95">
        <v>290000</v>
      </c>
      <c r="J133" s="96" t="s">
        <v>494</v>
      </c>
      <c r="K133" s="96" t="s">
        <v>494</v>
      </c>
      <c r="L133" s="96">
        <v>2</v>
      </c>
      <c r="M133" s="96">
        <v>12</v>
      </c>
      <c r="N133" s="96">
        <v>12</v>
      </c>
      <c r="O133" s="96">
        <v>12</v>
      </c>
      <c r="P133" s="97">
        <v>-4060000</v>
      </c>
      <c r="Q133" s="97">
        <v>-2030000</v>
      </c>
      <c r="R133" s="97">
        <v>-6090000</v>
      </c>
      <c r="S133" s="97">
        <v>7830000</v>
      </c>
    </row>
    <row r="134" spans="1:19" ht="15" customHeight="1">
      <c r="A134" s="92">
        <v>132</v>
      </c>
      <c r="B134" s="92" t="s">
        <v>487</v>
      </c>
      <c r="C134" s="92" t="s">
        <v>600</v>
      </c>
      <c r="D134" s="93" t="s">
        <v>664</v>
      </c>
      <c r="E134" s="92" t="s">
        <v>490</v>
      </c>
      <c r="F134" s="94" t="s">
        <v>665</v>
      </c>
      <c r="G134" s="95">
        <v>16140000</v>
      </c>
      <c r="H134" s="92">
        <v>48</v>
      </c>
      <c r="I134" s="95">
        <v>336250</v>
      </c>
      <c r="J134" s="96" t="s">
        <v>494</v>
      </c>
      <c r="K134" s="96" t="s">
        <v>494</v>
      </c>
      <c r="L134" s="96">
        <v>2</v>
      </c>
      <c r="M134" s="96">
        <v>12</v>
      </c>
      <c r="N134" s="96">
        <v>12</v>
      </c>
      <c r="O134" s="96">
        <v>12</v>
      </c>
      <c r="P134" s="97">
        <v>-4707500</v>
      </c>
      <c r="Q134" s="97">
        <v>-2353750</v>
      </c>
      <c r="R134" s="97">
        <v>-7061250</v>
      </c>
      <c r="S134" s="97">
        <v>9078750</v>
      </c>
    </row>
    <row r="135" spans="1:19" ht="15" customHeight="1">
      <c r="A135" s="92">
        <v>133</v>
      </c>
      <c r="B135" s="92" t="s">
        <v>487</v>
      </c>
      <c r="C135" s="92" t="s">
        <v>600</v>
      </c>
      <c r="D135" s="93" t="s">
        <v>666</v>
      </c>
      <c r="E135" s="92" t="s">
        <v>490</v>
      </c>
      <c r="F135" s="94" t="s">
        <v>665</v>
      </c>
      <c r="G135" s="95">
        <v>17000000</v>
      </c>
      <c r="H135" s="92">
        <v>48</v>
      </c>
      <c r="I135" s="95">
        <v>354167</v>
      </c>
      <c r="J135" s="96" t="s">
        <v>494</v>
      </c>
      <c r="K135" s="96" t="s">
        <v>494</v>
      </c>
      <c r="L135" s="96">
        <v>2</v>
      </c>
      <c r="M135" s="96">
        <v>12</v>
      </c>
      <c r="N135" s="96">
        <v>12</v>
      </c>
      <c r="O135" s="96">
        <v>12</v>
      </c>
      <c r="P135" s="97">
        <v>-4958333</v>
      </c>
      <c r="Q135" s="97">
        <v>-2479167</v>
      </c>
      <c r="R135" s="97">
        <v>-7437500</v>
      </c>
      <c r="S135" s="97">
        <v>9562500</v>
      </c>
    </row>
    <row r="136" spans="1:19" ht="15" customHeight="1">
      <c r="A136" s="92">
        <v>134</v>
      </c>
      <c r="B136" s="92" t="s">
        <v>487</v>
      </c>
      <c r="C136" s="92" t="s">
        <v>600</v>
      </c>
      <c r="D136" s="93" t="s">
        <v>667</v>
      </c>
      <c r="E136" s="92" t="s">
        <v>490</v>
      </c>
      <c r="F136" s="94">
        <v>45058</v>
      </c>
      <c r="G136" s="95">
        <v>3380000</v>
      </c>
      <c r="H136" s="92">
        <v>48</v>
      </c>
      <c r="I136" s="95">
        <v>70417</v>
      </c>
      <c r="J136" s="96" t="s">
        <v>494</v>
      </c>
      <c r="K136" s="96" t="s">
        <v>494</v>
      </c>
      <c r="L136" s="96">
        <v>1</v>
      </c>
      <c r="M136" s="96">
        <v>12</v>
      </c>
      <c r="N136" s="96">
        <v>12</v>
      </c>
      <c r="O136" s="96">
        <v>12</v>
      </c>
      <c r="P136" s="97">
        <v>-915417</v>
      </c>
      <c r="Q136" s="97">
        <v>-492917</v>
      </c>
      <c r="R136" s="97">
        <v>-1408333</v>
      </c>
      <c r="S136" s="97">
        <v>1971667</v>
      </c>
    </row>
    <row r="137" spans="1:19" ht="15" customHeight="1">
      <c r="A137" s="92">
        <v>135</v>
      </c>
      <c r="B137" s="92" t="s">
        <v>487</v>
      </c>
      <c r="C137" s="92" t="s">
        <v>600</v>
      </c>
      <c r="D137" s="93" t="s">
        <v>668</v>
      </c>
      <c r="E137" s="92" t="s">
        <v>490</v>
      </c>
      <c r="F137" s="94">
        <v>45058</v>
      </c>
      <c r="G137" s="95">
        <v>7770000</v>
      </c>
      <c r="H137" s="92">
        <v>48</v>
      </c>
      <c r="I137" s="95">
        <v>161875</v>
      </c>
      <c r="J137" s="96" t="s">
        <v>494</v>
      </c>
      <c r="K137" s="96" t="s">
        <v>494</v>
      </c>
      <c r="L137" s="96">
        <v>1</v>
      </c>
      <c r="M137" s="96">
        <v>12</v>
      </c>
      <c r="N137" s="96">
        <v>12</v>
      </c>
      <c r="O137" s="96">
        <v>12</v>
      </c>
      <c r="P137" s="97">
        <v>-2104375</v>
      </c>
      <c r="Q137" s="97">
        <v>-1133125</v>
      </c>
      <c r="R137" s="97">
        <v>-3237500</v>
      </c>
      <c r="S137" s="97">
        <v>4532500</v>
      </c>
    </row>
    <row r="138" spans="1:19" ht="15" customHeight="1">
      <c r="A138" s="92">
        <v>136</v>
      </c>
      <c r="B138" s="92" t="s">
        <v>487</v>
      </c>
      <c r="C138" s="92" t="s">
        <v>600</v>
      </c>
      <c r="D138" s="93" t="s">
        <v>669</v>
      </c>
      <c r="E138" s="92" t="s">
        <v>490</v>
      </c>
      <c r="F138" s="94" t="s">
        <v>670</v>
      </c>
      <c r="G138" s="95">
        <v>2973000</v>
      </c>
      <c r="H138" s="92">
        <v>48</v>
      </c>
      <c r="I138" s="95">
        <v>61938</v>
      </c>
      <c r="J138" s="96" t="s">
        <v>494</v>
      </c>
      <c r="K138" s="96" t="s">
        <v>494</v>
      </c>
      <c r="L138" s="96">
        <v>1</v>
      </c>
      <c r="M138" s="96">
        <v>12</v>
      </c>
      <c r="N138" s="96">
        <v>12</v>
      </c>
      <c r="O138" s="96">
        <v>12</v>
      </c>
      <c r="P138" s="97">
        <v>-805188</v>
      </c>
      <c r="Q138" s="97">
        <v>-433563</v>
      </c>
      <c r="R138" s="97">
        <v>-1238750</v>
      </c>
      <c r="S138" s="97">
        <v>1734250</v>
      </c>
    </row>
    <row r="139" spans="1:19" ht="15" customHeight="1">
      <c r="A139" s="92">
        <v>137</v>
      </c>
      <c r="B139" s="92" t="s">
        <v>487</v>
      </c>
      <c r="C139" s="92" t="s">
        <v>600</v>
      </c>
      <c r="D139" s="93" t="s">
        <v>671</v>
      </c>
      <c r="E139" s="92" t="s">
        <v>490</v>
      </c>
      <c r="F139" s="94" t="s">
        <v>672</v>
      </c>
      <c r="G139" s="95">
        <v>55580000</v>
      </c>
      <c r="H139" s="92">
        <v>48</v>
      </c>
      <c r="I139" s="95">
        <v>1157917</v>
      </c>
      <c r="J139" s="96" t="s">
        <v>494</v>
      </c>
      <c r="K139" s="96" t="s">
        <v>494</v>
      </c>
      <c r="L139" s="96">
        <v>1</v>
      </c>
      <c r="M139" s="96">
        <v>12</v>
      </c>
      <c r="N139" s="96">
        <v>12</v>
      </c>
      <c r="O139" s="96">
        <v>12</v>
      </c>
      <c r="P139" s="97">
        <v>-15052917</v>
      </c>
      <c r="Q139" s="97">
        <v>-8105417</v>
      </c>
      <c r="R139" s="97">
        <v>-23158333</v>
      </c>
      <c r="S139" s="97">
        <v>32421667</v>
      </c>
    </row>
    <row r="140" spans="1:19" ht="15" customHeight="1">
      <c r="A140" s="92">
        <v>138</v>
      </c>
      <c r="B140" s="92" t="s">
        <v>487</v>
      </c>
      <c r="C140" s="92" t="s">
        <v>600</v>
      </c>
      <c r="D140" s="93" t="s">
        <v>673</v>
      </c>
      <c r="E140" s="92" t="s">
        <v>490</v>
      </c>
      <c r="F140" s="94" t="s">
        <v>580</v>
      </c>
      <c r="G140" s="95">
        <v>13800000</v>
      </c>
      <c r="H140" s="92">
        <v>48</v>
      </c>
      <c r="I140" s="95">
        <v>287500</v>
      </c>
      <c r="J140" s="96" t="s">
        <v>494</v>
      </c>
      <c r="K140" s="96" t="s">
        <v>494</v>
      </c>
      <c r="L140" s="96">
        <v>1</v>
      </c>
      <c r="M140" s="96">
        <v>12</v>
      </c>
      <c r="N140" s="96">
        <v>12</v>
      </c>
      <c r="O140" s="96">
        <v>12</v>
      </c>
      <c r="P140" s="97">
        <v>-3737500</v>
      </c>
      <c r="Q140" s="97">
        <v>-2012500</v>
      </c>
      <c r="R140" s="97">
        <v>-5750000</v>
      </c>
      <c r="S140" s="97">
        <v>8050000</v>
      </c>
    </row>
    <row r="141" spans="1:19" ht="15" customHeight="1">
      <c r="A141" s="92">
        <v>139</v>
      </c>
      <c r="B141" s="92" t="s">
        <v>487</v>
      </c>
      <c r="C141" s="92" t="s">
        <v>600</v>
      </c>
      <c r="D141" s="93" t="s">
        <v>674</v>
      </c>
      <c r="E141" s="92" t="s">
        <v>490</v>
      </c>
      <c r="F141" s="94">
        <v>45413</v>
      </c>
      <c r="G141" s="95">
        <v>46940000</v>
      </c>
      <c r="H141" s="92">
        <v>48</v>
      </c>
      <c r="I141" s="95">
        <v>977917</v>
      </c>
      <c r="J141" s="96" t="s">
        <v>494</v>
      </c>
      <c r="K141" s="96" t="s">
        <v>494</v>
      </c>
      <c r="L141" s="96" t="s">
        <v>494</v>
      </c>
      <c r="M141" s="96">
        <v>12</v>
      </c>
      <c r="N141" s="96">
        <v>12</v>
      </c>
      <c r="O141" s="96">
        <v>12</v>
      </c>
      <c r="P141" s="97">
        <v>-11735000</v>
      </c>
      <c r="Q141" s="97">
        <v>-6845417</v>
      </c>
      <c r="R141" s="97">
        <v>-18580417</v>
      </c>
      <c r="S141" s="97">
        <v>28359583</v>
      </c>
    </row>
    <row r="142" spans="1:19" ht="15" customHeight="1">
      <c r="A142" s="92">
        <v>140</v>
      </c>
      <c r="B142" s="92" t="s">
        <v>487</v>
      </c>
      <c r="C142" s="92" t="s">
        <v>600</v>
      </c>
      <c r="D142" s="93" t="s">
        <v>675</v>
      </c>
      <c r="E142" s="92" t="s">
        <v>490</v>
      </c>
      <c r="F142" s="94">
        <v>45413</v>
      </c>
      <c r="G142" s="95">
        <v>17049600</v>
      </c>
      <c r="H142" s="92">
        <v>48</v>
      </c>
      <c r="I142" s="95">
        <v>355200</v>
      </c>
      <c r="J142" s="96" t="s">
        <v>494</v>
      </c>
      <c r="K142" s="96" t="s">
        <v>494</v>
      </c>
      <c r="L142" s="96" t="s">
        <v>494</v>
      </c>
      <c r="M142" s="96">
        <v>12</v>
      </c>
      <c r="N142" s="96">
        <v>12</v>
      </c>
      <c r="O142" s="96">
        <v>12</v>
      </c>
      <c r="P142" s="97">
        <v>-4262400</v>
      </c>
      <c r="Q142" s="97">
        <v>-2486400</v>
      </c>
      <c r="R142" s="97">
        <v>-6748800</v>
      </c>
      <c r="S142" s="97">
        <v>10300800</v>
      </c>
    </row>
    <row r="143" spans="1:19" ht="15" customHeight="1">
      <c r="A143" s="92">
        <v>141</v>
      </c>
      <c r="B143" s="92" t="s">
        <v>487</v>
      </c>
      <c r="C143" s="92" t="s">
        <v>600</v>
      </c>
      <c r="D143" s="93" t="s">
        <v>676</v>
      </c>
      <c r="E143" s="92" t="s">
        <v>490</v>
      </c>
      <c r="F143" s="94">
        <v>45566</v>
      </c>
      <c r="G143" s="95">
        <v>2200000</v>
      </c>
      <c r="H143" s="92">
        <v>48</v>
      </c>
      <c r="I143" s="95">
        <v>45833</v>
      </c>
      <c r="J143" s="96" t="s">
        <v>494</v>
      </c>
      <c r="K143" s="96" t="s">
        <v>494</v>
      </c>
      <c r="L143" s="96" t="s">
        <v>494</v>
      </c>
      <c r="M143" s="96">
        <v>12</v>
      </c>
      <c r="N143" s="96">
        <v>12</v>
      </c>
      <c r="O143" s="96">
        <v>12</v>
      </c>
      <c r="P143" s="97">
        <v>-550000</v>
      </c>
      <c r="Q143" s="97">
        <v>-320833</v>
      </c>
      <c r="R143" s="97">
        <v>-870833</v>
      </c>
      <c r="S143" s="97">
        <v>1329167</v>
      </c>
    </row>
    <row r="144" spans="1:19" ht="15" customHeight="1">
      <c r="A144" s="92">
        <v>142</v>
      </c>
      <c r="B144" s="92" t="s">
        <v>487</v>
      </c>
      <c r="C144" s="92" t="s">
        <v>600</v>
      </c>
      <c r="D144" s="93" t="s">
        <v>677</v>
      </c>
      <c r="E144" s="92" t="s">
        <v>490</v>
      </c>
      <c r="F144" s="94" t="s">
        <v>582</v>
      </c>
      <c r="G144" s="95">
        <v>27550200</v>
      </c>
      <c r="H144" s="92">
        <v>48</v>
      </c>
      <c r="I144" s="95">
        <v>573963</v>
      </c>
      <c r="J144" s="96" t="s">
        <v>494</v>
      </c>
      <c r="K144" s="96" t="s">
        <v>494</v>
      </c>
      <c r="L144" s="96" t="s">
        <v>494</v>
      </c>
      <c r="M144" s="96">
        <v>12</v>
      </c>
      <c r="N144" s="96">
        <v>12</v>
      </c>
      <c r="O144" s="96">
        <v>12</v>
      </c>
      <c r="P144" s="97">
        <v>-6887550</v>
      </c>
      <c r="Q144" s="97">
        <v>-4017738</v>
      </c>
      <c r="R144" s="97">
        <v>-10905288</v>
      </c>
      <c r="S144" s="97">
        <v>16644913</v>
      </c>
    </row>
    <row r="145" spans="1:19" ht="15" customHeight="1">
      <c r="A145" s="92">
        <v>143</v>
      </c>
      <c r="B145" s="92" t="s">
        <v>487</v>
      </c>
      <c r="C145" s="92" t="s">
        <v>600</v>
      </c>
      <c r="D145" s="93" t="s">
        <v>678</v>
      </c>
      <c r="E145" s="92" t="s">
        <v>490</v>
      </c>
      <c r="F145" s="94" t="s">
        <v>582</v>
      </c>
      <c r="G145" s="95">
        <v>39684720</v>
      </c>
      <c r="H145" s="92">
        <v>48</v>
      </c>
      <c r="I145" s="95">
        <v>826765</v>
      </c>
      <c r="J145" s="96" t="s">
        <v>494</v>
      </c>
      <c r="K145" s="96" t="s">
        <v>494</v>
      </c>
      <c r="L145" s="96" t="s">
        <v>494</v>
      </c>
      <c r="M145" s="96">
        <v>12</v>
      </c>
      <c r="N145" s="96">
        <v>12</v>
      </c>
      <c r="O145" s="96">
        <v>12</v>
      </c>
      <c r="P145" s="97">
        <v>-9921180</v>
      </c>
      <c r="Q145" s="97">
        <v>-5787355</v>
      </c>
      <c r="R145" s="97">
        <v>-15708535</v>
      </c>
      <c r="S145" s="97">
        <v>23976185</v>
      </c>
    </row>
    <row r="146" spans="1:19" ht="15" customHeight="1">
      <c r="A146" s="92">
        <v>144</v>
      </c>
      <c r="B146" s="92" t="s">
        <v>487</v>
      </c>
      <c r="C146" s="92" t="s">
        <v>600</v>
      </c>
      <c r="D146" s="93" t="s">
        <v>679</v>
      </c>
      <c r="E146" s="92" t="s">
        <v>490</v>
      </c>
      <c r="F146" s="94" t="s">
        <v>582</v>
      </c>
      <c r="G146" s="95">
        <v>3047616</v>
      </c>
      <c r="H146" s="92">
        <v>48</v>
      </c>
      <c r="I146" s="95">
        <v>63492</v>
      </c>
      <c r="J146" s="96" t="s">
        <v>494</v>
      </c>
      <c r="K146" s="96" t="s">
        <v>494</v>
      </c>
      <c r="L146" s="96" t="s">
        <v>494</v>
      </c>
      <c r="M146" s="96">
        <v>12</v>
      </c>
      <c r="N146" s="96">
        <v>12</v>
      </c>
      <c r="O146" s="96">
        <v>12</v>
      </c>
      <c r="P146" s="97">
        <v>-761904</v>
      </c>
      <c r="Q146" s="97">
        <v>-444444</v>
      </c>
      <c r="R146" s="97">
        <v>-1206348</v>
      </c>
      <c r="S146" s="97">
        <v>1841268</v>
      </c>
    </row>
    <row r="147" spans="1:19" ht="15" customHeight="1">
      <c r="A147" s="92">
        <v>145</v>
      </c>
      <c r="B147" s="92" t="s">
        <v>487</v>
      </c>
      <c r="C147" s="92" t="s">
        <v>600</v>
      </c>
      <c r="D147" s="93" t="s">
        <v>680</v>
      </c>
      <c r="E147" s="92" t="s">
        <v>490</v>
      </c>
      <c r="F147" s="94" t="s">
        <v>681</v>
      </c>
      <c r="G147" s="95">
        <v>6400000</v>
      </c>
      <c r="H147" s="92">
        <v>48</v>
      </c>
      <c r="I147" s="95">
        <v>133333</v>
      </c>
      <c r="J147" s="96" t="s">
        <v>494</v>
      </c>
      <c r="K147" s="96" t="s">
        <v>494</v>
      </c>
      <c r="L147" s="96" t="s">
        <v>494</v>
      </c>
      <c r="M147" s="96">
        <v>12</v>
      </c>
      <c r="N147" s="96">
        <v>12</v>
      </c>
      <c r="O147" s="96">
        <v>12</v>
      </c>
      <c r="P147" s="97">
        <v>-1600000</v>
      </c>
      <c r="Q147" s="97">
        <v>-933333</v>
      </c>
      <c r="R147" s="97">
        <v>-2533333</v>
      </c>
      <c r="S147" s="97">
        <v>3866667</v>
      </c>
    </row>
    <row r="148" spans="1:19" ht="15" customHeight="1">
      <c r="A148" s="92">
        <v>146</v>
      </c>
      <c r="B148" s="92" t="s">
        <v>487</v>
      </c>
      <c r="C148" s="92" t="s">
        <v>600</v>
      </c>
      <c r="D148" s="93" t="s">
        <v>682</v>
      </c>
      <c r="E148" s="92" t="s">
        <v>490</v>
      </c>
      <c r="F148" s="94" t="s">
        <v>681</v>
      </c>
      <c r="G148" s="95">
        <v>56845000</v>
      </c>
      <c r="H148" s="92">
        <v>48</v>
      </c>
      <c r="I148" s="95">
        <v>1184271</v>
      </c>
      <c r="J148" s="96" t="s">
        <v>494</v>
      </c>
      <c r="K148" s="96" t="s">
        <v>494</v>
      </c>
      <c r="L148" s="96" t="s">
        <v>494</v>
      </c>
      <c r="M148" s="96">
        <v>12</v>
      </c>
      <c r="N148" s="96">
        <v>12</v>
      </c>
      <c r="O148" s="96">
        <v>12</v>
      </c>
      <c r="P148" s="97">
        <v>-14211250</v>
      </c>
      <c r="Q148" s="97">
        <v>-8289896</v>
      </c>
      <c r="R148" s="97">
        <v>-22501146</v>
      </c>
      <c r="S148" s="97">
        <v>34343854</v>
      </c>
    </row>
    <row r="149" spans="1:19" ht="15" customHeight="1">
      <c r="A149" s="92">
        <v>147</v>
      </c>
      <c r="B149" s="92" t="s">
        <v>487</v>
      </c>
      <c r="C149" s="92" t="s">
        <v>600</v>
      </c>
      <c r="D149" s="93" t="s">
        <v>683</v>
      </c>
      <c r="E149" s="92" t="s">
        <v>490</v>
      </c>
      <c r="F149" s="94" t="s">
        <v>582</v>
      </c>
      <c r="G149" s="95">
        <v>5380000</v>
      </c>
      <c r="H149" s="92">
        <v>48</v>
      </c>
      <c r="I149" s="95">
        <v>112083</v>
      </c>
      <c r="J149" s="96" t="s">
        <v>494</v>
      </c>
      <c r="K149" s="96" t="s">
        <v>494</v>
      </c>
      <c r="L149" s="96" t="s">
        <v>494</v>
      </c>
      <c r="M149" s="96">
        <v>12</v>
      </c>
      <c r="N149" s="96">
        <v>12</v>
      </c>
      <c r="O149" s="96">
        <v>12</v>
      </c>
      <c r="P149" s="97">
        <v>-1345000</v>
      </c>
      <c r="Q149" s="97">
        <v>-784583</v>
      </c>
      <c r="R149" s="97">
        <v>-2129583</v>
      </c>
      <c r="S149" s="97">
        <v>3250417</v>
      </c>
    </row>
    <row r="150" spans="1:19" ht="15" customHeight="1">
      <c r="A150" s="92">
        <v>148</v>
      </c>
      <c r="B150" s="92" t="s">
        <v>487</v>
      </c>
      <c r="C150" s="92" t="s">
        <v>600</v>
      </c>
      <c r="D150" s="93" t="s">
        <v>684</v>
      </c>
      <c r="E150" s="92" t="s">
        <v>490</v>
      </c>
      <c r="F150" s="94">
        <v>45445</v>
      </c>
      <c r="G150" s="95">
        <v>4585410</v>
      </c>
      <c r="H150" s="92">
        <v>48</v>
      </c>
      <c r="I150" s="95">
        <v>95529</v>
      </c>
      <c r="J150" s="96" t="s">
        <v>494</v>
      </c>
      <c r="K150" s="96" t="s">
        <v>494</v>
      </c>
      <c r="L150" s="96" t="s">
        <v>494</v>
      </c>
      <c r="M150" s="96">
        <v>11</v>
      </c>
      <c r="N150" s="96">
        <v>12</v>
      </c>
      <c r="O150" s="96">
        <v>12</v>
      </c>
      <c r="P150" s="97">
        <v>-1050823</v>
      </c>
      <c r="Q150" s="97">
        <v>-668706</v>
      </c>
      <c r="R150" s="97">
        <v>-1719529</v>
      </c>
      <c r="S150" s="97">
        <v>2865881</v>
      </c>
    </row>
    <row r="151" spans="1:19" ht="15" customHeight="1">
      <c r="A151" s="92">
        <v>149</v>
      </c>
      <c r="B151" s="92" t="s">
        <v>487</v>
      </c>
      <c r="C151" s="92" t="s">
        <v>600</v>
      </c>
      <c r="D151" s="93" t="s">
        <v>685</v>
      </c>
      <c r="E151" s="92" t="s">
        <v>490</v>
      </c>
      <c r="F151" s="94" t="s">
        <v>686</v>
      </c>
      <c r="G151" s="95">
        <v>24241500</v>
      </c>
      <c r="H151" s="92">
        <v>48</v>
      </c>
      <c r="I151" s="95">
        <v>505031</v>
      </c>
      <c r="J151" s="96" t="s">
        <v>494</v>
      </c>
      <c r="K151" s="96" t="s">
        <v>494</v>
      </c>
      <c r="L151" s="96" t="s">
        <v>494</v>
      </c>
      <c r="M151" s="96">
        <v>11</v>
      </c>
      <c r="N151" s="96">
        <v>12</v>
      </c>
      <c r="O151" s="96">
        <v>12</v>
      </c>
      <c r="P151" s="97">
        <v>-5555344</v>
      </c>
      <c r="Q151" s="97">
        <v>-3535219</v>
      </c>
      <c r="R151" s="97">
        <v>-9090563</v>
      </c>
      <c r="S151" s="97">
        <v>15150938</v>
      </c>
    </row>
    <row r="152" spans="1:19" ht="15" customHeight="1">
      <c r="A152" s="92">
        <v>150</v>
      </c>
      <c r="B152" s="92" t="s">
        <v>487</v>
      </c>
      <c r="C152" s="92" t="s">
        <v>600</v>
      </c>
      <c r="D152" s="93" t="s">
        <v>687</v>
      </c>
      <c r="E152" s="92" t="s">
        <v>490</v>
      </c>
      <c r="F152" s="94" t="s">
        <v>688</v>
      </c>
      <c r="G152" s="95">
        <v>1486500</v>
      </c>
      <c r="H152" s="92">
        <v>48</v>
      </c>
      <c r="I152" s="95">
        <v>30969</v>
      </c>
      <c r="J152" s="96" t="s">
        <v>494</v>
      </c>
      <c r="K152" s="96" t="s">
        <v>494</v>
      </c>
      <c r="L152" s="96" t="s">
        <v>494</v>
      </c>
      <c r="M152" s="96">
        <v>11</v>
      </c>
      <c r="N152" s="96">
        <v>12</v>
      </c>
      <c r="O152" s="96">
        <v>12</v>
      </c>
      <c r="P152" s="97">
        <v>-340656</v>
      </c>
      <c r="Q152" s="97">
        <v>-216781</v>
      </c>
      <c r="R152" s="97">
        <v>-557438</v>
      </c>
      <c r="S152" s="97">
        <v>929063</v>
      </c>
    </row>
    <row r="153" spans="1:19" ht="15" customHeight="1">
      <c r="A153" s="92">
        <v>151</v>
      </c>
      <c r="B153" s="92" t="s">
        <v>487</v>
      </c>
      <c r="C153" s="92" t="s">
        <v>600</v>
      </c>
      <c r="D153" s="93" t="s">
        <v>689</v>
      </c>
      <c r="E153" s="92" t="s">
        <v>490</v>
      </c>
      <c r="F153" s="94" t="s">
        <v>690</v>
      </c>
      <c r="G153" s="95">
        <v>5050500</v>
      </c>
      <c r="H153" s="92">
        <v>48</v>
      </c>
      <c r="I153" s="95">
        <v>105219</v>
      </c>
      <c r="J153" s="96" t="s">
        <v>494</v>
      </c>
      <c r="K153" s="96" t="s">
        <v>494</v>
      </c>
      <c r="L153" s="96" t="s">
        <v>494</v>
      </c>
      <c r="M153" s="96">
        <v>11</v>
      </c>
      <c r="N153" s="96">
        <v>12</v>
      </c>
      <c r="O153" s="96">
        <v>12</v>
      </c>
      <c r="P153" s="97">
        <v>-1157406</v>
      </c>
      <c r="Q153" s="97">
        <v>-736531</v>
      </c>
      <c r="R153" s="97">
        <v>-1893938</v>
      </c>
      <c r="S153" s="97">
        <v>3156563</v>
      </c>
    </row>
    <row r="154" spans="1:19" ht="15" customHeight="1">
      <c r="A154" s="92">
        <v>152</v>
      </c>
      <c r="B154" s="92" t="s">
        <v>487</v>
      </c>
      <c r="C154" s="92" t="s">
        <v>600</v>
      </c>
      <c r="D154" s="93" t="s">
        <v>691</v>
      </c>
      <c r="E154" s="92" t="s">
        <v>490</v>
      </c>
      <c r="F154" s="94" t="s">
        <v>686</v>
      </c>
      <c r="G154" s="95">
        <v>47320000</v>
      </c>
      <c r="H154" s="92">
        <v>48</v>
      </c>
      <c r="I154" s="95">
        <v>985833</v>
      </c>
      <c r="J154" s="96" t="s">
        <v>494</v>
      </c>
      <c r="K154" s="96" t="s">
        <v>494</v>
      </c>
      <c r="L154" s="96" t="s">
        <v>494</v>
      </c>
      <c r="M154" s="96">
        <v>11</v>
      </c>
      <c r="N154" s="96">
        <v>12</v>
      </c>
      <c r="O154" s="96">
        <v>12</v>
      </c>
      <c r="P154" s="97">
        <v>-10844167</v>
      </c>
      <c r="Q154" s="97">
        <v>-6900833</v>
      </c>
      <c r="R154" s="97">
        <v>-17745000</v>
      </c>
      <c r="S154" s="97">
        <v>29575000</v>
      </c>
    </row>
    <row r="155" spans="1:19" ht="15" customHeight="1">
      <c r="A155" s="92">
        <v>153</v>
      </c>
      <c r="B155" s="92" t="s">
        <v>487</v>
      </c>
      <c r="C155" s="92" t="s">
        <v>600</v>
      </c>
      <c r="D155" s="93" t="s">
        <v>692</v>
      </c>
      <c r="E155" s="92" t="s">
        <v>490</v>
      </c>
      <c r="F155" s="94">
        <v>45264</v>
      </c>
      <c r="G155" s="95">
        <v>6775000</v>
      </c>
      <c r="H155" s="92">
        <v>48</v>
      </c>
      <c r="I155" s="95">
        <v>141146</v>
      </c>
      <c r="J155" s="96" t="s">
        <v>494</v>
      </c>
      <c r="K155" s="96" t="s">
        <v>494</v>
      </c>
      <c r="L155" s="96" t="s">
        <v>494</v>
      </c>
      <c r="M155" s="96">
        <v>9</v>
      </c>
      <c r="N155" s="96">
        <v>12</v>
      </c>
      <c r="O155" s="96">
        <v>12</v>
      </c>
      <c r="P155" s="97">
        <v>-1270313</v>
      </c>
      <c r="Q155" s="97">
        <v>-988021</v>
      </c>
      <c r="R155" s="97">
        <v>-2258333</v>
      </c>
      <c r="S155" s="97">
        <v>4516667</v>
      </c>
    </row>
    <row r="156" spans="1:19" ht="15" customHeight="1">
      <c r="A156" s="92">
        <v>154</v>
      </c>
      <c r="B156" s="92" t="s">
        <v>487</v>
      </c>
      <c r="C156" s="92" t="s">
        <v>600</v>
      </c>
      <c r="D156" s="93" t="s">
        <v>693</v>
      </c>
      <c r="E156" s="92" t="s">
        <v>490</v>
      </c>
      <c r="F156" s="94" t="s">
        <v>694</v>
      </c>
      <c r="G156" s="95">
        <v>5738700</v>
      </c>
      <c r="H156" s="92">
        <v>48</v>
      </c>
      <c r="I156" s="95">
        <v>119556</v>
      </c>
      <c r="J156" s="96" t="s">
        <v>494</v>
      </c>
      <c r="K156" s="96" t="s">
        <v>494</v>
      </c>
      <c r="L156" s="96" t="s">
        <v>494</v>
      </c>
      <c r="M156" s="96">
        <v>10</v>
      </c>
      <c r="N156" s="96">
        <v>12</v>
      </c>
      <c r="O156" s="96">
        <v>12</v>
      </c>
      <c r="P156" s="97">
        <v>-1195563</v>
      </c>
      <c r="Q156" s="97">
        <v>-836894</v>
      </c>
      <c r="R156" s="97">
        <v>-2032456</v>
      </c>
      <c r="S156" s="97">
        <v>3706244</v>
      </c>
    </row>
    <row r="157" spans="1:19" ht="15" customHeight="1">
      <c r="A157" s="92">
        <v>155</v>
      </c>
      <c r="B157" s="92" t="s">
        <v>487</v>
      </c>
      <c r="C157" s="92" t="s">
        <v>600</v>
      </c>
      <c r="D157" s="93" t="s">
        <v>695</v>
      </c>
      <c r="E157" s="92" t="s">
        <v>490</v>
      </c>
      <c r="F157" s="94">
        <v>45326</v>
      </c>
      <c r="G157" s="95">
        <v>17288000</v>
      </c>
      <c r="H157" s="92">
        <v>48</v>
      </c>
      <c r="I157" s="95">
        <v>360167</v>
      </c>
      <c r="J157" s="96" t="s">
        <v>494</v>
      </c>
      <c r="K157" s="96" t="s">
        <v>494</v>
      </c>
      <c r="L157" s="96" t="s">
        <v>494</v>
      </c>
      <c r="M157" s="96">
        <v>9</v>
      </c>
      <c r="N157" s="96">
        <v>12</v>
      </c>
      <c r="O157" s="96">
        <v>12</v>
      </c>
      <c r="P157" s="97">
        <v>-3241500</v>
      </c>
      <c r="Q157" s="97">
        <v>-2521167</v>
      </c>
      <c r="R157" s="97">
        <v>-5762667</v>
      </c>
      <c r="S157" s="97">
        <v>11525333</v>
      </c>
    </row>
    <row r="158" spans="1:19" ht="15" customHeight="1">
      <c r="A158" s="92">
        <v>156</v>
      </c>
      <c r="B158" s="92" t="s">
        <v>487</v>
      </c>
      <c r="C158" s="92" t="s">
        <v>600</v>
      </c>
      <c r="D158" s="93" t="s">
        <v>696</v>
      </c>
      <c r="E158" s="92" t="s">
        <v>490</v>
      </c>
      <c r="F158" s="94">
        <v>45326</v>
      </c>
      <c r="G158" s="95">
        <v>10000000</v>
      </c>
      <c r="H158" s="92">
        <v>48</v>
      </c>
      <c r="I158" s="95">
        <v>208333</v>
      </c>
      <c r="J158" s="96" t="s">
        <v>494</v>
      </c>
      <c r="K158" s="96" t="s">
        <v>494</v>
      </c>
      <c r="L158" s="96" t="s">
        <v>494</v>
      </c>
      <c r="M158" s="96">
        <v>9</v>
      </c>
      <c r="N158" s="96">
        <v>12</v>
      </c>
      <c r="O158" s="96">
        <v>12</v>
      </c>
      <c r="P158" s="97">
        <v>-1875000</v>
      </c>
      <c r="Q158" s="97">
        <v>-1458333</v>
      </c>
      <c r="R158" s="97">
        <v>-3333333</v>
      </c>
      <c r="S158" s="97">
        <v>6666667</v>
      </c>
    </row>
    <row r="159" spans="1:19" ht="15" customHeight="1">
      <c r="A159" s="92">
        <v>157</v>
      </c>
      <c r="B159" s="92" t="s">
        <v>487</v>
      </c>
      <c r="C159" s="92" t="s">
        <v>600</v>
      </c>
      <c r="D159" s="93" t="s">
        <v>697</v>
      </c>
      <c r="E159" s="92" t="s">
        <v>490</v>
      </c>
      <c r="F159" s="94" t="s">
        <v>585</v>
      </c>
      <c r="G159" s="95">
        <v>8649978</v>
      </c>
      <c r="H159" s="92">
        <v>48</v>
      </c>
      <c r="I159" s="95">
        <v>180208</v>
      </c>
      <c r="J159" s="96" t="s">
        <v>494</v>
      </c>
      <c r="K159" s="96" t="s">
        <v>494</v>
      </c>
      <c r="L159" s="96" t="s">
        <v>494</v>
      </c>
      <c r="M159" s="96">
        <v>7</v>
      </c>
      <c r="N159" s="96">
        <v>12</v>
      </c>
      <c r="O159" s="96">
        <v>12</v>
      </c>
      <c r="P159" s="97">
        <v>-1261455</v>
      </c>
      <c r="Q159" s="97">
        <v>-1261455</v>
      </c>
      <c r="R159" s="97">
        <v>-2522910</v>
      </c>
      <c r="S159" s="97">
        <v>6127068</v>
      </c>
    </row>
    <row r="160" spans="1:19" ht="15" customHeight="1">
      <c r="A160" s="92">
        <v>158</v>
      </c>
      <c r="B160" s="92" t="s">
        <v>487</v>
      </c>
      <c r="C160" s="92" t="s">
        <v>600</v>
      </c>
      <c r="D160" s="93" t="s">
        <v>698</v>
      </c>
      <c r="E160" s="92" t="s">
        <v>490</v>
      </c>
      <c r="F160" s="94">
        <v>45603</v>
      </c>
      <c r="G160" s="95">
        <v>8300000</v>
      </c>
      <c r="H160" s="92">
        <v>48</v>
      </c>
      <c r="I160" s="95">
        <v>172917</v>
      </c>
      <c r="J160" s="96" t="s">
        <v>494</v>
      </c>
      <c r="K160" s="96" t="s">
        <v>494</v>
      </c>
      <c r="L160" s="96" t="s">
        <v>494</v>
      </c>
      <c r="M160" s="96">
        <v>6</v>
      </c>
      <c r="N160" s="96">
        <v>12</v>
      </c>
      <c r="O160" s="96">
        <v>12</v>
      </c>
      <c r="P160" s="97">
        <v>-1037500</v>
      </c>
      <c r="Q160" s="97">
        <v>-1210417</v>
      </c>
      <c r="R160" s="97">
        <v>-2247917</v>
      </c>
      <c r="S160" s="97">
        <v>6052083</v>
      </c>
    </row>
    <row r="161" spans="1:19" ht="15" customHeight="1">
      <c r="A161" s="92">
        <v>159</v>
      </c>
      <c r="B161" s="92" t="s">
        <v>487</v>
      </c>
      <c r="C161" s="92" t="s">
        <v>600</v>
      </c>
      <c r="D161" s="93" t="s">
        <v>699</v>
      </c>
      <c r="E161" s="92" t="s">
        <v>490</v>
      </c>
      <c r="F161" s="94">
        <v>45633</v>
      </c>
      <c r="G161" s="95">
        <v>6490170</v>
      </c>
      <c r="H161" s="92">
        <v>48</v>
      </c>
      <c r="I161" s="95">
        <v>135212</v>
      </c>
      <c r="J161" s="96" t="s">
        <v>494</v>
      </c>
      <c r="K161" s="96" t="s">
        <v>494</v>
      </c>
      <c r="L161" s="96" t="s">
        <v>494</v>
      </c>
      <c r="M161" s="96">
        <v>6</v>
      </c>
      <c r="N161" s="96">
        <v>12</v>
      </c>
      <c r="O161" s="96">
        <v>12</v>
      </c>
      <c r="P161" s="97">
        <v>-811271</v>
      </c>
      <c r="Q161" s="97">
        <v>-946483</v>
      </c>
      <c r="R161" s="97">
        <v>-1757754</v>
      </c>
      <c r="S161" s="97">
        <v>4732416</v>
      </c>
    </row>
    <row r="162" spans="1:19" ht="15" customHeight="1">
      <c r="A162" s="92">
        <v>160</v>
      </c>
      <c r="B162" s="92" t="s">
        <v>487</v>
      </c>
      <c r="C162" s="92" t="s">
        <v>600</v>
      </c>
      <c r="D162" s="93" t="s">
        <v>662</v>
      </c>
      <c r="E162" s="92" t="s">
        <v>490</v>
      </c>
      <c r="F162" s="94" t="s">
        <v>700</v>
      </c>
      <c r="G162" s="95">
        <v>9291250</v>
      </c>
      <c r="H162" s="92">
        <v>48</v>
      </c>
      <c r="I162" s="95">
        <v>193568</v>
      </c>
      <c r="J162" s="96" t="s">
        <v>494</v>
      </c>
      <c r="K162" s="96" t="s">
        <v>494</v>
      </c>
      <c r="L162" s="96" t="s">
        <v>494</v>
      </c>
      <c r="M162" s="96">
        <v>11</v>
      </c>
      <c r="N162" s="96">
        <v>12</v>
      </c>
      <c r="O162" s="96">
        <v>12</v>
      </c>
      <c r="P162" s="97">
        <v>-2129245</v>
      </c>
      <c r="Q162" s="97">
        <v>-1354974</v>
      </c>
      <c r="R162" s="97">
        <v>-3484219</v>
      </c>
      <c r="S162" s="97">
        <v>5807031</v>
      </c>
    </row>
    <row r="163" spans="1:19" ht="15" customHeight="1">
      <c r="A163" s="92">
        <v>161</v>
      </c>
      <c r="B163" s="92" t="s">
        <v>487</v>
      </c>
      <c r="C163" s="92" t="s">
        <v>600</v>
      </c>
      <c r="D163" s="93" t="s">
        <v>701</v>
      </c>
      <c r="E163" s="92" t="s">
        <v>490</v>
      </c>
      <c r="F163" s="94">
        <v>45634</v>
      </c>
      <c r="G163" s="95">
        <v>16050000</v>
      </c>
      <c r="H163" s="92">
        <v>48</v>
      </c>
      <c r="I163" s="95">
        <v>334375</v>
      </c>
      <c r="J163" s="96" t="s">
        <v>494</v>
      </c>
      <c r="K163" s="96" t="s">
        <v>494</v>
      </c>
      <c r="L163" s="96" t="s">
        <v>494</v>
      </c>
      <c r="M163" s="96">
        <v>5</v>
      </c>
      <c r="N163" s="96">
        <v>12</v>
      </c>
      <c r="O163" s="96">
        <v>12</v>
      </c>
      <c r="P163" s="97">
        <v>-1671875</v>
      </c>
      <c r="Q163" s="97">
        <v>-2340625</v>
      </c>
      <c r="R163" s="97">
        <v>-4012500</v>
      </c>
      <c r="S163" s="97">
        <v>12037500</v>
      </c>
    </row>
    <row r="164" spans="1:19" ht="15" customHeight="1">
      <c r="A164" s="92">
        <v>162</v>
      </c>
      <c r="B164" s="92" t="s">
        <v>487</v>
      </c>
      <c r="C164" s="92" t="s">
        <v>600</v>
      </c>
      <c r="D164" s="93" t="s">
        <v>702</v>
      </c>
      <c r="E164" s="92" t="s">
        <v>490</v>
      </c>
      <c r="F164" s="94">
        <v>45634</v>
      </c>
      <c r="G164" s="95">
        <v>16405800</v>
      </c>
      <c r="H164" s="92">
        <v>48</v>
      </c>
      <c r="I164" s="95">
        <v>341788</v>
      </c>
      <c r="J164" s="96" t="s">
        <v>494</v>
      </c>
      <c r="K164" s="96" t="s">
        <v>494</v>
      </c>
      <c r="L164" s="96" t="s">
        <v>494</v>
      </c>
      <c r="M164" s="96">
        <v>5</v>
      </c>
      <c r="N164" s="96">
        <v>12</v>
      </c>
      <c r="O164" s="96">
        <v>12</v>
      </c>
      <c r="P164" s="97">
        <v>-1708938</v>
      </c>
      <c r="Q164" s="97">
        <v>-2392513</v>
      </c>
      <c r="R164" s="97">
        <v>-4101450</v>
      </c>
      <c r="S164" s="97">
        <v>12304350</v>
      </c>
    </row>
    <row r="165" spans="1:19" ht="15" customHeight="1">
      <c r="A165" s="92">
        <v>163</v>
      </c>
      <c r="B165" s="92" t="s">
        <v>487</v>
      </c>
      <c r="C165" s="92" t="s">
        <v>600</v>
      </c>
      <c r="D165" s="93" t="s">
        <v>703</v>
      </c>
      <c r="E165" s="92" t="s">
        <v>490</v>
      </c>
      <c r="F165" s="94" t="s">
        <v>704</v>
      </c>
      <c r="G165" s="95">
        <v>8070250</v>
      </c>
      <c r="H165" s="92">
        <v>48</v>
      </c>
      <c r="I165" s="95">
        <v>168130</v>
      </c>
      <c r="J165" s="96" t="s">
        <v>494</v>
      </c>
      <c r="K165" s="96" t="s">
        <v>494</v>
      </c>
      <c r="L165" s="96" t="s">
        <v>494</v>
      </c>
      <c r="M165" s="96">
        <v>5</v>
      </c>
      <c r="N165" s="96">
        <v>12</v>
      </c>
      <c r="O165" s="96">
        <v>12</v>
      </c>
      <c r="P165" s="97">
        <v>-840651</v>
      </c>
      <c r="Q165" s="97">
        <v>-1176911</v>
      </c>
      <c r="R165" s="97">
        <v>-2017563</v>
      </c>
      <c r="S165" s="97">
        <v>6052688</v>
      </c>
    </row>
    <row r="166" spans="1:19" ht="15" customHeight="1">
      <c r="A166" s="92">
        <v>164</v>
      </c>
      <c r="B166" s="92" t="s">
        <v>487</v>
      </c>
      <c r="C166" s="92" t="s">
        <v>600</v>
      </c>
      <c r="D166" s="93" t="s">
        <v>705</v>
      </c>
      <c r="E166" s="92" t="s">
        <v>490</v>
      </c>
      <c r="F166" s="94" t="s">
        <v>706</v>
      </c>
      <c r="G166" s="95">
        <v>1332000</v>
      </c>
      <c r="H166" s="92">
        <v>48</v>
      </c>
      <c r="I166" s="95">
        <v>27750</v>
      </c>
      <c r="J166" s="96" t="s">
        <v>494</v>
      </c>
      <c r="K166" s="96" t="s">
        <v>494</v>
      </c>
      <c r="L166" s="96" t="s">
        <v>494</v>
      </c>
      <c r="M166" s="96">
        <v>5</v>
      </c>
      <c r="N166" s="96">
        <v>12</v>
      </c>
      <c r="O166" s="96">
        <v>12</v>
      </c>
      <c r="P166" s="97">
        <v>-138750</v>
      </c>
      <c r="Q166" s="97">
        <v>-194250</v>
      </c>
      <c r="R166" s="97">
        <v>-333000</v>
      </c>
      <c r="S166" s="97">
        <v>999000</v>
      </c>
    </row>
    <row r="167" spans="1:19" ht="15" customHeight="1">
      <c r="A167" s="92">
        <v>165</v>
      </c>
      <c r="B167" s="92" t="s">
        <v>487</v>
      </c>
      <c r="C167" s="92" t="s">
        <v>600</v>
      </c>
      <c r="D167" s="93" t="s">
        <v>707</v>
      </c>
      <c r="E167" s="92" t="s">
        <v>490</v>
      </c>
      <c r="F167" s="94" t="s">
        <v>708</v>
      </c>
      <c r="G167" s="95">
        <v>1299000</v>
      </c>
      <c r="H167" s="92">
        <v>48</v>
      </c>
      <c r="I167" s="95">
        <v>27063</v>
      </c>
      <c r="J167" s="96" t="s">
        <v>494</v>
      </c>
      <c r="K167" s="96" t="s">
        <v>494</v>
      </c>
      <c r="L167" s="96" t="s">
        <v>494</v>
      </c>
      <c r="M167" s="96">
        <v>5</v>
      </c>
      <c r="N167" s="96">
        <v>12</v>
      </c>
      <c r="O167" s="96">
        <v>12</v>
      </c>
      <c r="P167" s="97">
        <v>-135313</v>
      </c>
      <c r="Q167" s="97">
        <v>-189438</v>
      </c>
      <c r="R167" s="97">
        <v>-324750</v>
      </c>
      <c r="S167" s="97">
        <v>974250</v>
      </c>
    </row>
    <row r="168" spans="1:19" ht="15" customHeight="1">
      <c r="A168" s="92">
        <v>166</v>
      </c>
      <c r="B168" s="92" t="s">
        <v>487</v>
      </c>
      <c r="C168" s="92" t="s">
        <v>600</v>
      </c>
      <c r="D168" s="93" t="s">
        <v>709</v>
      </c>
      <c r="E168" s="92" t="s">
        <v>490</v>
      </c>
      <c r="F168" s="94">
        <v>45574</v>
      </c>
      <c r="G168" s="95">
        <v>21000000</v>
      </c>
      <c r="H168" s="92">
        <v>48</v>
      </c>
      <c r="I168" s="95">
        <v>437500</v>
      </c>
      <c r="J168" s="96" t="s">
        <v>494</v>
      </c>
      <c r="K168" s="96" t="s">
        <v>494</v>
      </c>
      <c r="L168" s="96" t="s">
        <v>494</v>
      </c>
      <c r="M168" s="96">
        <v>4</v>
      </c>
      <c r="N168" s="96">
        <v>12</v>
      </c>
      <c r="O168" s="96">
        <v>12</v>
      </c>
      <c r="P168" s="97">
        <v>-1750000</v>
      </c>
      <c r="Q168" s="97">
        <v>-3062500</v>
      </c>
      <c r="R168" s="97">
        <v>-4812500</v>
      </c>
      <c r="S168" s="97">
        <v>16187500</v>
      </c>
    </row>
    <row r="169" spans="1:19" ht="15" customHeight="1">
      <c r="A169" s="92">
        <v>167</v>
      </c>
      <c r="B169" s="92" t="s">
        <v>487</v>
      </c>
      <c r="C169" s="92" t="s">
        <v>600</v>
      </c>
      <c r="D169" s="93" t="s">
        <v>710</v>
      </c>
      <c r="E169" s="92" t="s">
        <v>490</v>
      </c>
      <c r="F169" s="94">
        <v>45574</v>
      </c>
      <c r="G169" s="95">
        <v>9025000</v>
      </c>
      <c r="H169" s="92">
        <v>48</v>
      </c>
      <c r="I169" s="95">
        <v>188021</v>
      </c>
      <c r="J169" s="96" t="s">
        <v>494</v>
      </c>
      <c r="K169" s="96" t="s">
        <v>494</v>
      </c>
      <c r="L169" s="96" t="s">
        <v>494</v>
      </c>
      <c r="M169" s="96">
        <v>4</v>
      </c>
      <c r="N169" s="96">
        <v>12</v>
      </c>
      <c r="O169" s="96">
        <v>12</v>
      </c>
      <c r="P169" s="97">
        <v>-752083</v>
      </c>
      <c r="Q169" s="97">
        <v>-1316146</v>
      </c>
      <c r="R169" s="97">
        <v>-2068229</v>
      </c>
      <c r="S169" s="97">
        <v>6956771</v>
      </c>
    </row>
    <row r="170" spans="1:19" ht="15" customHeight="1">
      <c r="A170" s="92">
        <v>168</v>
      </c>
      <c r="B170" s="92" t="s">
        <v>487</v>
      </c>
      <c r="C170" s="92" t="s">
        <v>600</v>
      </c>
      <c r="D170" s="93" t="s">
        <v>711</v>
      </c>
      <c r="E170" s="92" t="s">
        <v>490</v>
      </c>
      <c r="F170" s="94">
        <v>45574</v>
      </c>
      <c r="G170" s="95">
        <v>19500000</v>
      </c>
      <c r="H170" s="92">
        <v>48</v>
      </c>
      <c r="I170" s="95">
        <v>406250</v>
      </c>
      <c r="J170" s="96" t="s">
        <v>494</v>
      </c>
      <c r="K170" s="96" t="s">
        <v>494</v>
      </c>
      <c r="L170" s="96" t="s">
        <v>494</v>
      </c>
      <c r="M170" s="96">
        <v>4</v>
      </c>
      <c r="N170" s="96">
        <v>12</v>
      </c>
      <c r="O170" s="96">
        <v>12</v>
      </c>
      <c r="P170" s="97">
        <v>-1625000</v>
      </c>
      <c r="Q170" s="97">
        <v>-2843750</v>
      </c>
      <c r="R170" s="97">
        <v>-4468750</v>
      </c>
      <c r="S170" s="97">
        <v>15031250</v>
      </c>
    </row>
    <row r="171" spans="1:19" ht="15" customHeight="1">
      <c r="A171" s="92">
        <v>169</v>
      </c>
      <c r="B171" s="92" t="s">
        <v>487</v>
      </c>
      <c r="C171" s="92" t="s">
        <v>600</v>
      </c>
      <c r="D171" s="93" t="s">
        <v>712</v>
      </c>
      <c r="E171" s="92" t="s">
        <v>490</v>
      </c>
      <c r="F171" s="94">
        <v>45574</v>
      </c>
      <c r="G171" s="95">
        <v>48000000</v>
      </c>
      <c r="H171" s="92">
        <v>48</v>
      </c>
      <c r="I171" s="95">
        <v>1000000</v>
      </c>
      <c r="J171" s="96" t="s">
        <v>494</v>
      </c>
      <c r="K171" s="96" t="s">
        <v>494</v>
      </c>
      <c r="L171" s="96" t="s">
        <v>494</v>
      </c>
      <c r="M171" s="96">
        <v>4</v>
      </c>
      <c r="N171" s="96">
        <v>12</v>
      </c>
      <c r="O171" s="96">
        <v>12</v>
      </c>
      <c r="P171" s="97">
        <v>-4000000</v>
      </c>
      <c r="Q171" s="97">
        <v>-7000000</v>
      </c>
      <c r="R171" s="97">
        <v>-11000000</v>
      </c>
      <c r="S171" s="97">
        <v>37000000</v>
      </c>
    </row>
    <row r="172" spans="1:19" ht="15" customHeight="1">
      <c r="A172" s="92">
        <v>170</v>
      </c>
      <c r="B172" s="92" t="s">
        <v>487</v>
      </c>
      <c r="C172" s="92" t="s">
        <v>600</v>
      </c>
      <c r="D172" s="93" t="s">
        <v>713</v>
      </c>
      <c r="E172" s="92" t="s">
        <v>490</v>
      </c>
      <c r="F172" s="94" t="s">
        <v>714</v>
      </c>
      <c r="G172" s="95">
        <v>6000000</v>
      </c>
      <c r="H172" s="92">
        <v>48</v>
      </c>
      <c r="I172" s="95">
        <v>125000</v>
      </c>
      <c r="J172" s="96" t="s">
        <v>494</v>
      </c>
      <c r="K172" s="96" t="s">
        <v>494</v>
      </c>
      <c r="L172" s="96" t="s">
        <v>494</v>
      </c>
      <c r="M172" s="96">
        <v>4</v>
      </c>
      <c r="N172" s="96">
        <v>12</v>
      </c>
      <c r="O172" s="96">
        <v>12</v>
      </c>
      <c r="P172" s="97">
        <v>-500000</v>
      </c>
      <c r="Q172" s="97">
        <v>-875000</v>
      </c>
      <c r="R172" s="97">
        <v>-1375000</v>
      </c>
      <c r="S172" s="97">
        <v>4625000</v>
      </c>
    </row>
    <row r="173" spans="1:19" ht="15" customHeight="1">
      <c r="A173" s="92">
        <v>171</v>
      </c>
      <c r="B173" s="92" t="s">
        <v>487</v>
      </c>
      <c r="C173" s="92" t="s">
        <v>600</v>
      </c>
      <c r="D173" s="93" t="s">
        <v>715</v>
      </c>
      <c r="E173" s="92" t="s">
        <v>490</v>
      </c>
      <c r="F173" s="94" t="s">
        <v>714</v>
      </c>
      <c r="G173" s="95">
        <v>2660000</v>
      </c>
      <c r="H173" s="92">
        <v>48</v>
      </c>
      <c r="I173" s="95">
        <v>55417</v>
      </c>
      <c r="J173" s="96" t="s">
        <v>494</v>
      </c>
      <c r="K173" s="96" t="s">
        <v>494</v>
      </c>
      <c r="L173" s="96" t="s">
        <v>494</v>
      </c>
      <c r="M173" s="96">
        <v>4</v>
      </c>
      <c r="N173" s="96">
        <v>12</v>
      </c>
      <c r="O173" s="96">
        <v>12</v>
      </c>
      <c r="P173" s="97">
        <v>-221667</v>
      </c>
      <c r="Q173" s="97">
        <v>-387917</v>
      </c>
      <c r="R173" s="97">
        <v>-609583</v>
      </c>
      <c r="S173" s="97">
        <v>2050417</v>
      </c>
    </row>
    <row r="174" spans="1:19" ht="15" customHeight="1">
      <c r="A174" s="92">
        <v>172</v>
      </c>
      <c r="B174" s="92" t="s">
        <v>487</v>
      </c>
      <c r="C174" s="92" t="s">
        <v>600</v>
      </c>
      <c r="D174" s="93" t="s">
        <v>716</v>
      </c>
      <c r="E174" s="92" t="s">
        <v>490</v>
      </c>
      <c r="F174" s="94" t="s">
        <v>714</v>
      </c>
      <c r="G174" s="95">
        <v>16488500</v>
      </c>
      <c r="H174" s="92">
        <v>48</v>
      </c>
      <c r="I174" s="95">
        <v>343510</v>
      </c>
      <c r="J174" s="96" t="s">
        <v>494</v>
      </c>
      <c r="K174" s="96" t="s">
        <v>494</v>
      </c>
      <c r="L174" s="96" t="s">
        <v>494</v>
      </c>
      <c r="M174" s="96">
        <v>4</v>
      </c>
      <c r="N174" s="96">
        <v>12</v>
      </c>
      <c r="O174" s="96">
        <v>12</v>
      </c>
      <c r="P174" s="97">
        <v>-1374042</v>
      </c>
      <c r="Q174" s="97">
        <v>-2404573</v>
      </c>
      <c r="R174" s="97">
        <v>-3778615</v>
      </c>
      <c r="S174" s="97">
        <v>12709885</v>
      </c>
    </row>
    <row r="175" spans="1:19" ht="15" customHeight="1">
      <c r="A175" s="92">
        <v>173</v>
      </c>
      <c r="B175" s="92" t="s">
        <v>487</v>
      </c>
      <c r="C175" s="92" t="s">
        <v>600</v>
      </c>
      <c r="D175" s="93" t="s">
        <v>717</v>
      </c>
      <c r="E175" s="92" t="s">
        <v>490</v>
      </c>
      <c r="F175" s="94" t="s">
        <v>718</v>
      </c>
      <c r="G175" s="95">
        <v>10500000</v>
      </c>
      <c r="H175" s="92">
        <v>48</v>
      </c>
      <c r="I175" s="95">
        <v>218750</v>
      </c>
      <c r="J175" s="96" t="s">
        <v>494</v>
      </c>
      <c r="K175" s="96" t="s">
        <v>494</v>
      </c>
      <c r="L175" s="96" t="s">
        <v>494</v>
      </c>
      <c r="M175" s="96">
        <v>4</v>
      </c>
      <c r="N175" s="96">
        <v>12</v>
      </c>
      <c r="O175" s="96">
        <v>12</v>
      </c>
      <c r="P175" s="97">
        <v>-875000</v>
      </c>
      <c r="Q175" s="97">
        <v>-1531250</v>
      </c>
      <c r="R175" s="97">
        <v>-2406250</v>
      </c>
      <c r="S175" s="97">
        <v>8093750</v>
      </c>
    </row>
    <row r="176" spans="1:19" ht="15" customHeight="1">
      <c r="A176" s="92">
        <v>174</v>
      </c>
      <c r="B176" s="92" t="s">
        <v>487</v>
      </c>
      <c r="C176" s="92" t="s">
        <v>600</v>
      </c>
      <c r="D176" s="93" t="s">
        <v>719</v>
      </c>
      <c r="E176" s="92" t="s">
        <v>490</v>
      </c>
      <c r="F176" s="94" t="s">
        <v>718</v>
      </c>
      <c r="G176" s="95">
        <v>9500000</v>
      </c>
      <c r="H176" s="92">
        <v>48</v>
      </c>
      <c r="I176" s="95">
        <v>197917</v>
      </c>
      <c r="J176" s="96" t="s">
        <v>494</v>
      </c>
      <c r="K176" s="96" t="s">
        <v>494</v>
      </c>
      <c r="L176" s="96" t="s">
        <v>494</v>
      </c>
      <c r="M176" s="96">
        <v>4</v>
      </c>
      <c r="N176" s="96">
        <v>12</v>
      </c>
      <c r="O176" s="96">
        <v>12</v>
      </c>
      <c r="P176" s="97">
        <v>-791667</v>
      </c>
      <c r="Q176" s="97">
        <v>-1385417</v>
      </c>
      <c r="R176" s="97">
        <v>-2177083</v>
      </c>
      <c r="S176" s="97">
        <v>7322917</v>
      </c>
    </row>
    <row r="177" spans="1:19" ht="15" customHeight="1">
      <c r="A177" s="92">
        <v>175</v>
      </c>
      <c r="B177" s="92" t="s">
        <v>487</v>
      </c>
      <c r="C177" s="92" t="s">
        <v>600</v>
      </c>
      <c r="D177" s="93" t="s">
        <v>720</v>
      </c>
      <c r="E177" s="92" t="s">
        <v>490</v>
      </c>
      <c r="F177" s="94" t="s">
        <v>718</v>
      </c>
      <c r="G177" s="95">
        <v>5840000</v>
      </c>
      <c r="H177" s="92">
        <v>48</v>
      </c>
      <c r="I177" s="95">
        <v>121667</v>
      </c>
      <c r="J177" s="96" t="s">
        <v>494</v>
      </c>
      <c r="K177" s="96" t="s">
        <v>494</v>
      </c>
      <c r="L177" s="96" t="s">
        <v>494</v>
      </c>
      <c r="M177" s="96">
        <v>4</v>
      </c>
      <c r="N177" s="96">
        <v>12</v>
      </c>
      <c r="O177" s="96">
        <v>12</v>
      </c>
      <c r="P177" s="97">
        <v>-486667</v>
      </c>
      <c r="Q177" s="97">
        <v>-851667</v>
      </c>
      <c r="R177" s="97">
        <v>-1338333</v>
      </c>
      <c r="S177" s="97">
        <v>4501667</v>
      </c>
    </row>
    <row r="178" spans="1:19" ht="15" customHeight="1">
      <c r="A178" s="92">
        <v>176</v>
      </c>
      <c r="B178" s="92" t="s">
        <v>487</v>
      </c>
      <c r="C178" s="92" t="s">
        <v>600</v>
      </c>
      <c r="D178" s="93" t="s">
        <v>721</v>
      </c>
      <c r="E178" s="92" t="s">
        <v>490</v>
      </c>
      <c r="F178" s="94" t="s">
        <v>718</v>
      </c>
      <c r="G178" s="95">
        <v>82320000</v>
      </c>
      <c r="H178" s="92">
        <v>48</v>
      </c>
      <c r="I178" s="95">
        <v>1715000</v>
      </c>
      <c r="J178" s="96" t="s">
        <v>494</v>
      </c>
      <c r="K178" s="96" t="s">
        <v>494</v>
      </c>
      <c r="L178" s="96" t="s">
        <v>494</v>
      </c>
      <c r="M178" s="96">
        <v>4</v>
      </c>
      <c r="N178" s="96">
        <v>12</v>
      </c>
      <c r="O178" s="96">
        <v>12</v>
      </c>
      <c r="P178" s="97">
        <v>-6860000</v>
      </c>
      <c r="Q178" s="97">
        <v>-12005000</v>
      </c>
      <c r="R178" s="97">
        <v>-18865000</v>
      </c>
      <c r="S178" s="97">
        <v>63455000</v>
      </c>
    </row>
    <row r="179" spans="1:19" ht="15" customHeight="1">
      <c r="A179" s="92">
        <v>177</v>
      </c>
      <c r="B179" s="92" t="s">
        <v>487</v>
      </c>
      <c r="C179" s="92" t="s">
        <v>600</v>
      </c>
      <c r="D179" s="93" t="s">
        <v>722</v>
      </c>
      <c r="E179" s="92" t="s">
        <v>490</v>
      </c>
      <c r="F179" s="94">
        <v>45514</v>
      </c>
      <c r="G179" s="95">
        <v>24500000</v>
      </c>
      <c r="H179" s="92">
        <v>48</v>
      </c>
      <c r="I179" s="95">
        <v>510417</v>
      </c>
      <c r="J179" s="96" t="s">
        <v>494</v>
      </c>
      <c r="K179" s="96" t="s">
        <v>494</v>
      </c>
      <c r="L179" s="96" t="s">
        <v>494</v>
      </c>
      <c r="M179" s="96">
        <v>3</v>
      </c>
      <c r="N179" s="96">
        <v>12</v>
      </c>
      <c r="O179" s="96">
        <v>12</v>
      </c>
      <c r="P179" s="97">
        <v>-1531250</v>
      </c>
      <c r="Q179" s="97">
        <v>-3572917</v>
      </c>
      <c r="R179" s="97">
        <v>-5104167</v>
      </c>
      <c r="S179" s="97">
        <v>19395833</v>
      </c>
    </row>
    <row r="180" spans="1:19" ht="15" customHeight="1">
      <c r="A180" s="92">
        <v>178</v>
      </c>
      <c r="B180" s="92" t="s">
        <v>487</v>
      </c>
      <c r="C180" s="92" t="s">
        <v>600</v>
      </c>
      <c r="D180" s="93" t="s">
        <v>723</v>
      </c>
      <c r="E180" s="92" t="s">
        <v>490</v>
      </c>
      <c r="F180" s="94">
        <v>45514</v>
      </c>
      <c r="G180" s="95">
        <v>19536000</v>
      </c>
      <c r="H180" s="92">
        <v>48</v>
      </c>
      <c r="I180" s="95">
        <v>407000</v>
      </c>
      <c r="J180" s="96" t="s">
        <v>494</v>
      </c>
      <c r="K180" s="96" t="s">
        <v>494</v>
      </c>
      <c r="L180" s="96" t="s">
        <v>494</v>
      </c>
      <c r="M180" s="96">
        <v>3</v>
      </c>
      <c r="N180" s="96">
        <v>12</v>
      </c>
      <c r="O180" s="96">
        <v>12</v>
      </c>
      <c r="P180" s="97">
        <v>-1221000</v>
      </c>
      <c r="Q180" s="97">
        <v>-2849000</v>
      </c>
      <c r="R180" s="97">
        <v>-4070000</v>
      </c>
      <c r="S180" s="97">
        <v>15466000</v>
      </c>
    </row>
    <row r="181" spans="1:19" ht="15" customHeight="1">
      <c r="A181" s="92">
        <v>179</v>
      </c>
      <c r="B181" s="92" t="s">
        <v>487</v>
      </c>
      <c r="C181" s="92" t="s">
        <v>600</v>
      </c>
      <c r="D181" s="93" t="s">
        <v>724</v>
      </c>
      <c r="E181" s="92" t="s">
        <v>490</v>
      </c>
      <c r="F181" s="94">
        <v>45514</v>
      </c>
      <c r="G181" s="95">
        <v>9921180</v>
      </c>
      <c r="H181" s="92">
        <v>48</v>
      </c>
      <c r="I181" s="95">
        <v>206691</v>
      </c>
      <c r="J181" s="96" t="s">
        <v>494</v>
      </c>
      <c r="K181" s="96" t="s">
        <v>494</v>
      </c>
      <c r="L181" s="96" t="s">
        <v>494</v>
      </c>
      <c r="M181" s="96">
        <v>3</v>
      </c>
      <c r="N181" s="96">
        <v>12</v>
      </c>
      <c r="O181" s="96">
        <v>12</v>
      </c>
      <c r="P181" s="97">
        <v>-620074</v>
      </c>
      <c r="Q181" s="97">
        <v>-1446839</v>
      </c>
      <c r="R181" s="97">
        <v>-2066913</v>
      </c>
      <c r="S181" s="97">
        <v>7854268</v>
      </c>
    </row>
    <row r="182" spans="1:19" ht="15" customHeight="1">
      <c r="A182" s="92">
        <v>180</v>
      </c>
      <c r="B182" s="92" t="s">
        <v>487</v>
      </c>
      <c r="C182" s="92" t="s">
        <v>600</v>
      </c>
      <c r="D182" s="93" t="s">
        <v>725</v>
      </c>
      <c r="E182" s="92" t="s">
        <v>490</v>
      </c>
      <c r="F182" s="94">
        <v>45514</v>
      </c>
      <c r="G182" s="95">
        <v>346856642</v>
      </c>
      <c r="H182" s="92">
        <v>48</v>
      </c>
      <c r="I182" s="95">
        <v>7226180</v>
      </c>
      <c r="J182" s="96" t="s">
        <v>494</v>
      </c>
      <c r="K182" s="96" t="s">
        <v>494</v>
      </c>
      <c r="L182" s="96" t="s">
        <v>494</v>
      </c>
      <c r="M182" s="96">
        <v>3</v>
      </c>
      <c r="N182" s="96">
        <v>12</v>
      </c>
      <c r="O182" s="96">
        <v>12</v>
      </c>
      <c r="P182" s="97">
        <v>-21678540</v>
      </c>
      <c r="Q182" s="97">
        <v>-50583260</v>
      </c>
      <c r="R182" s="97">
        <v>-72261800</v>
      </c>
      <c r="S182" s="97">
        <v>274594842</v>
      </c>
    </row>
    <row r="183" spans="1:19" ht="15" customHeight="1">
      <c r="A183" s="92">
        <v>181</v>
      </c>
      <c r="B183" s="92" t="s">
        <v>487</v>
      </c>
      <c r="C183" s="92" t="s">
        <v>600</v>
      </c>
      <c r="D183" s="93" t="s">
        <v>726</v>
      </c>
      <c r="E183" s="92" t="s">
        <v>490</v>
      </c>
      <c r="F183" s="94" t="s">
        <v>727</v>
      </c>
      <c r="G183" s="95">
        <v>7500000</v>
      </c>
      <c r="H183" s="92">
        <v>48</v>
      </c>
      <c r="I183" s="95">
        <v>156250</v>
      </c>
      <c r="J183" s="96" t="s">
        <v>494</v>
      </c>
      <c r="K183" s="96" t="s">
        <v>494</v>
      </c>
      <c r="L183" s="96" t="s">
        <v>494</v>
      </c>
      <c r="M183" s="96">
        <v>2</v>
      </c>
      <c r="N183" s="96">
        <v>12</v>
      </c>
      <c r="O183" s="96">
        <v>12</v>
      </c>
      <c r="P183" s="97">
        <v>-312500</v>
      </c>
      <c r="Q183" s="97">
        <v>-1093750</v>
      </c>
      <c r="R183" s="97">
        <v>-1406250</v>
      </c>
      <c r="S183" s="97">
        <v>6093750</v>
      </c>
    </row>
    <row r="184" spans="1:19" ht="15" customHeight="1">
      <c r="A184" s="92">
        <v>182</v>
      </c>
      <c r="B184" s="92" t="s">
        <v>487</v>
      </c>
      <c r="C184" s="92" t="s">
        <v>600</v>
      </c>
      <c r="D184" s="93" t="s">
        <v>728</v>
      </c>
      <c r="E184" s="92" t="s">
        <v>490</v>
      </c>
      <c r="F184" s="94" t="s">
        <v>727</v>
      </c>
      <c r="G184" s="95">
        <v>16000000</v>
      </c>
      <c r="H184" s="92">
        <v>48</v>
      </c>
      <c r="I184" s="95">
        <v>333333</v>
      </c>
      <c r="J184" s="96" t="s">
        <v>494</v>
      </c>
      <c r="K184" s="96" t="s">
        <v>494</v>
      </c>
      <c r="L184" s="96" t="s">
        <v>494</v>
      </c>
      <c r="M184" s="96">
        <v>2</v>
      </c>
      <c r="N184" s="96">
        <v>12</v>
      </c>
      <c r="O184" s="96">
        <v>12</v>
      </c>
      <c r="P184" s="97">
        <v>-666667</v>
      </c>
      <c r="Q184" s="97">
        <v>-2333333</v>
      </c>
      <c r="R184" s="97">
        <v>-3000000</v>
      </c>
      <c r="S184" s="97">
        <v>13000000</v>
      </c>
    </row>
    <row r="185" spans="1:19" ht="15" customHeight="1">
      <c r="A185" s="92">
        <v>183</v>
      </c>
      <c r="B185" s="92" t="s">
        <v>487</v>
      </c>
      <c r="C185" s="92" t="s">
        <v>600</v>
      </c>
      <c r="D185" s="93" t="s">
        <v>729</v>
      </c>
      <c r="E185" s="92" t="s">
        <v>490</v>
      </c>
      <c r="F185" s="94" t="s">
        <v>730</v>
      </c>
      <c r="G185" s="95">
        <v>5050500</v>
      </c>
      <c r="H185" s="92">
        <v>48</v>
      </c>
      <c r="I185" s="95">
        <v>105219</v>
      </c>
      <c r="J185" s="96" t="s">
        <v>494</v>
      </c>
      <c r="K185" s="96" t="s">
        <v>494</v>
      </c>
      <c r="L185" s="96" t="s">
        <v>494</v>
      </c>
      <c r="M185" s="96">
        <v>2</v>
      </c>
      <c r="N185" s="96">
        <v>12</v>
      </c>
      <c r="O185" s="96">
        <v>12</v>
      </c>
      <c r="P185" s="97">
        <v>-210438</v>
      </c>
      <c r="Q185" s="97">
        <v>-736531</v>
      </c>
      <c r="R185" s="97">
        <v>-946969</v>
      </c>
      <c r="S185" s="97">
        <v>4103531</v>
      </c>
    </row>
    <row r="186" spans="1:19" ht="15" customHeight="1">
      <c r="A186" s="92">
        <v>184</v>
      </c>
      <c r="B186" s="92" t="s">
        <v>487</v>
      </c>
      <c r="C186" s="92" t="s">
        <v>600</v>
      </c>
      <c r="D186" s="93" t="s">
        <v>731</v>
      </c>
      <c r="E186" s="92" t="s">
        <v>490</v>
      </c>
      <c r="F186" s="94">
        <v>45363</v>
      </c>
      <c r="G186" s="95">
        <v>3551175</v>
      </c>
      <c r="H186" s="92">
        <v>48</v>
      </c>
      <c r="I186" s="95">
        <v>73983</v>
      </c>
      <c r="J186" s="96" t="s">
        <v>494</v>
      </c>
      <c r="K186" s="96" t="s">
        <v>494</v>
      </c>
      <c r="L186" s="96" t="s">
        <v>494</v>
      </c>
      <c r="M186" s="96">
        <v>1</v>
      </c>
      <c r="N186" s="96">
        <v>12</v>
      </c>
      <c r="O186" s="96">
        <v>12</v>
      </c>
      <c r="P186" s="97">
        <v>-73983</v>
      </c>
      <c r="Q186" s="97">
        <v>-517880</v>
      </c>
      <c r="R186" s="97">
        <v>-591863</v>
      </c>
      <c r="S186" s="97">
        <v>2959313</v>
      </c>
    </row>
    <row r="187" spans="1:19" ht="15" customHeight="1">
      <c r="A187" s="92">
        <v>185</v>
      </c>
      <c r="B187" s="92" t="s">
        <v>487</v>
      </c>
      <c r="C187" s="92" t="s">
        <v>600</v>
      </c>
      <c r="D187" s="93" t="s">
        <v>732</v>
      </c>
      <c r="E187" s="92" t="s">
        <v>490</v>
      </c>
      <c r="F187" s="94">
        <v>45363</v>
      </c>
      <c r="G187" s="95">
        <v>14832300</v>
      </c>
      <c r="H187" s="92">
        <v>48</v>
      </c>
      <c r="I187" s="95">
        <v>309006</v>
      </c>
      <c r="J187" s="96" t="s">
        <v>494</v>
      </c>
      <c r="K187" s="96" t="s">
        <v>494</v>
      </c>
      <c r="L187" s="96" t="s">
        <v>494</v>
      </c>
      <c r="M187" s="96">
        <v>1</v>
      </c>
      <c r="N187" s="96">
        <v>12</v>
      </c>
      <c r="O187" s="96">
        <v>12</v>
      </c>
      <c r="P187" s="97">
        <v>-309006</v>
      </c>
      <c r="Q187" s="97">
        <v>-2163044</v>
      </c>
      <c r="R187" s="97">
        <v>-2472050</v>
      </c>
      <c r="S187" s="97">
        <v>12360250</v>
      </c>
    </row>
    <row r="188" spans="1:19" ht="15" customHeight="1">
      <c r="A188" s="92">
        <v>186</v>
      </c>
      <c r="B188" s="92" t="s">
        <v>487</v>
      </c>
      <c r="C188" s="92" t="s">
        <v>600</v>
      </c>
      <c r="D188" s="93" t="s">
        <v>733</v>
      </c>
      <c r="E188" s="92" t="s">
        <v>490</v>
      </c>
      <c r="F188" s="94" t="s">
        <v>734</v>
      </c>
      <c r="G188" s="95">
        <v>39200000</v>
      </c>
      <c r="H188" s="92">
        <v>48</v>
      </c>
      <c r="I188" s="95">
        <v>816667</v>
      </c>
      <c r="J188" s="96" t="s">
        <v>494</v>
      </c>
      <c r="K188" s="96" t="s">
        <v>494</v>
      </c>
      <c r="L188" s="96" t="s">
        <v>494</v>
      </c>
      <c r="M188" s="96">
        <v>1</v>
      </c>
      <c r="N188" s="96">
        <v>12</v>
      </c>
      <c r="O188" s="96">
        <v>12</v>
      </c>
      <c r="P188" s="97">
        <v>-816667</v>
      </c>
      <c r="Q188" s="97">
        <v>-5716667</v>
      </c>
      <c r="R188" s="97">
        <v>-6533333</v>
      </c>
      <c r="S188" s="97">
        <v>32666667</v>
      </c>
    </row>
    <row r="189" spans="1:19" ht="15" customHeight="1">
      <c r="A189" s="92">
        <v>187</v>
      </c>
      <c r="B189" s="92" t="s">
        <v>487</v>
      </c>
      <c r="C189" s="92" t="s">
        <v>600</v>
      </c>
      <c r="D189" s="93" t="s">
        <v>735</v>
      </c>
      <c r="E189" s="92" t="s">
        <v>490</v>
      </c>
      <c r="F189" s="94" t="s">
        <v>734</v>
      </c>
      <c r="G189" s="95">
        <v>3500000</v>
      </c>
      <c r="H189" s="92">
        <v>48</v>
      </c>
      <c r="I189" s="95">
        <v>72917</v>
      </c>
      <c r="J189" s="96" t="s">
        <v>494</v>
      </c>
      <c r="K189" s="96" t="s">
        <v>494</v>
      </c>
      <c r="L189" s="96" t="s">
        <v>494</v>
      </c>
      <c r="M189" s="96">
        <v>1</v>
      </c>
      <c r="N189" s="96">
        <v>12</v>
      </c>
      <c r="O189" s="96">
        <v>12</v>
      </c>
      <c r="P189" s="97">
        <v>-72917</v>
      </c>
      <c r="Q189" s="97">
        <v>-510417</v>
      </c>
      <c r="R189" s="97">
        <v>-583333</v>
      </c>
      <c r="S189" s="97">
        <v>2916667</v>
      </c>
    </row>
    <row r="190" spans="1:19" ht="15" customHeight="1">
      <c r="A190" s="92">
        <v>188</v>
      </c>
      <c r="B190" s="92" t="s">
        <v>487</v>
      </c>
      <c r="C190" s="92" t="s">
        <v>600</v>
      </c>
      <c r="D190" s="93" t="s">
        <v>736</v>
      </c>
      <c r="E190" s="92" t="s">
        <v>490</v>
      </c>
      <c r="F190" s="94" t="s">
        <v>734</v>
      </c>
      <c r="G190" s="95">
        <v>12750000</v>
      </c>
      <c r="H190" s="92">
        <v>48</v>
      </c>
      <c r="I190" s="95">
        <v>265625</v>
      </c>
      <c r="J190" s="96" t="s">
        <v>494</v>
      </c>
      <c r="K190" s="96" t="s">
        <v>494</v>
      </c>
      <c r="L190" s="96" t="s">
        <v>494</v>
      </c>
      <c r="M190" s="96">
        <v>1</v>
      </c>
      <c r="N190" s="96">
        <v>12</v>
      </c>
      <c r="O190" s="96">
        <v>12</v>
      </c>
      <c r="P190" s="97">
        <v>-265625</v>
      </c>
      <c r="Q190" s="97">
        <v>-1859375</v>
      </c>
      <c r="R190" s="97">
        <v>-2125000</v>
      </c>
      <c r="S190" s="97">
        <v>10625000</v>
      </c>
    </row>
    <row r="191" spans="1:19" ht="15" customHeight="1">
      <c r="A191" s="92">
        <v>189</v>
      </c>
      <c r="B191" s="92" t="s">
        <v>487</v>
      </c>
      <c r="C191" s="92" t="s">
        <v>600</v>
      </c>
      <c r="D191" s="93" t="s">
        <v>737</v>
      </c>
      <c r="E191" s="92" t="s">
        <v>490</v>
      </c>
      <c r="F191" s="94" t="s">
        <v>734</v>
      </c>
      <c r="G191" s="95">
        <v>9750000</v>
      </c>
      <c r="H191" s="92">
        <v>48</v>
      </c>
      <c r="I191" s="95">
        <v>203125</v>
      </c>
      <c r="J191" s="96" t="s">
        <v>494</v>
      </c>
      <c r="K191" s="96" t="s">
        <v>494</v>
      </c>
      <c r="L191" s="96" t="s">
        <v>494</v>
      </c>
      <c r="M191" s="96">
        <v>1</v>
      </c>
      <c r="N191" s="96">
        <v>12</v>
      </c>
      <c r="O191" s="96">
        <v>12</v>
      </c>
      <c r="P191" s="97">
        <v>-203125</v>
      </c>
      <c r="Q191" s="97">
        <v>-1421875</v>
      </c>
      <c r="R191" s="97">
        <v>-1625000</v>
      </c>
      <c r="S191" s="97">
        <v>8125000</v>
      </c>
    </row>
    <row r="192" spans="1:19" ht="15" customHeight="1">
      <c r="A192" s="92">
        <v>190</v>
      </c>
      <c r="B192" s="92" t="s">
        <v>487</v>
      </c>
      <c r="C192" s="92" t="s">
        <v>600</v>
      </c>
      <c r="D192" s="93" t="s">
        <v>738</v>
      </c>
      <c r="E192" s="92" t="s">
        <v>490</v>
      </c>
      <c r="F192" s="94" t="s">
        <v>739</v>
      </c>
      <c r="G192" s="95">
        <v>4000000</v>
      </c>
      <c r="H192" s="92">
        <v>48</v>
      </c>
      <c r="I192" s="95">
        <v>83333</v>
      </c>
      <c r="J192" s="96" t="s">
        <v>494</v>
      </c>
      <c r="K192" s="96" t="s">
        <v>494</v>
      </c>
      <c r="L192" s="96" t="s">
        <v>494</v>
      </c>
      <c r="M192" s="96">
        <v>1</v>
      </c>
      <c r="N192" s="96">
        <v>12</v>
      </c>
      <c r="O192" s="96">
        <v>12</v>
      </c>
      <c r="P192" s="97">
        <v>-83333</v>
      </c>
      <c r="Q192" s="97">
        <v>-583333</v>
      </c>
      <c r="R192" s="97">
        <v>-666667</v>
      </c>
      <c r="S192" s="97">
        <v>3333333</v>
      </c>
    </row>
    <row r="193" spans="1:19" ht="15" customHeight="1">
      <c r="A193" s="92">
        <v>191</v>
      </c>
      <c r="B193" s="92" t="s">
        <v>487</v>
      </c>
      <c r="C193" s="92" t="s">
        <v>600</v>
      </c>
      <c r="D193" s="93" t="s">
        <v>740</v>
      </c>
      <c r="E193" s="92" t="s">
        <v>490</v>
      </c>
      <c r="F193" s="94" t="s">
        <v>739</v>
      </c>
      <c r="G193" s="95">
        <v>4000000</v>
      </c>
      <c r="H193" s="92">
        <v>48</v>
      </c>
      <c r="I193" s="95">
        <v>83333</v>
      </c>
      <c r="J193" s="96" t="s">
        <v>494</v>
      </c>
      <c r="K193" s="96" t="s">
        <v>494</v>
      </c>
      <c r="L193" s="96" t="s">
        <v>494</v>
      </c>
      <c r="M193" s="96">
        <v>1</v>
      </c>
      <c r="N193" s="96">
        <v>12</v>
      </c>
      <c r="O193" s="96">
        <v>12</v>
      </c>
      <c r="P193" s="97">
        <v>-83333</v>
      </c>
      <c r="Q193" s="97">
        <v>-583333</v>
      </c>
      <c r="R193" s="97">
        <v>-666667</v>
      </c>
      <c r="S193" s="97">
        <v>3333333</v>
      </c>
    </row>
    <row r="194" spans="1:19" ht="15" customHeight="1">
      <c r="A194" s="92">
        <v>192</v>
      </c>
      <c r="B194" s="92" t="s">
        <v>487</v>
      </c>
      <c r="C194" s="92" t="s">
        <v>600</v>
      </c>
      <c r="D194" s="93" t="s">
        <v>741</v>
      </c>
      <c r="E194" s="92" t="s">
        <v>490</v>
      </c>
      <c r="F194" s="94" t="s">
        <v>739</v>
      </c>
      <c r="G194" s="95">
        <v>2250000</v>
      </c>
      <c r="H194" s="92">
        <v>48</v>
      </c>
      <c r="I194" s="95">
        <v>46875</v>
      </c>
      <c r="J194" s="96" t="s">
        <v>494</v>
      </c>
      <c r="K194" s="96" t="s">
        <v>494</v>
      </c>
      <c r="L194" s="96" t="s">
        <v>494</v>
      </c>
      <c r="M194" s="96">
        <v>1</v>
      </c>
      <c r="N194" s="96">
        <v>12</v>
      </c>
      <c r="O194" s="96">
        <v>12</v>
      </c>
      <c r="P194" s="97">
        <v>-46875</v>
      </c>
      <c r="Q194" s="97">
        <v>-328125</v>
      </c>
      <c r="R194" s="97">
        <v>-375000</v>
      </c>
      <c r="S194" s="97">
        <v>1875000</v>
      </c>
    </row>
    <row r="195" spans="1:19" ht="15" customHeight="1">
      <c r="A195" s="92">
        <v>193</v>
      </c>
      <c r="B195" s="92" t="s">
        <v>487</v>
      </c>
      <c r="C195" s="92" t="s">
        <v>600</v>
      </c>
      <c r="D195" s="93" t="s">
        <v>742</v>
      </c>
      <c r="E195" s="92" t="s">
        <v>490</v>
      </c>
      <c r="F195" s="94" t="s">
        <v>743</v>
      </c>
      <c r="G195" s="95" t="s">
        <v>150</v>
      </c>
      <c r="H195" s="92">
        <v>48</v>
      </c>
      <c r="I195" s="95" t="s">
        <v>150</v>
      </c>
      <c r="J195" s="96" t="s">
        <v>494</v>
      </c>
      <c r="K195" s="96" t="s">
        <v>494</v>
      </c>
      <c r="L195" s="96" t="s">
        <v>494</v>
      </c>
      <c r="M195" s="96" t="s">
        <v>494</v>
      </c>
      <c r="N195" s="96" t="s">
        <v>494</v>
      </c>
      <c r="O195" s="98" t="s">
        <v>744</v>
      </c>
      <c r="P195" s="97" t="s">
        <v>151</v>
      </c>
      <c r="Q195" s="97" t="s">
        <v>151</v>
      </c>
      <c r="R195" s="97" t="s">
        <v>151</v>
      </c>
      <c r="S195" s="97" t="s">
        <v>492</v>
      </c>
    </row>
    <row r="196" spans="1:19" ht="15" customHeight="1">
      <c r="A196" s="92">
        <v>194</v>
      </c>
      <c r="B196" s="92" t="s">
        <v>487</v>
      </c>
      <c r="C196" s="92" t="s">
        <v>600</v>
      </c>
      <c r="D196" s="93" t="s">
        <v>745</v>
      </c>
      <c r="E196" s="92" t="s">
        <v>490</v>
      </c>
      <c r="F196" s="94" t="s">
        <v>743</v>
      </c>
      <c r="G196" s="95" t="s">
        <v>150</v>
      </c>
      <c r="H196" s="92">
        <v>48</v>
      </c>
      <c r="I196" s="95" t="s">
        <v>150</v>
      </c>
      <c r="J196" s="96" t="s">
        <v>494</v>
      </c>
      <c r="K196" s="96" t="s">
        <v>494</v>
      </c>
      <c r="L196" s="96" t="s">
        <v>494</v>
      </c>
      <c r="M196" s="96" t="s">
        <v>494</v>
      </c>
      <c r="N196" s="96" t="s">
        <v>494</v>
      </c>
      <c r="O196" s="98" t="s">
        <v>744</v>
      </c>
      <c r="P196" s="97" t="s">
        <v>151</v>
      </c>
      <c r="Q196" s="97" t="s">
        <v>151</v>
      </c>
      <c r="R196" s="97" t="s">
        <v>151</v>
      </c>
      <c r="S196" s="97" t="s">
        <v>492</v>
      </c>
    </row>
    <row r="197" spans="1:19" ht="15" customHeight="1">
      <c r="A197" s="92">
        <v>195</v>
      </c>
      <c r="B197" s="92" t="s">
        <v>487</v>
      </c>
      <c r="C197" s="92" t="s">
        <v>600</v>
      </c>
      <c r="D197" s="93" t="s">
        <v>746</v>
      </c>
      <c r="E197" s="92" t="s">
        <v>490</v>
      </c>
      <c r="F197" s="94" t="s">
        <v>743</v>
      </c>
      <c r="G197" s="95" t="s">
        <v>150</v>
      </c>
      <c r="H197" s="92">
        <v>48</v>
      </c>
      <c r="I197" s="95" t="s">
        <v>150</v>
      </c>
      <c r="J197" s="96" t="s">
        <v>494</v>
      </c>
      <c r="K197" s="96">
        <v>6</v>
      </c>
      <c r="L197" s="96" t="s">
        <v>494</v>
      </c>
      <c r="M197" s="96" t="s">
        <v>494</v>
      </c>
      <c r="N197" s="96" t="s">
        <v>494</v>
      </c>
      <c r="O197" s="98" t="s">
        <v>744</v>
      </c>
      <c r="P197" s="97" t="s">
        <v>151</v>
      </c>
      <c r="Q197" s="97" t="s">
        <v>151</v>
      </c>
      <c r="R197" s="97" t="s">
        <v>151</v>
      </c>
      <c r="S197" s="97" t="s">
        <v>492</v>
      </c>
    </row>
    <row r="198" spans="1:19" ht="15" customHeight="1">
      <c r="A198" s="92">
        <v>196</v>
      </c>
      <c r="B198" s="92" t="s">
        <v>487</v>
      </c>
      <c r="C198" s="92" t="s">
        <v>600</v>
      </c>
      <c r="D198" s="93" t="s">
        <v>747</v>
      </c>
      <c r="E198" s="92" t="s">
        <v>490</v>
      </c>
      <c r="F198" s="94" t="s">
        <v>743</v>
      </c>
      <c r="G198" s="95" t="s">
        <v>150</v>
      </c>
      <c r="H198" s="92">
        <v>48</v>
      </c>
      <c r="I198" s="95" t="s">
        <v>150</v>
      </c>
      <c r="J198" s="96" t="s">
        <v>494</v>
      </c>
      <c r="K198" s="96" t="s">
        <v>494</v>
      </c>
      <c r="L198" s="96" t="s">
        <v>494</v>
      </c>
      <c r="M198" s="96" t="s">
        <v>494</v>
      </c>
      <c r="N198" s="96" t="s">
        <v>494</v>
      </c>
      <c r="O198" s="98" t="s">
        <v>744</v>
      </c>
      <c r="P198" s="97" t="s">
        <v>151</v>
      </c>
      <c r="Q198" s="97" t="s">
        <v>151</v>
      </c>
      <c r="R198" s="97" t="s">
        <v>151</v>
      </c>
      <c r="S198" s="97" t="s">
        <v>492</v>
      </c>
    </row>
    <row r="199" spans="1:19" ht="15" customHeight="1">
      <c r="A199" s="92">
        <v>197</v>
      </c>
      <c r="B199" s="92" t="s">
        <v>487</v>
      </c>
      <c r="C199" s="92" t="s">
        <v>600</v>
      </c>
      <c r="D199" s="93" t="s">
        <v>748</v>
      </c>
      <c r="E199" s="92" t="s">
        <v>490</v>
      </c>
      <c r="F199" s="94" t="s">
        <v>743</v>
      </c>
      <c r="G199" s="95" t="s">
        <v>150</v>
      </c>
      <c r="H199" s="92">
        <v>48</v>
      </c>
      <c r="I199" s="95" t="s">
        <v>150</v>
      </c>
      <c r="J199" s="96" t="s">
        <v>494</v>
      </c>
      <c r="K199" s="96" t="s">
        <v>494</v>
      </c>
      <c r="L199" s="96" t="s">
        <v>494</v>
      </c>
      <c r="M199" s="96" t="s">
        <v>494</v>
      </c>
      <c r="N199" s="96" t="s">
        <v>494</v>
      </c>
      <c r="O199" s="98" t="s">
        <v>744</v>
      </c>
      <c r="P199" s="97" t="s">
        <v>151</v>
      </c>
      <c r="Q199" s="97" t="s">
        <v>151</v>
      </c>
      <c r="R199" s="97" t="s">
        <v>151</v>
      </c>
      <c r="S199" s="97" t="s">
        <v>492</v>
      </c>
    </row>
    <row r="200" spans="1:19" ht="15" customHeight="1">
      <c r="A200" s="92">
        <v>198</v>
      </c>
      <c r="B200" s="92" t="s">
        <v>487</v>
      </c>
      <c r="C200" s="92" t="s">
        <v>600</v>
      </c>
      <c r="D200" s="93" t="s">
        <v>749</v>
      </c>
      <c r="E200" s="92" t="s">
        <v>490</v>
      </c>
      <c r="F200" s="94" t="s">
        <v>750</v>
      </c>
      <c r="G200" s="95">
        <v>11830000</v>
      </c>
      <c r="H200" s="92">
        <v>48</v>
      </c>
      <c r="I200" s="95">
        <v>246458</v>
      </c>
      <c r="J200" s="96" t="s">
        <v>494</v>
      </c>
      <c r="K200" s="96" t="s">
        <v>494</v>
      </c>
      <c r="L200" s="96" t="s">
        <v>494</v>
      </c>
      <c r="M200" s="96" t="s">
        <v>494</v>
      </c>
      <c r="N200" s="96">
        <v>12</v>
      </c>
      <c r="O200" s="96">
        <v>12</v>
      </c>
      <c r="P200" s="97" t="s">
        <v>151</v>
      </c>
      <c r="Q200" s="97">
        <v>-1725208</v>
      </c>
      <c r="R200" s="97">
        <v>-1725208</v>
      </c>
      <c r="S200" s="97">
        <v>10104792</v>
      </c>
    </row>
    <row r="201" spans="1:19" ht="15" customHeight="1">
      <c r="A201" s="92">
        <v>199</v>
      </c>
      <c r="B201" s="92" t="s">
        <v>487</v>
      </c>
      <c r="C201" s="92" t="s">
        <v>600</v>
      </c>
      <c r="D201" s="93" t="s">
        <v>751</v>
      </c>
      <c r="E201" s="92" t="s">
        <v>490</v>
      </c>
      <c r="F201" s="94" t="s">
        <v>750</v>
      </c>
      <c r="G201" s="95">
        <v>28000000</v>
      </c>
      <c r="H201" s="92">
        <v>48</v>
      </c>
      <c r="I201" s="95">
        <v>583333</v>
      </c>
      <c r="J201" s="96" t="s">
        <v>494</v>
      </c>
      <c r="K201" s="96" t="s">
        <v>494</v>
      </c>
      <c r="L201" s="96" t="s">
        <v>494</v>
      </c>
      <c r="M201" s="96" t="s">
        <v>494</v>
      </c>
      <c r="N201" s="96">
        <v>12</v>
      </c>
      <c r="O201" s="96">
        <v>12</v>
      </c>
      <c r="P201" s="97" t="s">
        <v>151</v>
      </c>
      <c r="Q201" s="97">
        <v>-4083333</v>
      </c>
      <c r="R201" s="97">
        <v>-4083333</v>
      </c>
      <c r="S201" s="97">
        <v>23916667</v>
      </c>
    </row>
    <row r="202" spans="1:19" ht="15" customHeight="1">
      <c r="A202" s="92">
        <v>200</v>
      </c>
      <c r="B202" s="92" t="s">
        <v>487</v>
      </c>
      <c r="C202" s="92" t="s">
        <v>600</v>
      </c>
      <c r="D202" s="93" t="s">
        <v>752</v>
      </c>
      <c r="E202" s="92" t="s">
        <v>490</v>
      </c>
      <c r="F202" s="94" t="s">
        <v>753</v>
      </c>
      <c r="G202" s="95">
        <v>110573205</v>
      </c>
      <c r="H202" s="92">
        <v>48</v>
      </c>
      <c r="I202" s="95">
        <v>2303608</v>
      </c>
      <c r="J202" s="96" t="s">
        <v>494</v>
      </c>
      <c r="K202" s="96" t="s">
        <v>494</v>
      </c>
      <c r="L202" s="96" t="s">
        <v>494</v>
      </c>
      <c r="M202" s="96" t="s">
        <v>494</v>
      </c>
      <c r="N202" s="96">
        <v>11</v>
      </c>
      <c r="O202" s="96">
        <v>12</v>
      </c>
      <c r="P202" s="97" t="s">
        <v>151</v>
      </c>
      <c r="Q202" s="97">
        <v>-16125259</v>
      </c>
      <c r="R202" s="97">
        <v>-16125259</v>
      </c>
      <c r="S202" s="97">
        <v>94447946</v>
      </c>
    </row>
    <row r="203" spans="1:19" ht="15" customHeight="1">
      <c r="A203" s="92">
        <v>201</v>
      </c>
      <c r="B203" s="92" t="s">
        <v>487</v>
      </c>
      <c r="C203" s="92" t="s">
        <v>600</v>
      </c>
      <c r="D203" s="93" t="s">
        <v>754</v>
      </c>
      <c r="E203" s="92" t="s">
        <v>490</v>
      </c>
      <c r="F203" s="94" t="s">
        <v>753</v>
      </c>
      <c r="G203" s="95">
        <v>15500000</v>
      </c>
      <c r="H203" s="92">
        <v>48</v>
      </c>
      <c r="I203" s="95">
        <v>322917</v>
      </c>
      <c r="J203" s="96" t="s">
        <v>494</v>
      </c>
      <c r="K203" s="96" t="s">
        <v>494</v>
      </c>
      <c r="L203" s="96" t="s">
        <v>494</v>
      </c>
      <c r="M203" s="96" t="s">
        <v>494</v>
      </c>
      <c r="N203" s="96">
        <v>11</v>
      </c>
      <c r="O203" s="96">
        <v>12</v>
      </c>
      <c r="P203" s="97" t="s">
        <v>151</v>
      </c>
      <c r="Q203" s="97">
        <v>-2260417</v>
      </c>
      <c r="R203" s="97">
        <v>-2260417</v>
      </c>
      <c r="S203" s="97">
        <v>13239583</v>
      </c>
    </row>
    <row r="204" spans="1:19" ht="15" customHeight="1">
      <c r="A204" s="92">
        <v>202</v>
      </c>
      <c r="B204" s="92" t="s">
        <v>487</v>
      </c>
      <c r="C204" s="92" t="s">
        <v>600</v>
      </c>
      <c r="D204" s="93" t="s">
        <v>755</v>
      </c>
      <c r="E204" s="92" t="s">
        <v>490</v>
      </c>
      <c r="F204" s="94">
        <v>45840</v>
      </c>
      <c r="G204" s="95">
        <v>4000000</v>
      </c>
      <c r="H204" s="92">
        <v>48</v>
      </c>
      <c r="I204" s="95">
        <v>83333</v>
      </c>
      <c r="J204" s="96" t="s">
        <v>494</v>
      </c>
      <c r="K204" s="96" t="s">
        <v>494</v>
      </c>
      <c r="L204" s="96" t="s">
        <v>494</v>
      </c>
      <c r="M204" s="96" t="s">
        <v>494</v>
      </c>
      <c r="N204" s="96">
        <v>11</v>
      </c>
      <c r="O204" s="96">
        <v>12</v>
      </c>
      <c r="P204" s="97" t="s">
        <v>151</v>
      </c>
      <c r="Q204" s="97">
        <v>-583333</v>
      </c>
      <c r="R204" s="97">
        <v>-583333</v>
      </c>
      <c r="S204" s="97">
        <v>3416667</v>
      </c>
    </row>
    <row r="205" spans="1:19" ht="15" customHeight="1">
      <c r="A205" s="92">
        <v>203</v>
      </c>
      <c r="B205" s="92" t="s">
        <v>487</v>
      </c>
      <c r="C205" s="92" t="s">
        <v>600</v>
      </c>
      <c r="D205" s="93" t="s">
        <v>756</v>
      </c>
      <c r="E205" s="92" t="s">
        <v>490</v>
      </c>
      <c r="F205" s="94">
        <v>45840</v>
      </c>
      <c r="G205" s="95">
        <v>2250000</v>
      </c>
      <c r="H205" s="92">
        <v>48</v>
      </c>
      <c r="I205" s="95">
        <v>46875</v>
      </c>
      <c r="J205" s="96" t="s">
        <v>494</v>
      </c>
      <c r="K205" s="96" t="s">
        <v>494</v>
      </c>
      <c r="L205" s="96" t="s">
        <v>494</v>
      </c>
      <c r="M205" s="96" t="s">
        <v>494</v>
      </c>
      <c r="N205" s="96">
        <v>11</v>
      </c>
      <c r="O205" s="96">
        <v>12</v>
      </c>
      <c r="P205" s="97" t="s">
        <v>151</v>
      </c>
      <c r="Q205" s="97">
        <v>-328125</v>
      </c>
      <c r="R205" s="97">
        <v>-328125</v>
      </c>
      <c r="S205" s="97">
        <v>1921875</v>
      </c>
    </row>
    <row r="206" spans="1:19" ht="15" customHeight="1">
      <c r="A206" s="92">
        <v>204</v>
      </c>
      <c r="B206" s="92" t="s">
        <v>487</v>
      </c>
      <c r="C206" s="92" t="s">
        <v>600</v>
      </c>
      <c r="D206" s="93" t="s">
        <v>757</v>
      </c>
      <c r="E206" s="92" t="s">
        <v>490</v>
      </c>
      <c r="F206" s="94">
        <v>45963</v>
      </c>
      <c r="G206" s="95">
        <v>6404310</v>
      </c>
      <c r="H206" s="92">
        <v>48</v>
      </c>
      <c r="I206" s="95">
        <v>133423</v>
      </c>
      <c r="J206" s="96" t="s">
        <v>494</v>
      </c>
      <c r="K206" s="96" t="s">
        <v>494</v>
      </c>
      <c r="L206" s="96" t="s">
        <v>494</v>
      </c>
      <c r="M206" s="96" t="s">
        <v>494</v>
      </c>
      <c r="N206" s="96">
        <v>11</v>
      </c>
      <c r="O206" s="96">
        <v>12</v>
      </c>
      <c r="P206" s="97" t="s">
        <v>151</v>
      </c>
      <c r="Q206" s="97">
        <v>-933962</v>
      </c>
      <c r="R206" s="97">
        <v>-933962</v>
      </c>
      <c r="S206" s="97">
        <v>5470348</v>
      </c>
    </row>
    <row r="207" spans="1:19" ht="15" customHeight="1">
      <c r="A207" s="92">
        <v>205</v>
      </c>
      <c r="B207" s="92" t="s">
        <v>487</v>
      </c>
      <c r="C207" s="92" t="s">
        <v>600</v>
      </c>
      <c r="D207" s="93" t="s">
        <v>758</v>
      </c>
      <c r="E207" s="92" t="s">
        <v>490</v>
      </c>
      <c r="F207" s="94" t="s">
        <v>759</v>
      </c>
      <c r="G207" s="95">
        <v>10698000</v>
      </c>
      <c r="H207" s="92">
        <v>48</v>
      </c>
      <c r="I207" s="95">
        <v>222875</v>
      </c>
      <c r="J207" s="96" t="s">
        <v>494</v>
      </c>
      <c r="K207" s="96" t="s">
        <v>494</v>
      </c>
      <c r="L207" s="96" t="s">
        <v>494</v>
      </c>
      <c r="M207" s="96" t="s">
        <v>494</v>
      </c>
      <c r="N207" s="96">
        <v>10</v>
      </c>
      <c r="O207" s="96">
        <v>12</v>
      </c>
      <c r="P207" s="97" t="s">
        <v>151</v>
      </c>
      <c r="Q207" s="97">
        <v>-1560125</v>
      </c>
      <c r="R207" s="97">
        <v>-1560125</v>
      </c>
      <c r="S207" s="97">
        <v>9137875</v>
      </c>
    </row>
    <row r="208" spans="1:19" ht="15" customHeight="1">
      <c r="A208" s="92">
        <v>206</v>
      </c>
      <c r="B208" s="92" t="s">
        <v>487</v>
      </c>
      <c r="C208" s="92" t="s">
        <v>600</v>
      </c>
      <c r="D208" s="93" t="s">
        <v>760</v>
      </c>
      <c r="E208" s="92" t="s">
        <v>490</v>
      </c>
      <c r="F208" s="94" t="s">
        <v>761</v>
      </c>
      <c r="G208" s="95">
        <v>37399000</v>
      </c>
      <c r="H208" s="92">
        <v>48</v>
      </c>
      <c r="I208" s="95">
        <v>779146</v>
      </c>
      <c r="J208" s="96" t="s">
        <v>494</v>
      </c>
      <c r="K208" s="96" t="s">
        <v>494</v>
      </c>
      <c r="L208" s="96" t="s">
        <v>494</v>
      </c>
      <c r="M208" s="96" t="s">
        <v>494</v>
      </c>
      <c r="N208" s="96">
        <v>10</v>
      </c>
      <c r="O208" s="96">
        <v>12</v>
      </c>
      <c r="P208" s="97" t="s">
        <v>151</v>
      </c>
      <c r="Q208" s="97">
        <v>-5454021</v>
      </c>
      <c r="R208" s="97">
        <v>-5454021</v>
      </c>
      <c r="S208" s="97">
        <v>31944979</v>
      </c>
    </row>
    <row r="209" spans="1:19" ht="15" customHeight="1">
      <c r="A209" s="92">
        <v>207</v>
      </c>
      <c r="B209" s="92" t="s">
        <v>487</v>
      </c>
      <c r="C209" s="92" t="s">
        <v>600</v>
      </c>
      <c r="D209" s="93" t="s">
        <v>762</v>
      </c>
      <c r="E209" s="92" t="s">
        <v>490</v>
      </c>
      <c r="F209" s="94">
        <v>45719</v>
      </c>
      <c r="G209" s="95">
        <v>15997000</v>
      </c>
      <c r="H209" s="92">
        <v>48</v>
      </c>
      <c r="I209" s="95">
        <v>333271</v>
      </c>
      <c r="J209" s="96" t="s">
        <v>494</v>
      </c>
      <c r="K209" s="96" t="s">
        <v>494</v>
      </c>
      <c r="L209" s="96" t="s">
        <v>494</v>
      </c>
      <c r="M209" s="96" t="s">
        <v>494</v>
      </c>
      <c r="N209" s="96">
        <v>10</v>
      </c>
      <c r="O209" s="96">
        <v>12</v>
      </c>
      <c r="P209" s="97" t="s">
        <v>151</v>
      </c>
      <c r="Q209" s="97">
        <v>-2332896</v>
      </c>
      <c r="R209" s="97">
        <v>-2332896</v>
      </c>
      <c r="S209" s="97">
        <v>13664104</v>
      </c>
    </row>
    <row r="210" spans="1:19" ht="15" customHeight="1">
      <c r="A210" s="92">
        <v>208</v>
      </c>
      <c r="B210" s="92" t="s">
        <v>487</v>
      </c>
      <c r="C210" s="92" t="s">
        <v>600</v>
      </c>
      <c r="D210" s="93" t="s">
        <v>763</v>
      </c>
      <c r="E210" s="92" t="s">
        <v>490</v>
      </c>
      <c r="F210" s="94">
        <v>45723</v>
      </c>
      <c r="G210" s="95">
        <v>4900000</v>
      </c>
      <c r="H210" s="92">
        <v>48</v>
      </c>
      <c r="I210" s="95">
        <v>102083</v>
      </c>
      <c r="J210" s="96" t="s">
        <v>494</v>
      </c>
      <c r="K210" s="96" t="s">
        <v>494</v>
      </c>
      <c r="L210" s="96" t="s">
        <v>494</v>
      </c>
      <c r="M210" s="96" t="s">
        <v>494</v>
      </c>
      <c r="N210" s="96">
        <v>6</v>
      </c>
      <c r="O210" s="96">
        <v>12</v>
      </c>
      <c r="P210" s="97" t="s">
        <v>151</v>
      </c>
      <c r="Q210" s="97">
        <v>-714583</v>
      </c>
      <c r="R210" s="97">
        <v>-714583</v>
      </c>
      <c r="S210" s="97">
        <v>4185417</v>
      </c>
    </row>
    <row r="211" spans="1:19" ht="15" customHeight="1">
      <c r="A211" s="92">
        <v>209</v>
      </c>
      <c r="B211" s="92" t="s">
        <v>487</v>
      </c>
      <c r="C211" s="92" t="s">
        <v>600</v>
      </c>
      <c r="D211" s="93" t="s">
        <v>764</v>
      </c>
      <c r="E211" s="92" t="s">
        <v>490</v>
      </c>
      <c r="F211" s="94">
        <v>45723</v>
      </c>
      <c r="G211" s="95">
        <v>31609144</v>
      </c>
      <c r="H211" s="92">
        <v>48</v>
      </c>
      <c r="I211" s="95">
        <v>658524</v>
      </c>
      <c r="J211" s="96" t="s">
        <v>494</v>
      </c>
      <c r="K211" s="96" t="s">
        <v>494</v>
      </c>
      <c r="L211" s="96" t="s">
        <v>494</v>
      </c>
      <c r="M211" s="96" t="s">
        <v>494</v>
      </c>
      <c r="N211" s="96">
        <v>6</v>
      </c>
      <c r="O211" s="96">
        <v>12</v>
      </c>
      <c r="P211" s="97" t="s">
        <v>151</v>
      </c>
      <c r="Q211" s="97">
        <v>-4609667</v>
      </c>
      <c r="R211" s="97">
        <v>-4609667</v>
      </c>
      <c r="S211" s="97">
        <v>26999477</v>
      </c>
    </row>
    <row r="212" spans="1:19" ht="15" customHeight="1">
      <c r="A212" s="92">
        <v>210</v>
      </c>
      <c r="B212" s="92" t="s">
        <v>487</v>
      </c>
      <c r="C212" s="92" t="s">
        <v>600</v>
      </c>
      <c r="D212" s="93" t="s">
        <v>765</v>
      </c>
      <c r="E212" s="92" t="s">
        <v>490</v>
      </c>
      <c r="F212" s="94">
        <v>45723</v>
      </c>
      <c r="G212" s="95">
        <v>5850000</v>
      </c>
      <c r="H212" s="92">
        <v>48</v>
      </c>
      <c r="I212" s="95">
        <v>121875</v>
      </c>
      <c r="J212" s="96" t="s">
        <v>494</v>
      </c>
      <c r="K212" s="96" t="s">
        <v>494</v>
      </c>
      <c r="L212" s="96" t="s">
        <v>494</v>
      </c>
      <c r="M212" s="96" t="s">
        <v>494</v>
      </c>
      <c r="N212" s="96">
        <v>6</v>
      </c>
      <c r="O212" s="96">
        <v>12</v>
      </c>
      <c r="P212" s="97" t="s">
        <v>151</v>
      </c>
      <c r="Q212" s="97">
        <v>-853125</v>
      </c>
      <c r="R212" s="97">
        <v>-853125</v>
      </c>
      <c r="S212" s="97">
        <v>4996875</v>
      </c>
    </row>
    <row r="213" spans="1:19" ht="15" customHeight="1">
      <c r="A213" s="92">
        <v>211</v>
      </c>
      <c r="B213" s="92" t="s">
        <v>487</v>
      </c>
      <c r="C213" s="92" t="s">
        <v>600</v>
      </c>
      <c r="D213" s="93" t="s">
        <v>766</v>
      </c>
      <c r="E213" s="92" t="s">
        <v>490</v>
      </c>
      <c r="F213" s="94">
        <v>45723</v>
      </c>
      <c r="G213" s="95">
        <v>1800000</v>
      </c>
      <c r="H213" s="92">
        <v>48</v>
      </c>
      <c r="I213" s="95">
        <v>37500</v>
      </c>
      <c r="J213" s="96" t="s">
        <v>494</v>
      </c>
      <c r="K213" s="96" t="s">
        <v>494</v>
      </c>
      <c r="L213" s="96" t="s">
        <v>494</v>
      </c>
      <c r="M213" s="96" t="s">
        <v>494</v>
      </c>
      <c r="N213" s="96">
        <v>6</v>
      </c>
      <c r="O213" s="96">
        <v>12</v>
      </c>
      <c r="P213" s="97" t="s">
        <v>151</v>
      </c>
      <c r="Q213" s="97">
        <v>-262500</v>
      </c>
      <c r="R213" s="97">
        <v>-262500</v>
      </c>
      <c r="S213" s="97">
        <v>1537500</v>
      </c>
    </row>
    <row r="214" spans="1:19" ht="15" customHeight="1">
      <c r="A214" s="92">
        <v>212</v>
      </c>
      <c r="B214" s="92" t="s">
        <v>487</v>
      </c>
      <c r="C214" s="92" t="s">
        <v>600</v>
      </c>
      <c r="D214" s="93" t="s">
        <v>767</v>
      </c>
      <c r="E214" s="92" t="s">
        <v>490</v>
      </c>
      <c r="F214" s="94">
        <v>45723</v>
      </c>
      <c r="G214" s="95">
        <v>1718000</v>
      </c>
      <c r="H214" s="92">
        <v>48</v>
      </c>
      <c r="I214" s="95">
        <v>35792</v>
      </c>
      <c r="J214" s="96" t="s">
        <v>494</v>
      </c>
      <c r="K214" s="96" t="s">
        <v>494</v>
      </c>
      <c r="L214" s="96" t="s">
        <v>494</v>
      </c>
      <c r="M214" s="96" t="s">
        <v>494</v>
      </c>
      <c r="N214" s="96">
        <v>6</v>
      </c>
      <c r="O214" s="96">
        <v>12</v>
      </c>
      <c r="P214" s="97" t="s">
        <v>151</v>
      </c>
      <c r="Q214" s="97">
        <v>-250542</v>
      </c>
      <c r="R214" s="97">
        <v>-250542</v>
      </c>
      <c r="S214" s="97">
        <v>1467458</v>
      </c>
    </row>
    <row r="215" spans="1:19" ht="15" customHeight="1">
      <c r="A215" s="92">
        <v>213</v>
      </c>
      <c r="B215" s="92" t="s">
        <v>487</v>
      </c>
      <c r="C215" s="92" t="s">
        <v>600</v>
      </c>
      <c r="D215" s="93" t="s">
        <v>768</v>
      </c>
      <c r="E215" s="92" t="s">
        <v>490</v>
      </c>
      <c r="F215" s="94">
        <v>45723</v>
      </c>
      <c r="G215" s="95">
        <v>2886000</v>
      </c>
      <c r="H215" s="92">
        <v>48</v>
      </c>
      <c r="I215" s="95">
        <v>60125</v>
      </c>
      <c r="J215" s="96" t="s">
        <v>494</v>
      </c>
      <c r="K215" s="96" t="s">
        <v>494</v>
      </c>
      <c r="L215" s="96" t="s">
        <v>494</v>
      </c>
      <c r="M215" s="96" t="s">
        <v>494</v>
      </c>
      <c r="N215" s="96">
        <v>6</v>
      </c>
      <c r="O215" s="96">
        <v>12</v>
      </c>
      <c r="P215" s="97" t="s">
        <v>151</v>
      </c>
      <c r="Q215" s="97">
        <v>-420875</v>
      </c>
      <c r="R215" s="97">
        <v>-420875</v>
      </c>
      <c r="S215" s="97">
        <v>2465125</v>
      </c>
    </row>
    <row r="216" spans="1:19" ht="15" customHeight="1">
      <c r="A216" s="92">
        <v>214</v>
      </c>
      <c r="B216" s="92" t="s">
        <v>487</v>
      </c>
      <c r="C216" s="92" t="s">
        <v>600</v>
      </c>
      <c r="D216" s="93" t="s">
        <v>769</v>
      </c>
      <c r="E216" s="92" t="s">
        <v>490</v>
      </c>
      <c r="F216" s="94">
        <v>45723</v>
      </c>
      <c r="G216" s="95">
        <v>10223222</v>
      </c>
      <c r="H216" s="92">
        <v>48</v>
      </c>
      <c r="I216" s="95">
        <v>212984</v>
      </c>
      <c r="J216" s="96" t="s">
        <v>494</v>
      </c>
      <c r="K216" s="96" t="s">
        <v>494</v>
      </c>
      <c r="L216" s="96" t="s">
        <v>494</v>
      </c>
      <c r="M216" s="96" t="s">
        <v>494</v>
      </c>
      <c r="N216" s="96">
        <v>6</v>
      </c>
      <c r="O216" s="96">
        <v>12</v>
      </c>
      <c r="P216" s="97" t="s">
        <v>151</v>
      </c>
      <c r="Q216" s="97">
        <v>-1490887</v>
      </c>
      <c r="R216" s="97">
        <v>-1490887</v>
      </c>
      <c r="S216" s="97">
        <v>8732335</v>
      </c>
    </row>
    <row r="217" spans="1:19" ht="15" customHeight="1">
      <c r="A217" s="92">
        <v>215</v>
      </c>
      <c r="B217" s="92" t="s">
        <v>487</v>
      </c>
      <c r="C217" s="92" t="s">
        <v>600</v>
      </c>
      <c r="D217" s="93" t="s">
        <v>770</v>
      </c>
      <c r="E217" s="92" t="s">
        <v>490</v>
      </c>
      <c r="F217" s="94">
        <v>45723</v>
      </c>
      <c r="G217" s="95">
        <v>37600000</v>
      </c>
      <c r="H217" s="92">
        <v>48</v>
      </c>
      <c r="I217" s="95">
        <v>783333</v>
      </c>
      <c r="J217" s="96" t="s">
        <v>494</v>
      </c>
      <c r="K217" s="96" t="s">
        <v>494</v>
      </c>
      <c r="L217" s="96" t="s">
        <v>494</v>
      </c>
      <c r="M217" s="96" t="s">
        <v>494</v>
      </c>
      <c r="N217" s="96">
        <v>6</v>
      </c>
      <c r="O217" s="96">
        <v>12</v>
      </c>
      <c r="P217" s="97" t="s">
        <v>151</v>
      </c>
      <c r="Q217" s="97">
        <v>-5483333</v>
      </c>
      <c r="R217" s="97">
        <v>-5483333</v>
      </c>
      <c r="S217" s="97">
        <v>32116667</v>
      </c>
    </row>
    <row r="218" spans="1:19" ht="15" customHeight="1">
      <c r="A218" s="92">
        <v>216</v>
      </c>
      <c r="B218" s="92" t="s">
        <v>487</v>
      </c>
      <c r="C218" s="92" t="s">
        <v>600</v>
      </c>
      <c r="D218" s="93" t="s">
        <v>771</v>
      </c>
      <c r="E218" s="92" t="s">
        <v>490</v>
      </c>
      <c r="F218" s="94">
        <v>45723</v>
      </c>
      <c r="G218" s="95">
        <v>1443150</v>
      </c>
      <c r="H218" s="92">
        <v>48</v>
      </c>
      <c r="I218" s="95">
        <v>30066</v>
      </c>
      <c r="J218" s="96" t="s">
        <v>494</v>
      </c>
      <c r="K218" s="96" t="s">
        <v>494</v>
      </c>
      <c r="L218" s="96" t="s">
        <v>494</v>
      </c>
      <c r="M218" s="96" t="s">
        <v>494</v>
      </c>
      <c r="N218" s="96">
        <v>6</v>
      </c>
      <c r="O218" s="96">
        <v>12</v>
      </c>
      <c r="P218" s="97" t="s">
        <v>151</v>
      </c>
      <c r="Q218" s="97">
        <v>-210459</v>
      </c>
      <c r="R218" s="97">
        <v>-210459</v>
      </c>
      <c r="S218" s="97">
        <v>1232691</v>
      </c>
    </row>
    <row r="219" spans="1:19" ht="15" customHeight="1">
      <c r="A219" s="92">
        <v>217</v>
      </c>
      <c r="B219" s="92" t="s">
        <v>487</v>
      </c>
      <c r="C219" s="92" t="s">
        <v>772</v>
      </c>
      <c r="D219" s="93" t="s">
        <v>773</v>
      </c>
      <c r="E219" s="92" t="s">
        <v>490</v>
      </c>
      <c r="F219" s="94">
        <v>44569</v>
      </c>
      <c r="G219" s="95">
        <v>195001527809</v>
      </c>
      <c r="H219" s="92">
        <v>96</v>
      </c>
      <c r="I219" s="95">
        <v>2031265915</v>
      </c>
      <c r="J219" s="96" t="s">
        <v>494</v>
      </c>
      <c r="K219" s="96">
        <v>5</v>
      </c>
      <c r="L219" s="96">
        <v>12</v>
      </c>
      <c r="M219" s="96">
        <v>12</v>
      </c>
      <c r="N219" s="96">
        <v>12</v>
      </c>
      <c r="O219" s="96">
        <v>12</v>
      </c>
      <c r="P219" s="97">
        <v>-58906711526</v>
      </c>
      <c r="Q219" s="97">
        <v>-14218861403</v>
      </c>
      <c r="R219" s="97">
        <v>-73125572928</v>
      </c>
      <c r="S219" s="97">
        <v>121875954881</v>
      </c>
    </row>
    <row r="220" spans="1:19" ht="15" customHeight="1">
      <c r="A220" s="92">
        <v>218</v>
      </c>
      <c r="B220" s="92" t="s">
        <v>487</v>
      </c>
      <c r="C220" s="92" t="s">
        <v>774</v>
      </c>
      <c r="D220" s="93" t="s">
        <v>775</v>
      </c>
      <c r="E220" s="92" t="s">
        <v>490</v>
      </c>
      <c r="F220" s="94">
        <v>44569</v>
      </c>
      <c r="G220" s="95">
        <v>9878039187</v>
      </c>
      <c r="H220" s="92">
        <v>480</v>
      </c>
      <c r="I220" s="95">
        <v>20579248</v>
      </c>
      <c r="J220" s="96" t="s">
        <v>494</v>
      </c>
      <c r="K220" s="96">
        <v>5</v>
      </c>
      <c r="L220" s="96">
        <v>12</v>
      </c>
      <c r="M220" s="96">
        <v>12</v>
      </c>
      <c r="N220" s="96">
        <v>12</v>
      </c>
      <c r="O220" s="96">
        <v>12</v>
      </c>
      <c r="P220" s="97">
        <v>-596798201</v>
      </c>
      <c r="Q220" s="97">
        <v>-144054738</v>
      </c>
      <c r="R220" s="97">
        <v>-740852939</v>
      </c>
      <c r="S220" s="97">
        <v>9137186248</v>
      </c>
    </row>
    <row r="221" spans="1:19" ht="15" customHeight="1">
      <c r="A221" s="92">
        <v>219</v>
      </c>
      <c r="B221" s="92" t="s">
        <v>487</v>
      </c>
      <c r="C221" s="92" t="s">
        <v>776</v>
      </c>
      <c r="D221" s="93" t="s">
        <v>144</v>
      </c>
      <c r="E221" s="92" t="s">
        <v>490</v>
      </c>
      <c r="F221" s="94">
        <v>44569</v>
      </c>
      <c r="G221" s="95">
        <v>533254574462</v>
      </c>
      <c r="H221" s="92">
        <v>480</v>
      </c>
      <c r="I221" s="95">
        <v>1110947030</v>
      </c>
      <c r="J221" s="96" t="s">
        <v>494</v>
      </c>
      <c r="K221" s="96">
        <v>5</v>
      </c>
      <c r="L221" s="96">
        <v>12</v>
      </c>
      <c r="M221" s="96">
        <v>12</v>
      </c>
      <c r="N221" s="96">
        <v>12</v>
      </c>
      <c r="O221" s="96">
        <v>12</v>
      </c>
      <c r="P221" s="97">
        <v>-32217463874</v>
      </c>
      <c r="Q221" s="97">
        <v>-7776629211</v>
      </c>
      <c r="R221" s="97">
        <v>-39994093085</v>
      </c>
      <c r="S221" s="97">
        <v>493260481377</v>
      </c>
    </row>
    <row r="222" spans="1:19" ht="15" customHeight="1">
      <c r="A222" s="92">
        <v>220</v>
      </c>
      <c r="B222" s="92" t="s">
        <v>487</v>
      </c>
      <c r="C222" s="92" t="s">
        <v>776</v>
      </c>
      <c r="D222" s="93" t="s">
        <v>145</v>
      </c>
      <c r="E222" s="92" t="s">
        <v>490</v>
      </c>
      <c r="F222" s="94" t="s">
        <v>146</v>
      </c>
      <c r="G222" s="95">
        <v>2032700816</v>
      </c>
      <c r="H222" s="92">
        <v>240</v>
      </c>
      <c r="I222" s="95">
        <v>8469587</v>
      </c>
      <c r="J222" s="96" t="s">
        <v>494</v>
      </c>
      <c r="K222" s="96" t="s">
        <v>494</v>
      </c>
      <c r="L222" s="96">
        <v>2</v>
      </c>
      <c r="M222" s="96">
        <v>12</v>
      </c>
      <c r="N222" s="96">
        <v>12</v>
      </c>
      <c r="O222" s="96">
        <v>12</v>
      </c>
      <c r="P222" s="97">
        <v>-118574214</v>
      </c>
      <c r="Q222" s="97">
        <v>-59287107</v>
      </c>
      <c r="R222" s="97">
        <v>-177861321</v>
      </c>
      <c r="S222" s="97">
        <v>1854839495</v>
      </c>
    </row>
    <row r="223" spans="1:19" ht="15" customHeight="1">
      <c r="A223" s="92">
        <v>221</v>
      </c>
      <c r="B223" s="92" t="s">
        <v>487</v>
      </c>
      <c r="C223" s="92" t="s">
        <v>776</v>
      </c>
      <c r="D223" s="93" t="s">
        <v>147</v>
      </c>
      <c r="E223" s="92" t="s">
        <v>490</v>
      </c>
      <c r="F223" s="94">
        <v>45638</v>
      </c>
      <c r="G223" s="95">
        <v>152295416</v>
      </c>
      <c r="H223" s="92">
        <v>360</v>
      </c>
      <c r="I223" s="95">
        <v>423043</v>
      </c>
      <c r="J223" s="96" t="s">
        <v>494</v>
      </c>
      <c r="K223" s="96" t="s">
        <v>494</v>
      </c>
      <c r="L223" s="96" t="s">
        <v>494</v>
      </c>
      <c r="M223" s="96">
        <v>1</v>
      </c>
      <c r="N223" s="96">
        <v>12</v>
      </c>
      <c r="O223" s="96">
        <v>12</v>
      </c>
      <c r="P223" s="97">
        <v>-423043</v>
      </c>
      <c r="Q223" s="97">
        <v>-2961300</v>
      </c>
      <c r="R223" s="97">
        <v>-3384343</v>
      </c>
      <c r="S223" s="97">
        <v>148911073</v>
      </c>
    </row>
    <row r="224" spans="1:19" ht="15" customHeight="1">
      <c r="A224" s="92">
        <v>222</v>
      </c>
      <c r="B224" s="92" t="s">
        <v>487</v>
      </c>
      <c r="C224" s="92" t="s">
        <v>776</v>
      </c>
      <c r="D224" s="93" t="s">
        <v>148</v>
      </c>
      <c r="E224" s="92" t="s">
        <v>490</v>
      </c>
      <c r="F224" s="94" t="s">
        <v>149</v>
      </c>
      <c r="G224" s="95" t="s">
        <v>150</v>
      </c>
      <c r="H224" s="92">
        <v>360</v>
      </c>
      <c r="I224" s="95" t="s">
        <v>150</v>
      </c>
      <c r="J224" s="96" t="s">
        <v>494</v>
      </c>
      <c r="K224" s="96" t="s">
        <v>494</v>
      </c>
      <c r="L224" s="96" t="s">
        <v>494</v>
      </c>
      <c r="M224" s="96">
        <v>0</v>
      </c>
      <c r="N224" s="96">
        <v>12</v>
      </c>
      <c r="O224" s="96">
        <v>12</v>
      </c>
      <c r="P224" s="97" t="s">
        <v>151</v>
      </c>
      <c r="Q224" s="97" t="s">
        <v>151</v>
      </c>
      <c r="R224" s="97" t="s">
        <v>151</v>
      </c>
      <c r="S224" s="97" t="s">
        <v>492</v>
      </c>
    </row>
    <row r="225" spans="1:19" ht="15" customHeight="1">
      <c r="A225" s="92">
        <v>223</v>
      </c>
      <c r="B225" s="92" t="s">
        <v>487</v>
      </c>
      <c r="C225" s="92" t="s">
        <v>776</v>
      </c>
      <c r="D225" s="93" t="s">
        <v>152</v>
      </c>
      <c r="E225" s="92" t="s">
        <v>490</v>
      </c>
      <c r="F225" s="94" t="s">
        <v>146</v>
      </c>
      <c r="G225" s="95">
        <v>1397481811</v>
      </c>
      <c r="H225" s="92">
        <v>240</v>
      </c>
      <c r="I225" s="95">
        <v>5822841</v>
      </c>
      <c r="J225" s="96" t="s">
        <v>494</v>
      </c>
      <c r="K225" s="96" t="s">
        <v>494</v>
      </c>
      <c r="L225" s="96" t="s">
        <v>494</v>
      </c>
      <c r="M225" s="96">
        <v>14</v>
      </c>
      <c r="N225" s="96">
        <v>12</v>
      </c>
      <c r="O225" s="96">
        <v>12</v>
      </c>
      <c r="P225" s="97">
        <v>-81519772</v>
      </c>
      <c r="Q225" s="97">
        <v>-40759886</v>
      </c>
      <c r="R225" s="97">
        <v>-122279658</v>
      </c>
      <c r="S225" s="97">
        <v>1275202153</v>
      </c>
    </row>
    <row r="226" spans="1:19" ht="15" customHeight="1">
      <c r="A226" s="92">
        <v>224</v>
      </c>
      <c r="B226" s="92" t="s">
        <v>487</v>
      </c>
      <c r="C226" s="92" t="s">
        <v>776</v>
      </c>
      <c r="D226" s="93" t="s">
        <v>153</v>
      </c>
      <c r="E226" s="92" t="s">
        <v>490</v>
      </c>
      <c r="F226" s="94" t="s">
        <v>154</v>
      </c>
      <c r="G226" s="95">
        <v>10895403600</v>
      </c>
      <c r="H226" s="92">
        <v>360</v>
      </c>
      <c r="I226" s="95">
        <v>30265010</v>
      </c>
      <c r="J226" s="96" t="s">
        <v>494</v>
      </c>
      <c r="K226" s="96" t="s">
        <v>494</v>
      </c>
      <c r="L226" s="96" t="s">
        <v>494</v>
      </c>
      <c r="M226" s="96">
        <v>12</v>
      </c>
      <c r="N226" s="96">
        <v>12</v>
      </c>
      <c r="O226" s="96">
        <v>12</v>
      </c>
      <c r="P226" s="97">
        <v>-363180120</v>
      </c>
      <c r="Q226" s="97">
        <v>-211855070</v>
      </c>
      <c r="R226" s="97">
        <v>-575035190</v>
      </c>
      <c r="S226" s="97">
        <v>10320368410</v>
      </c>
    </row>
    <row r="227" spans="1:19" ht="15" customHeight="1">
      <c r="A227" s="92">
        <v>225</v>
      </c>
      <c r="B227" s="92" t="s">
        <v>487</v>
      </c>
      <c r="C227" s="92" t="s">
        <v>776</v>
      </c>
      <c r="D227" s="93" t="s">
        <v>155</v>
      </c>
      <c r="E227" s="92" t="s">
        <v>490</v>
      </c>
      <c r="F227" s="94" t="s">
        <v>156</v>
      </c>
      <c r="G227" s="95">
        <v>224875357</v>
      </c>
      <c r="H227" s="92">
        <v>240</v>
      </c>
      <c r="I227" s="95">
        <v>936981</v>
      </c>
      <c r="J227" s="96" t="s">
        <v>494</v>
      </c>
      <c r="K227" s="96">
        <v>2</v>
      </c>
      <c r="L227" s="96">
        <v>12</v>
      </c>
      <c r="M227" s="96">
        <v>12</v>
      </c>
      <c r="N227" s="96">
        <v>12</v>
      </c>
      <c r="O227" s="96">
        <v>12</v>
      </c>
      <c r="P227" s="97">
        <v>-24361497</v>
      </c>
      <c r="Q227" s="97">
        <v>-6558865</v>
      </c>
      <c r="R227" s="97">
        <v>-30920362</v>
      </c>
      <c r="S227" s="97">
        <v>193954995</v>
      </c>
    </row>
    <row r="228" spans="1:19" ht="15" customHeight="1">
      <c r="A228" s="92">
        <v>226</v>
      </c>
      <c r="B228" s="92" t="s">
        <v>487</v>
      </c>
      <c r="C228" s="92" t="s">
        <v>776</v>
      </c>
      <c r="D228" s="93" t="s">
        <v>157</v>
      </c>
      <c r="E228" s="92" t="s">
        <v>490</v>
      </c>
      <c r="F228" s="94" t="s">
        <v>158</v>
      </c>
      <c r="G228" s="95">
        <v>34000000</v>
      </c>
      <c r="H228" s="92">
        <v>240</v>
      </c>
      <c r="I228" s="95">
        <v>141667</v>
      </c>
      <c r="J228" s="96" t="s">
        <v>494</v>
      </c>
      <c r="K228" s="96" t="s">
        <v>494</v>
      </c>
      <c r="L228" s="96">
        <v>1</v>
      </c>
      <c r="M228" s="96">
        <v>12</v>
      </c>
      <c r="N228" s="96">
        <v>12</v>
      </c>
      <c r="O228" s="96">
        <v>12</v>
      </c>
      <c r="P228" s="97">
        <v>-1841667</v>
      </c>
      <c r="Q228" s="97">
        <v>-991667</v>
      </c>
      <c r="R228" s="97">
        <v>-2833333</v>
      </c>
      <c r="S228" s="97">
        <v>31166667</v>
      </c>
    </row>
    <row r="229" spans="1:19" ht="15" customHeight="1">
      <c r="A229" s="92">
        <v>227</v>
      </c>
      <c r="B229" s="92" t="s">
        <v>487</v>
      </c>
      <c r="C229" s="92" t="s">
        <v>776</v>
      </c>
      <c r="D229" s="93" t="s">
        <v>159</v>
      </c>
      <c r="E229" s="92" t="s">
        <v>490</v>
      </c>
      <c r="F229" s="94" t="s">
        <v>160</v>
      </c>
      <c r="G229" s="95">
        <v>184940000</v>
      </c>
      <c r="H229" s="92">
        <v>240</v>
      </c>
      <c r="I229" s="95">
        <v>770583</v>
      </c>
      <c r="J229" s="96" t="s">
        <v>494</v>
      </c>
      <c r="K229" s="96" t="s">
        <v>494</v>
      </c>
      <c r="L229" s="96">
        <v>0</v>
      </c>
      <c r="M229" s="96">
        <v>6</v>
      </c>
      <c r="N229" s="96">
        <v>12</v>
      </c>
      <c r="O229" s="96">
        <v>12</v>
      </c>
      <c r="P229" s="97">
        <v>-4623500</v>
      </c>
      <c r="Q229" s="97">
        <v>-5394083</v>
      </c>
      <c r="R229" s="97">
        <v>-10017583</v>
      </c>
      <c r="S229" s="97">
        <v>174922417</v>
      </c>
    </row>
    <row r="230" spans="1:19" ht="15" customHeight="1">
      <c r="A230" s="92">
        <v>228</v>
      </c>
      <c r="B230" s="92" t="s">
        <v>487</v>
      </c>
      <c r="C230" s="92" t="s">
        <v>776</v>
      </c>
      <c r="D230" s="93" t="s">
        <v>161</v>
      </c>
      <c r="E230" s="92" t="s">
        <v>490</v>
      </c>
      <c r="F230" s="94">
        <v>45997</v>
      </c>
      <c r="G230" s="95">
        <v>127043801</v>
      </c>
      <c r="H230" s="92">
        <v>240</v>
      </c>
      <c r="I230" s="95">
        <v>529349</v>
      </c>
      <c r="J230" s="96" t="s">
        <v>494</v>
      </c>
      <c r="K230" s="96" t="s">
        <v>494</v>
      </c>
      <c r="L230" s="96" t="s">
        <v>494</v>
      </c>
      <c r="M230" s="96" t="s">
        <v>494</v>
      </c>
      <c r="N230" s="96">
        <v>7</v>
      </c>
      <c r="O230" s="96">
        <v>12</v>
      </c>
      <c r="P230" s="97" t="s">
        <v>151</v>
      </c>
      <c r="Q230" s="97">
        <v>-3705444</v>
      </c>
      <c r="R230" s="97">
        <v>-3705444</v>
      </c>
      <c r="S230" s="97">
        <v>123338357</v>
      </c>
    </row>
    <row r="231" spans="1:19" ht="15" customHeight="1">
      <c r="A231" s="92">
        <v>229</v>
      </c>
      <c r="B231" s="92" t="s">
        <v>777</v>
      </c>
      <c r="C231" s="92" t="s">
        <v>778</v>
      </c>
      <c r="D231" s="93" t="s">
        <v>779</v>
      </c>
      <c r="E231" s="92" t="s">
        <v>490</v>
      </c>
      <c r="F231" s="94" t="s">
        <v>529</v>
      </c>
      <c r="G231" s="95">
        <v>70485000</v>
      </c>
      <c r="H231" s="92">
        <v>48</v>
      </c>
      <c r="I231" s="95">
        <v>1468438</v>
      </c>
      <c r="J231" s="96" t="s">
        <v>494</v>
      </c>
      <c r="K231" s="96" t="s">
        <v>494</v>
      </c>
      <c r="L231" s="96">
        <v>12</v>
      </c>
      <c r="M231" s="96">
        <v>12</v>
      </c>
      <c r="N231" s="96">
        <v>12</v>
      </c>
      <c r="O231" s="96">
        <v>12</v>
      </c>
      <c r="P231" s="97">
        <v>-35242500</v>
      </c>
      <c r="Q231" s="97">
        <v>-10279063</v>
      </c>
      <c r="R231" s="97">
        <v>-45521563</v>
      </c>
      <c r="S231" s="97">
        <v>24963438</v>
      </c>
    </row>
    <row r="232" spans="1:19" ht="15" customHeight="1">
      <c r="A232" s="92">
        <v>230</v>
      </c>
      <c r="B232" s="92" t="s">
        <v>777</v>
      </c>
      <c r="C232" s="92" t="s">
        <v>780</v>
      </c>
      <c r="D232" s="93" t="s">
        <v>781</v>
      </c>
      <c r="E232" s="92" t="s">
        <v>490</v>
      </c>
      <c r="F232" s="94" t="s">
        <v>508</v>
      </c>
      <c r="G232" s="95">
        <v>127918192</v>
      </c>
      <c r="H232" s="92">
        <v>48</v>
      </c>
      <c r="I232" s="95">
        <v>2664962</v>
      </c>
      <c r="J232" s="96" t="s">
        <v>494</v>
      </c>
      <c r="K232" s="96">
        <v>3</v>
      </c>
      <c r="L232" s="96">
        <v>12</v>
      </c>
      <c r="M232" s="96">
        <v>12</v>
      </c>
      <c r="N232" s="96">
        <v>12</v>
      </c>
      <c r="O232" s="96">
        <v>9</v>
      </c>
      <c r="P232" s="97">
        <v>-71953983</v>
      </c>
      <c r="Q232" s="97">
        <v>-18654736</v>
      </c>
      <c r="R232" s="97">
        <v>-90608719</v>
      </c>
      <c r="S232" s="97">
        <v>37309473</v>
      </c>
    </row>
    <row r="233" spans="1:19" ht="15" customHeight="1">
      <c r="A233" s="92">
        <v>231</v>
      </c>
      <c r="B233" s="92" t="s">
        <v>777</v>
      </c>
      <c r="C233" s="92" t="s">
        <v>780</v>
      </c>
      <c r="D233" s="93" t="s">
        <v>782</v>
      </c>
      <c r="E233" s="92" t="s">
        <v>490</v>
      </c>
      <c r="F233" s="94">
        <v>44935</v>
      </c>
      <c r="G233" s="95">
        <v>360993092</v>
      </c>
      <c r="H233" s="92">
        <v>48</v>
      </c>
      <c r="I233" s="95">
        <v>7520689</v>
      </c>
      <c r="J233" s="96" t="s">
        <v>494</v>
      </c>
      <c r="K233" s="96" t="s">
        <v>494</v>
      </c>
      <c r="L233" s="96">
        <v>3</v>
      </c>
      <c r="M233" s="96">
        <v>12</v>
      </c>
      <c r="N233" s="96">
        <v>12</v>
      </c>
      <c r="O233" s="96">
        <v>12</v>
      </c>
      <c r="P233" s="97">
        <v>-112810341</v>
      </c>
      <c r="Q233" s="97">
        <v>-52644826</v>
      </c>
      <c r="R233" s="97">
        <v>-165455167</v>
      </c>
      <c r="S233" s="97">
        <v>195537925</v>
      </c>
    </row>
    <row r="234" spans="1:19" ht="15" customHeight="1">
      <c r="A234" s="92">
        <v>232</v>
      </c>
      <c r="B234" s="92" t="s">
        <v>777</v>
      </c>
      <c r="C234" s="92" t="s">
        <v>780</v>
      </c>
      <c r="D234" s="93" t="s">
        <v>783</v>
      </c>
      <c r="E234" s="92" t="s">
        <v>490</v>
      </c>
      <c r="F234" s="94">
        <v>45543</v>
      </c>
      <c r="G234" s="95">
        <v>360993092</v>
      </c>
      <c r="H234" s="92">
        <v>48</v>
      </c>
      <c r="I234" s="95">
        <v>7520689</v>
      </c>
      <c r="J234" s="96" t="s">
        <v>494</v>
      </c>
      <c r="K234" s="96" t="s">
        <v>494</v>
      </c>
      <c r="L234" s="96">
        <v>0</v>
      </c>
      <c r="M234" s="96">
        <v>5</v>
      </c>
      <c r="N234" s="96">
        <v>12</v>
      </c>
      <c r="O234" s="96">
        <v>12</v>
      </c>
      <c r="P234" s="97">
        <v>-37603447</v>
      </c>
      <c r="Q234" s="97">
        <v>-52644826</v>
      </c>
      <c r="R234" s="97">
        <v>-90248273</v>
      </c>
      <c r="S234" s="97">
        <v>270744819</v>
      </c>
    </row>
    <row r="235" spans="1:19" ht="15" customHeight="1">
      <c r="A235" s="336" t="s">
        <v>784</v>
      </c>
      <c r="B235" s="336"/>
      <c r="C235" s="336"/>
      <c r="D235" s="336"/>
      <c r="E235" s="336"/>
      <c r="F235" s="336"/>
      <c r="G235" s="99">
        <v>768913758683</v>
      </c>
      <c r="H235" s="91" t="s">
        <v>494</v>
      </c>
      <c r="I235" s="99">
        <v>3536644512</v>
      </c>
      <c r="J235" s="100" t="s">
        <v>494</v>
      </c>
      <c r="K235" s="100" t="s">
        <v>494</v>
      </c>
      <c r="L235" s="100" t="s">
        <v>494</v>
      </c>
      <c r="M235" s="100" t="s">
        <v>494</v>
      </c>
      <c r="N235" s="100" t="s">
        <v>494</v>
      </c>
      <c r="O235" s="100" t="s">
        <v>494</v>
      </c>
      <c r="P235" s="99">
        <v>-100030752142</v>
      </c>
      <c r="Q235" s="99">
        <v>-24756511586</v>
      </c>
      <c r="R235" s="99">
        <v>-124787263728</v>
      </c>
      <c r="S235" s="99">
        <v>644126494955</v>
      </c>
    </row>
  </sheetData>
  <mergeCells count="15">
    <mergeCell ref="P1:P2"/>
    <mergeCell ref="Q1:Q2"/>
    <mergeCell ref="R1:R2"/>
    <mergeCell ref="S1:S2"/>
    <mergeCell ref="A235:F235"/>
    <mergeCell ref="F1:F2"/>
    <mergeCell ref="G1:G2"/>
    <mergeCell ref="H1:H2"/>
    <mergeCell ref="I1:I2"/>
    <mergeCell ref="J1:O1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8CA8-D938-DAC4-6B38-7E87767D8CD2}">
  <dimension ref="A1:W19"/>
  <sheetViews>
    <sheetView showGridLines="0" workbookViewId="0">
      <selection activeCell="F17" sqref="F17"/>
    </sheetView>
  </sheetViews>
  <sheetFormatPr defaultColWidth="7.796875" defaultRowHeight="15" customHeight="1"/>
  <cols>
    <col min="2" max="2" width="11.796875" bestFit="1" customWidth="1"/>
    <col min="3" max="3" width="11.19921875" bestFit="1" customWidth="1"/>
    <col min="4" max="4" width="9.8984375" bestFit="1" customWidth="1"/>
    <col min="5" max="5" width="7.69921875" bestFit="1" customWidth="1"/>
    <col min="6" max="6" width="69.59765625" bestFit="1" customWidth="1"/>
    <col min="7" max="7" width="11.8984375" bestFit="1" customWidth="1"/>
    <col min="8" max="8" width="17.5" bestFit="1" customWidth="1"/>
    <col min="9" max="9" width="12.59765625" bestFit="1" customWidth="1"/>
    <col min="10" max="14" width="2.8984375" bestFit="1" customWidth="1"/>
    <col min="15" max="15" width="13.5" bestFit="1" customWidth="1"/>
    <col min="16" max="16" width="14.796875" bestFit="1" customWidth="1"/>
    <col min="17" max="20" width="15.69921875" bestFit="1" customWidth="1"/>
    <col min="21" max="21" width="15.5" bestFit="1" customWidth="1"/>
    <col min="22" max="22" width="94" bestFit="1" customWidth="1"/>
    <col min="23" max="23" width="54.796875" bestFit="1" customWidth="1"/>
  </cols>
  <sheetData>
    <row r="1" spans="1:23" ht="15" customHeight="1">
      <c r="A1" s="101"/>
      <c r="B1" s="102"/>
      <c r="C1" s="102"/>
      <c r="D1" s="102"/>
      <c r="E1" s="102"/>
      <c r="F1" s="102"/>
      <c r="G1" s="102"/>
      <c r="H1" s="103"/>
      <c r="I1" s="102"/>
      <c r="J1" s="102"/>
      <c r="K1" s="102"/>
      <c r="L1" s="102"/>
      <c r="M1" s="102"/>
      <c r="N1" s="102"/>
      <c r="O1" s="104"/>
      <c r="P1" s="104"/>
      <c r="Q1" s="104"/>
      <c r="R1" s="104"/>
      <c r="S1" s="104"/>
      <c r="T1" s="104"/>
      <c r="U1" s="104"/>
      <c r="V1" s="102"/>
      <c r="W1" s="101"/>
    </row>
    <row r="2" spans="1:23" ht="15" customHeight="1">
      <c r="A2" s="101"/>
      <c r="B2" s="102"/>
      <c r="C2" s="102"/>
      <c r="D2" s="102"/>
      <c r="E2" s="102"/>
      <c r="F2" s="102"/>
      <c r="G2" s="102"/>
      <c r="H2" s="103"/>
      <c r="I2" s="102"/>
      <c r="J2" s="102"/>
      <c r="K2" s="102"/>
      <c r="L2" s="102"/>
      <c r="M2" s="102"/>
      <c r="N2" s="102"/>
      <c r="O2" s="104"/>
      <c r="P2" s="104"/>
      <c r="Q2" s="104"/>
      <c r="R2" s="104"/>
      <c r="S2" s="104"/>
      <c r="T2" s="104"/>
      <c r="U2" s="104"/>
      <c r="V2" s="102"/>
      <c r="W2" s="101"/>
    </row>
    <row r="3" spans="1:23" ht="47.25" customHeight="1">
      <c r="A3" s="101"/>
      <c r="B3" s="105" t="s">
        <v>785</v>
      </c>
      <c r="C3" s="105" t="s">
        <v>475</v>
      </c>
      <c r="D3" s="105" t="s">
        <v>477</v>
      </c>
      <c r="E3" s="105" t="s">
        <v>786</v>
      </c>
      <c r="F3" s="105" t="s">
        <v>787</v>
      </c>
      <c r="G3" s="105" t="s">
        <v>478</v>
      </c>
      <c r="H3" s="106" t="s">
        <v>788</v>
      </c>
      <c r="I3" s="105" t="s">
        <v>480</v>
      </c>
      <c r="J3" s="105">
        <v>21</v>
      </c>
      <c r="K3" s="105">
        <v>22</v>
      </c>
      <c r="L3" s="105">
        <v>23</v>
      </c>
      <c r="M3" s="105">
        <v>24</v>
      </c>
      <c r="N3" s="105">
        <v>25</v>
      </c>
      <c r="O3" s="107" t="s">
        <v>789</v>
      </c>
      <c r="P3" s="107" t="s">
        <v>790</v>
      </c>
      <c r="Q3" s="107" t="s">
        <v>791</v>
      </c>
      <c r="R3" s="107" t="s">
        <v>792</v>
      </c>
      <c r="S3" s="107" t="s">
        <v>793</v>
      </c>
      <c r="T3" s="107" t="s">
        <v>794</v>
      </c>
      <c r="U3" s="107" t="s">
        <v>795</v>
      </c>
      <c r="V3" s="102"/>
      <c r="W3" s="101"/>
    </row>
    <row r="4" spans="1:23" ht="15" customHeight="1">
      <c r="A4" s="101"/>
      <c r="B4" s="102" t="s">
        <v>776</v>
      </c>
      <c r="C4" s="108" t="s">
        <v>796</v>
      </c>
      <c r="D4" s="102" t="s">
        <v>797</v>
      </c>
      <c r="E4" s="102" t="s">
        <v>798</v>
      </c>
      <c r="F4" s="108" t="s">
        <v>799</v>
      </c>
      <c r="G4" s="109">
        <v>44326</v>
      </c>
      <c r="H4" s="103">
        <v>907693537223</v>
      </c>
      <c r="I4" s="102">
        <v>360</v>
      </c>
      <c r="J4" s="102">
        <v>3</v>
      </c>
      <c r="K4" s="102">
        <v>12</v>
      </c>
      <c r="L4" s="102">
        <v>12</v>
      </c>
      <c r="M4" s="102">
        <v>12</v>
      </c>
      <c r="N4" s="102">
        <v>12</v>
      </c>
      <c r="O4" s="110">
        <v>2521370937</v>
      </c>
      <c r="P4" s="111">
        <v>7564112810.1899996</v>
      </c>
      <c r="Q4" s="111">
        <v>30256451240.77</v>
      </c>
      <c r="R4" s="111">
        <v>30256451240.77</v>
      </c>
      <c r="S4" s="111">
        <v>30256451240.77</v>
      </c>
      <c r="T4" s="111">
        <v>-9455141012.6200008</v>
      </c>
      <c r="U4" s="110">
        <v>88878325520</v>
      </c>
      <c r="V4" s="112" t="s">
        <v>800</v>
      </c>
      <c r="W4" s="112"/>
    </row>
    <row r="5" spans="1:23" ht="15" customHeight="1">
      <c r="A5" s="101"/>
      <c r="B5" s="102" t="s">
        <v>776</v>
      </c>
      <c r="C5" s="108" t="s">
        <v>796</v>
      </c>
      <c r="D5" s="102" t="s">
        <v>797</v>
      </c>
      <c r="E5" s="102" t="s">
        <v>798</v>
      </c>
      <c r="F5" s="108" t="s">
        <v>801</v>
      </c>
      <c r="G5" s="109">
        <v>44326</v>
      </c>
      <c r="H5" s="103">
        <v>199319801280</v>
      </c>
      <c r="I5" s="102">
        <v>360</v>
      </c>
      <c r="J5" s="102">
        <v>3</v>
      </c>
      <c r="K5" s="102">
        <v>12</v>
      </c>
      <c r="L5" s="102">
        <v>12</v>
      </c>
      <c r="M5" s="102">
        <v>12</v>
      </c>
      <c r="N5" s="102">
        <v>12</v>
      </c>
      <c r="O5" s="110">
        <v>553666115</v>
      </c>
      <c r="P5" s="111">
        <v>1660998344</v>
      </c>
      <c r="Q5" s="111">
        <v>6643993376</v>
      </c>
      <c r="R5" s="111">
        <v>6643993376</v>
      </c>
      <c r="S5" s="111">
        <v>6643993376</v>
      </c>
      <c r="T5" s="111">
        <v>-2076247930</v>
      </c>
      <c r="U5" s="110">
        <v>19516730542</v>
      </c>
      <c r="V5" s="112" t="s">
        <v>800</v>
      </c>
      <c r="W5" s="112"/>
    </row>
    <row r="6" spans="1:23" ht="13.5" customHeight="1">
      <c r="A6" s="101"/>
      <c r="B6" s="338" t="s">
        <v>784</v>
      </c>
      <c r="C6" s="338"/>
      <c r="D6" s="338"/>
      <c r="E6" s="338"/>
      <c r="F6" s="338"/>
      <c r="G6" s="338"/>
      <c r="H6" s="114">
        <v>1107013338503</v>
      </c>
      <c r="I6" s="113" t="s">
        <v>494</v>
      </c>
      <c r="J6" s="339" t="s">
        <v>494</v>
      </c>
      <c r="K6" s="339"/>
      <c r="L6" s="339"/>
      <c r="M6" s="339"/>
      <c r="N6" s="339"/>
      <c r="O6" s="115">
        <v>3075037051</v>
      </c>
      <c r="P6" s="115">
        <v>9225111154</v>
      </c>
      <c r="Q6" s="115">
        <v>36900444617</v>
      </c>
      <c r="R6" s="115">
        <v>36900444617</v>
      </c>
      <c r="S6" s="115">
        <v>36900444617</v>
      </c>
      <c r="T6" s="115">
        <v>-11531388943</v>
      </c>
      <c r="U6" s="115">
        <v>108395056062</v>
      </c>
      <c r="V6" s="102"/>
      <c r="W6" s="101"/>
    </row>
    <row r="7" spans="1:23" ht="15" customHeight="1">
      <c r="A7" s="101"/>
      <c r="B7" s="102"/>
      <c r="C7" s="102"/>
      <c r="D7" s="102"/>
      <c r="E7" s="102"/>
      <c r="F7" s="102"/>
      <c r="G7" s="102"/>
      <c r="H7" s="103"/>
      <c r="I7" s="102"/>
      <c r="J7" s="102"/>
      <c r="K7" s="102"/>
      <c r="L7" s="102"/>
      <c r="M7" s="102"/>
      <c r="N7" s="102"/>
      <c r="O7" s="104"/>
      <c r="P7" s="104"/>
      <c r="Q7" s="104"/>
      <c r="R7" s="104"/>
      <c r="S7" s="104"/>
      <c r="T7" s="104"/>
      <c r="U7" s="104"/>
      <c r="V7" s="102"/>
      <c r="W7" s="101"/>
    </row>
    <row r="8" spans="1:23" ht="15" customHeight="1">
      <c r="A8" s="101"/>
      <c r="B8" s="102"/>
      <c r="C8" s="102"/>
      <c r="D8" s="102"/>
      <c r="E8" s="102"/>
      <c r="F8" s="102"/>
      <c r="G8" s="102"/>
      <c r="H8" s="103"/>
      <c r="I8" s="102"/>
      <c r="J8" s="102"/>
      <c r="K8" s="102"/>
      <c r="L8" s="102"/>
      <c r="M8" s="102"/>
      <c r="N8" s="102"/>
      <c r="O8" s="104"/>
      <c r="P8" s="104"/>
      <c r="Q8" s="104"/>
      <c r="R8" s="104"/>
      <c r="S8" s="104"/>
      <c r="T8" s="104"/>
      <c r="U8" s="104"/>
      <c r="V8" s="102"/>
      <c r="W8" s="101"/>
    </row>
    <row r="9" spans="1:23" ht="47.25" customHeight="1">
      <c r="A9" s="101"/>
      <c r="B9" s="116" t="s">
        <v>785</v>
      </c>
      <c r="C9" s="116" t="s">
        <v>475</v>
      </c>
      <c r="D9" s="116" t="s">
        <v>477</v>
      </c>
      <c r="E9" s="116" t="s">
        <v>786</v>
      </c>
      <c r="F9" s="116" t="s">
        <v>787</v>
      </c>
      <c r="G9" s="116" t="s">
        <v>478</v>
      </c>
      <c r="H9" s="117" t="s">
        <v>788</v>
      </c>
      <c r="I9" s="116" t="s">
        <v>480</v>
      </c>
      <c r="J9" s="116">
        <v>21</v>
      </c>
      <c r="K9" s="116">
        <v>22</v>
      </c>
      <c r="L9" s="116">
        <v>23</v>
      </c>
      <c r="M9" s="116">
        <v>24</v>
      </c>
      <c r="N9" s="116">
        <v>25</v>
      </c>
      <c r="O9" s="107" t="s">
        <v>802</v>
      </c>
      <c r="P9" s="107" t="s">
        <v>803</v>
      </c>
      <c r="Q9" s="107" t="s">
        <v>804</v>
      </c>
      <c r="R9" s="107" t="s">
        <v>805</v>
      </c>
      <c r="S9" s="107" t="s">
        <v>806</v>
      </c>
      <c r="T9" s="107" t="s">
        <v>807</v>
      </c>
      <c r="U9" s="107" t="s">
        <v>808</v>
      </c>
      <c r="V9" s="102"/>
      <c r="W9" s="101"/>
    </row>
    <row r="10" spans="1:23" ht="15" customHeight="1">
      <c r="A10" s="101"/>
      <c r="B10" s="102" t="s">
        <v>776</v>
      </c>
      <c r="C10" s="108" t="s">
        <v>796</v>
      </c>
      <c r="D10" s="102" t="s">
        <v>797</v>
      </c>
      <c r="E10" s="102" t="s">
        <v>798</v>
      </c>
      <c r="F10" s="108" t="s">
        <v>799</v>
      </c>
      <c r="G10" s="109">
        <v>44326</v>
      </c>
      <c r="H10" s="103">
        <v>907693537223</v>
      </c>
      <c r="I10" s="102">
        <v>480</v>
      </c>
      <c r="J10" s="102">
        <v>3</v>
      </c>
      <c r="K10" s="102">
        <v>12</v>
      </c>
      <c r="L10" s="102">
        <v>12</v>
      </c>
      <c r="M10" s="102">
        <v>12</v>
      </c>
      <c r="N10" s="102">
        <v>12</v>
      </c>
      <c r="O10" s="110">
        <v>1891028203</v>
      </c>
      <c r="P10" s="111">
        <v>5673084607.6400003</v>
      </c>
      <c r="Q10" s="111">
        <v>22692338430.580002</v>
      </c>
      <c r="R10" s="111">
        <v>22692338430.580002</v>
      </c>
      <c r="S10" s="111">
        <v>22692338430.580002</v>
      </c>
      <c r="T10" s="111">
        <v>15128225620.379999</v>
      </c>
      <c r="U10" s="110">
        <v>88878325520</v>
      </c>
      <c r="V10" s="112" t="s">
        <v>809</v>
      </c>
      <c r="W10" s="112"/>
    </row>
    <row r="11" spans="1:23" ht="15" customHeight="1">
      <c r="A11" s="101"/>
      <c r="B11" s="102" t="s">
        <v>776</v>
      </c>
      <c r="C11" s="108" t="s">
        <v>796</v>
      </c>
      <c r="D11" s="102" t="s">
        <v>797</v>
      </c>
      <c r="E11" s="102" t="s">
        <v>798</v>
      </c>
      <c r="F11" s="108" t="s">
        <v>801</v>
      </c>
      <c r="G11" s="109">
        <v>44326</v>
      </c>
      <c r="H11" s="103">
        <v>199319801280</v>
      </c>
      <c r="I11" s="102">
        <v>480</v>
      </c>
      <c r="J11" s="102">
        <v>3</v>
      </c>
      <c r="K11" s="102">
        <v>12</v>
      </c>
      <c r="L11" s="102">
        <v>12</v>
      </c>
      <c r="M11" s="102">
        <v>12</v>
      </c>
      <c r="N11" s="102">
        <v>12</v>
      </c>
      <c r="O11" s="110">
        <v>415249586</v>
      </c>
      <c r="P11" s="111">
        <v>1245748758</v>
      </c>
      <c r="Q11" s="111">
        <v>4982995032</v>
      </c>
      <c r="R11" s="111">
        <v>4982995032</v>
      </c>
      <c r="S11" s="111">
        <v>4982995032</v>
      </c>
      <c r="T11" s="111">
        <v>3321996688</v>
      </c>
      <c r="U11" s="110">
        <v>19516730542</v>
      </c>
      <c r="V11" s="112" t="s">
        <v>809</v>
      </c>
      <c r="W11" s="112"/>
    </row>
    <row r="12" spans="1:23" ht="15" customHeight="1">
      <c r="A12" s="101"/>
      <c r="B12" s="118" t="s">
        <v>494</v>
      </c>
      <c r="C12" s="118" t="s">
        <v>494</v>
      </c>
      <c r="D12" s="118" t="s">
        <v>494</v>
      </c>
      <c r="E12" s="118" t="s">
        <v>494</v>
      </c>
      <c r="F12" s="118" t="s">
        <v>494</v>
      </c>
      <c r="G12" s="118" t="s">
        <v>494</v>
      </c>
      <c r="H12" s="114">
        <v>1107013338503</v>
      </c>
      <c r="I12" s="118" t="s">
        <v>494</v>
      </c>
      <c r="J12" s="339" t="s">
        <v>810</v>
      </c>
      <c r="K12" s="339"/>
      <c r="L12" s="339"/>
      <c r="M12" s="339"/>
      <c r="N12" s="339"/>
      <c r="O12" s="115">
        <v>2306277789</v>
      </c>
      <c r="P12" s="115">
        <v>6918833366</v>
      </c>
      <c r="Q12" s="115">
        <v>27675333463</v>
      </c>
      <c r="R12" s="115">
        <v>27675333463</v>
      </c>
      <c r="S12" s="115">
        <v>27675333463</v>
      </c>
      <c r="T12" s="115">
        <v>18450222308</v>
      </c>
      <c r="U12" s="115">
        <v>108395056062</v>
      </c>
      <c r="V12" s="102"/>
      <c r="W12" s="101"/>
    </row>
    <row r="13" spans="1:23" ht="15" customHeight="1">
      <c r="A13" s="101"/>
      <c r="B13" s="102"/>
      <c r="C13" s="102"/>
      <c r="D13" s="102"/>
      <c r="E13" s="102"/>
      <c r="F13" s="102"/>
      <c r="G13" s="102"/>
      <c r="H13" s="103"/>
      <c r="I13" s="102"/>
      <c r="J13" s="102"/>
      <c r="K13" s="102"/>
      <c r="L13" s="102"/>
      <c r="M13" s="102"/>
      <c r="N13" s="102"/>
      <c r="O13" s="104"/>
      <c r="P13" s="104"/>
      <c r="Q13" s="104"/>
      <c r="R13" s="104"/>
      <c r="S13" s="104"/>
      <c r="T13" s="104"/>
      <c r="U13" s="104"/>
      <c r="V13" s="102"/>
      <c r="W13" s="101"/>
    </row>
    <row r="14" spans="1:23" ht="15" customHeight="1">
      <c r="A14" s="101"/>
      <c r="B14" s="102"/>
      <c r="C14" s="102"/>
      <c r="D14" s="102"/>
      <c r="E14" s="102"/>
      <c r="F14" s="102"/>
      <c r="G14" s="102"/>
      <c r="H14" s="103"/>
      <c r="I14" s="102"/>
      <c r="J14" s="102"/>
      <c r="K14" s="102"/>
      <c r="L14" s="102"/>
      <c r="M14" s="102"/>
      <c r="N14" s="102"/>
      <c r="O14" s="104"/>
      <c r="P14" s="104"/>
      <c r="Q14" s="104"/>
      <c r="R14" s="104"/>
      <c r="S14" s="104"/>
      <c r="T14" s="104"/>
      <c r="U14" s="119"/>
      <c r="V14" s="102"/>
      <c r="W14" s="102"/>
    </row>
    <row r="15" spans="1:23" ht="13.5" customHeight="1">
      <c r="A15" s="101"/>
      <c r="B15" s="102"/>
      <c r="C15" s="102"/>
      <c r="D15" s="102"/>
      <c r="E15" s="102"/>
      <c r="F15" s="102"/>
      <c r="G15" s="102"/>
      <c r="H15" s="103"/>
      <c r="I15" s="102"/>
      <c r="J15" s="339" t="s">
        <v>811</v>
      </c>
      <c r="K15" s="339"/>
      <c r="L15" s="339"/>
      <c r="M15" s="339"/>
      <c r="N15" s="339"/>
      <c r="O15" s="120" t="s">
        <v>494</v>
      </c>
      <c r="P15" s="115">
        <v>2306277789</v>
      </c>
      <c r="Q15" s="115">
        <v>9225111154</v>
      </c>
      <c r="R15" s="115">
        <v>9225111154</v>
      </c>
      <c r="S15" s="115">
        <v>9225111154</v>
      </c>
      <c r="T15" s="115">
        <v>-29981611251</v>
      </c>
      <c r="U15" s="115">
        <v>0</v>
      </c>
      <c r="V15" s="102"/>
      <c r="W15" s="102"/>
    </row>
    <row r="16" spans="1:23" ht="13.5" customHeight="1">
      <c r="A16" s="101"/>
      <c r="B16" s="102"/>
      <c r="C16" s="102"/>
      <c r="D16" s="102"/>
      <c r="E16" s="102"/>
      <c r="F16" s="102"/>
      <c r="G16" s="102"/>
      <c r="H16" s="103"/>
      <c r="I16" s="102"/>
      <c r="J16" s="102"/>
      <c r="K16" s="102"/>
      <c r="L16" s="102"/>
      <c r="M16" s="102"/>
      <c r="N16" s="102"/>
      <c r="O16" s="104"/>
      <c r="P16" s="121" t="s">
        <v>812</v>
      </c>
      <c r="Q16" s="121" t="s">
        <v>812</v>
      </c>
      <c r="R16" s="121" t="s">
        <v>812</v>
      </c>
      <c r="S16" s="121" t="s">
        <v>812</v>
      </c>
      <c r="T16" s="121" t="s">
        <v>812</v>
      </c>
      <c r="U16" s="110"/>
      <c r="V16" s="102"/>
      <c r="W16" s="101"/>
    </row>
    <row r="17" spans="1:23" ht="15" customHeight="1">
      <c r="A17" s="101"/>
      <c r="B17" s="102"/>
      <c r="C17" s="102"/>
      <c r="D17" s="102"/>
      <c r="E17" s="102"/>
      <c r="F17" s="102"/>
      <c r="G17" s="102"/>
      <c r="H17" s="103"/>
      <c r="I17" s="102"/>
      <c r="J17" s="102"/>
      <c r="K17" s="102"/>
      <c r="L17" s="102"/>
      <c r="M17" s="102"/>
      <c r="N17" s="102"/>
      <c r="O17" s="104"/>
      <c r="P17" s="104"/>
      <c r="Q17" s="104"/>
      <c r="R17" s="104"/>
      <c r="S17" s="104"/>
      <c r="T17" s="104"/>
      <c r="U17" s="110">
        <v>0</v>
      </c>
      <c r="V17" s="103">
        <v>24583366633</v>
      </c>
      <c r="W17" s="101" t="s">
        <v>813</v>
      </c>
    </row>
    <row r="18" spans="1:23" ht="15" customHeight="1">
      <c r="A18" s="101"/>
      <c r="B18" s="102"/>
      <c r="C18" s="102"/>
      <c r="D18" s="102"/>
      <c r="E18" s="102"/>
      <c r="F18" s="102"/>
      <c r="G18" s="102"/>
      <c r="H18" s="103"/>
      <c r="I18" s="102"/>
      <c r="J18" s="102"/>
      <c r="K18" s="102"/>
      <c r="L18" s="102"/>
      <c r="M18" s="102"/>
      <c r="N18" s="102"/>
      <c r="O18" s="104"/>
      <c r="P18" s="104"/>
      <c r="Q18" s="104"/>
      <c r="R18" s="104"/>
      <c r="S18" s="104"/>
      <c r="T18" s="104"/>
      <c r="U18" s="110">
        <v>0</v>
      </c>
      <c r="V18" s="103">
        <v>5398244618</v>
      </c>
      <c r="W18" s="101" t="s">
        <v>814</v>
      </c>
    </row>
    <row r="19" spans="1:23" ht="13.5" customHeight="1">
      <c r="A19" s="101"/>
      <c r="B19" s="102"/>
      <c r="C19" s="102"/>
      <c r="D19" s="102"/>
      <c r="E19" s="102"/>
      <c r="F19" s="102"/>
      <c r="G19" s="102"/>
      <c r="H19" s="103"/>
      <c r="I19" s="102"/>
      <c r="J19" s="102"/>
      <c r="K19" s="102"/>
      <c r="L19" s="102"/>
      <c r="M19" s="102"/>
      <c r="N19" s="102"/>
      <c r="O19" s="104"/>
      <c r="P19" s="104"/>
      <c r="Q19" s="104"/>
      <c r="R19" s="104"/>
      <c r="S19" s="104"/>
      <c r="T19" s="104"/>
      <c r="U19" s="119">
        <v>0</v>
      </c>
      <c r="V19" s="122">
        <v>29981611251</v>
      </c>
      <c r="W19" s="101"/>
    </row>
  </sheetData>
  <mergeCells count="4">
    <mergeCell ref="B6:G6"/>
    <mergeCell ref="J6:N6"/>
    <mergeCell ref="J12:N12"/>
    <mergeCell ref="J15:N15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55F8-96C2-0B68-C3E4-CAE14EA49898}">
  <dimension ref="A1:D39"/>
  <sheetViews>
    <sheetView showGridLines="0" workbookViewId="0">
      <selection activeCell="B5" sqref="B5"/>
    </sheetView>
  </sheetViews>
  <sheetFormatPr defaultColWidth="7.796875" defaultRowHeight="15" customHeight="1"/>
  <cols>
    <col min="1" max="1" width="6.796875" bestFit="1" customWidth="1"/>
    <col min="2" max="2" width="88" bestFit="1" customWidth="1"/>
    <col min="3" max="3" width="15.796875" bestFit="1" customWidth="1"/>
    <col min="4" max="4" width="17.5" bestFit="1" customWidth="1"/>
  </cols>
  <sheetData>
    <row r="1" spans="1:4" ht="18.75" customHeight="1">
      <c r="A1" s="123" t="s">
        <v>815</v>
      </c>
      <c r="B1" s="124" t="s">
        <v>121</v>
      </c>
      <c r="C1" s="125" t="s">
        <v>816</v>
      </c>
      <c r="D1" s="126" t="s">
        <v>817</v>
      </c>
    </row>
    <row r="2" spans="1:4" ht="18" customHeight="1">
      <c r="A2" s="127" t="s">
        <v>494</v>
      </c>
      <c r="B2" s="128" t="s">
        <v>494</v>
      </c>
      <c r="C2" s="129" t="s">
        <v>494</v>
      </c>
      <c r="D2" s="130" t="s">
        <v>494</v>
      </c>
    </row>
    <row r="3" spans="1:4" ht="21.75" customHeight="1">
      <c r="A3" s="131" t="s">
        <v>494</v>
      </c>
      <c r="B3" s="132" t="s">
        <v>818</v>
      </c>
      <c r="C3" s="129" t="s">
        <v>494</v>
      </c>
      <c r="D3" s="130" t="s">
        <v>494</v>
      </c>
    </row>
    <row r="4" spans="1:4" ht="18" customHeight="1">
      <c r="A4" s="133">
        <v>1</v>
      </c>
      <c r="B4" s="128" t="s">
        <v>819</v>
      </c>
      <c r="C4" s="129">
        <v>45413</v>
      </c>
      <c r="D4" s="130">
        <v>32546258</v>
      </c>
    </row>
    <row r="5" spans="1:4" ht="18" customHeight="1">
      <c r="A5" s="133">
        <v>2</v>
      </c>
      <c r="B5" s="128" t="s">
        <v>820</v>
      </c>
      <c r="C5" s="129">
        <v>45413</v>
      </c>
      <c r="D5" s="130">
        <v>227344965</v>
      </c>
    </row>
    <row r="6" spans="1:4" ht="18" customHeight="1">
      <c r="A6" s="133">
        <v>3</v>
      </c>
      <c r="B6" s="128" t="s">
        <v>821</v>
      </c>
      <c r="C6" s="129">
        <v>45444</v>
      </c>
      <c r="D6" s="130">
        <v>74602007</v>
      </c>
    </row>
    <row r="7" spans="1:4" ht="18" customHeight="1">
      <c r="A7" s="134">
        <v>6</v>
      </c>
      <c r="B7" s="135" t="s">
        <v>822</v>
      </c>
      <c r="C7" s="136">
        <v>45474</v>
      </c>
      <c r="D7" s="137">
        <v>17316000</v>
      </c>
    </row>
    <row r="8" spans="1:4" ht="18" customHeight="1">
      <c r="A8" s="133">
        <v>15</v>
      </c>
      <c r="B8" s="128" t="s">
        <v>823</v>
      </c>
      <c r="C8" s="129">
        <v>45474</v>
      </c>
      <c r="D8" s="130">
        <v>50782500</v>
      </c>
    </row>
    <row r="9" spans="1:4" ht="18" customHeight="1">
      <c r="A9" s="133">
        <v>19</v>
      </c>
      <c r="B9" s="128" t="s">
        <v>824</v>
      </c>
      <c r="C9" s="129">
        <v>45474</v>
      </c>
      <c r="D9" s="130">
        <v>39294000</v>
      </c>
    </row>
    <row r="10" spans="1:4" ht="18" customHeight="1">
      <c r="A10" s="134">
        <v>20</v>
      </c>
      <c r="B10" s="135" t="s">
        <v>825</v>
      </c>
      <c r="C10" s="136">
        <v>45474</v>
      </c>
      <c r="D10" s="137">
        <v>7326000</v>
      </c>
    </row>
    <row r="11" spans="1:4" ht="18" customHeight="1">
      <c r="A11" s="134">
        <v>21</v>
      </c>
      <c r="B11" s="135" t="s">
        <v>826</v>
      </c>
      <c r="C11" s="136">
        <v>45474</v>
      </c>
      <c r="D11" s="137">
        <v>12000000</v>
      </c>
    </row>
    <row r="12" spans="1:4" ht="18" customHeight="1">
      <c r="A12" s="134">
        <v>22</v>
      </c>
      <c r="B12" s="135" t="s">
        <v>827</v>
      </c>
      <c r="C12" s="136">
        <v>45474</v>
      </c>
      <c r="D12" s="137">
        <v>18907000</v>
      </c>
    </row>
    <row r="13" spans="1:4" ht="18" customHeight="1">
      <c r="A13" s="134">
        <v>23</v>
      </c>
      <c r="B13" s="135" t="s">
        <v>828</v>
      </c>
      <c r="C13" s="136">
        <v>45566</v>
      </c>
      <c r="D13" s="137">
        <v>18700000</v>
      </c>
    </row>
    <row r="14" spans="1:4" ht="18" customHeight="1">
      <c r="A14" s="134">
        <v>24</v>
      </c>
      <c r="B14" s="135" t="s">
        <v>829</v>
      </c>
      <c r="C14" s="136">
        <v>45566</v>
      </c>
      <c r="D14" s="137">
        <v>112200000</v>
      </c>
    </row>
    <row r="15" spans="1:4" ht="18" customHeight="1">
      <c r="A15" s="134">
        <v>25</v>
      </c>
      <c r="B15" s="135" t="s">
        <v>830</v>
      </c>
      <c r="C15" s="136">
        <v>45566</v>
      </c>
      <c r="D15" s="137">
        <v>59500000</v>
      </c>
    </row>
    <row r="16" spans="1:4" ht="18" customHeight="1">
      <c r="A16" s="133">
        <v>26</v>
      </c>
      <c r="B16" s="128" t="s">
        <v>831</v>
      </c>
      <c r="C16" s="129">
        <v>45597</v>
      </c>
      <c r="D16" s="130">
        <v>37615000</v>
      </c>
    </row>
    <row r="17" spans="1:4" ht="18" customHeight="1">
      <c r="A17" s="133">
        <v>27</v>
      </c>
      <c r="B17" s="128" t="s">
        <v>832</v>
      </c>
      <c r="C17" s="129" t="s">
        <v>833</v>
      </c>
      <c r="D17" s="130">
        <v>27000000</v>
      </c>
    </row>
    <row r="18" spans="1:4" ht="18" customHeight="1">
      <c r="A18" s="133">
        <v>28</v>
      </c>
      <c r="B18" s="128" t="s">
        <v>834</v>
      </c>
      <c r="C18" s="129" t="s">
        <v>833</v>
      </c>
      <c r="D18" s="130">
        <v>13500000</v>
      </c>
    </row>
    <row r="19" spans="1:4" ht="18" customHeight="1">
      <c r="A19" s="133">
        <v>29</v>
      </c>
      <c r="B19" s="128" t="s">
        <v>835</v>
      </c>
      <c r="C19" s="129" t="s">
        <v>833</v>
      </c>
      <c r="D19" s="130">
        <v>28500000</v>
      </c>
    </row>
    <row r="20" spans="1:4" ht="18" customHeight="1">
      <c r="A20" s="133">
        <v>30</v>
      </c>
      <c r="B20" s="128" t="s">
        <v>836</v>
      </c>
      <c r="C20" s="129" t="s">
        <v>833</v>
      </c>
      <c r="D20" s="130">
        <v>8745000</v>
      </c>
    </row>
    <row r="21" spans="1:4" ht="18" customHeight="1">
      <c r="A21" s="133">
        <v>31</v>
      </c>
      <c r="B21" s="128" t="s">
        <v>836</v>
      </c>
      <c r="C21" s="129" t="s">
        <v>833</v>
      </c>
      <c r="D21" s="130">
        <v>8745000</v>
      </c>
    </row>
    <row r="22" spans="1:4" ht="18" customHeight="1">
      <c r="A22" s="133">
        <v>32</v>
      </c>
      <c r="B22" s="128" t="s">
        <v>837</v>
      </c>
      <c r="C22" s="129" t="s">
        <v>833</v>
      </c>
      <c r="D22" s="130">
        <v>9000000</v>
      </c>
    </row>
    <row r="23" spans="1:4" ht="18" customHeight="1">
      <c r="A23" s="133">
        <v>33</v>
      </c>
      <c r="B23" s="128" t="s">
        <v>838</v>
      </c>
      <c r="C23" s="129" t="s">
        <v>833</v>
      </c>
      <c r="D23" s="130">
        <v>16800000</v>
      </c>
    </row>
    <row r="24" spans="1:4" ht="18" customHeight="1">
      <c r="A24" s="133">
        <v>34</v>
      </c>
      <c r="B24" s="128" t="s">
        <v>839</v>
      </c>
      <c r="C24" s="129" t="s">
        <v>833</v>
      </c>
      <c r="D24" s="130">
        <v>9000000</v>
      </c>
    </row>
    <row r="25" spans="1:4" ht="18" customHeight="1">
      <c r="A25" s="133">
        <v>35</v>
      </c>
      <c r="B25" s="128" t="s">
        <v>840</v>
      </c>
      <c r="C25" s="129" t="s">
        <v>841</v>
      </c>
      <c r="D25" s="130">
        <v>110573205</v>
      </c>
    </row>
    <row r="26" spans="1:4" ht="18" customHeight="1">
      <c r="A26" s="133">
        <v>36</v>
      </c>
      <c r="B26" s="128" t="s">
        <v>838</v>
      </c>
      <c r="C26" s="129" t="s">
        <v>841</v>
      </c>
      <c r="D26" s="130">
        <v>8400000</v>
      </c>
    </row>
    <row r="27" spans="1:4" ht="18" customHeight="1">
      <c r="A27" s="133">
        <v>37</v>
      </c>
      <c r="B27" s="128" t="s">
        <v>838</v>
      </c>
      <c r="C27" s="129" t="s">
        <v>841</v>
      </c>
      <c r="D27" s="130">
        <v>8400000</v>
      </c>
    </row>
    <row r="28" spans="1:4" ht="18" customHeight="1">
      <c r="A28" s="133">
        <v>38</v>
      </c>
      <c r="B28" s="128" t="s">
        <v>842</v>
      </c>
      <c r="C28" s="129">
        <v>45689</v>
      </c>
      <c r="D28" s="130">
        <v>16800000</v>
      </c>
    </row>
    <row r="29" spans="1:4" ht="18" customHeight="1">
      <c r="A29" s="138">
        <v>40</v>
      </c>
      <c r="B29" s="135" t="s">
        <v>843</v>
      </c>
      <c r="C29" s="136">
        <v>45717</v>
      </c>
      <c r="D29" s="137">
        <v>22000000</v>
      </c>
    </row>
    <row r="30" spans="1:4" ht="18" customHeight="1">
      <c r="A30" s="138">
        <v>41</v>
      </c>
      <c r="B30" s="135" t="s">
        <v>844</v>
      </c>
      <c r="C30" s="136">
        <v>45717</v>
      </c>
      <c r="D30" s="137">
        <v>4000000</v>
      </c>
    </row>
    <row r="31" spans="1:4" ht="18" customHeight="1">
      <c r="A31" s="138">
        <v>42</v>
      </c>
      <c r="B31" s="135" t="s">
        <v>845</v>
      </c>
      <c r="C31" s="136">
        <v>45717</v>
      </c>
      <c r="D31" s="137">
        <v>3000000</v>
      </c>
    </row>
    <row r="32" spans="1:4" ht="18" customHeight="1">
      <c r="A32" s="138">
        <v>43</v>
      </c>
      <c r="B32" s="135" t="s">
        <v>846</v>
      </c>
      <c r="C32" s="136">
        <v>45717</v>
      </c>
      <c r="D32" s="137">
        <v>6000000</v>
      </c>
    </row>
    <row r="33" spans="1:4" ht="18" customHeight="1">
      <c r="A33" s="138">
        <v>44</v>
      </c>
      <c r="B33" s="135" t="s">
        <v>847</v>
      </c>
      <c r="C33" s="136">
        <v>45717</v>
      </c>
      <c r="D33" s="137">
        <v>5000000</v>
      </c>
    </row>
    <row r="34" spans="1:4" ht="18" customHeight="1">
      <c r="A34" s="133">
        <v>45</v>
      </c>
      <c r="B34" s="128" t="s">
        <v>848</v>
      </c>
      <c r="C34" s="129">
        <v>45717</v>
      </c>
      <c r="D34" s="130">
        <v>24242400</v>
      </c>
    </row>
    <row r="35" spans="1:4" ht="18" customHeight="1">
      <c r="A35" s="133">
        <v>56</v>
      </c>
      <c r="B35" s="128" t="s">
        <v>849</v>
      </c>
      <c r="C35" s="129">
        <v>45748</v>
      </c>
      <c r="D35" s="130">
        <v>32800500</v>
      </c>
    </row>
    <row r="36" spans="1:4" ht="18" customHeight="1">
      <c r="A36" s="133">
        <v>60</v>
      </c>
      <c r="B36" s="128" t="s">
        <v>850</v>
      </c>
      <c r="C36" s="129" t="s">
        <v>494</v>
      </c>
      <c r="D36" s="130">
        <v>229640180</v>
      </c>
    </row>
    <row r="37" spans="1:4" ht="18" customHeight="1">
      <c r="A37" s="133">
        <v>61</v>
      </c>
      <c r="B37" s="128" t="s">
        <v>851</v>
      </c>
      <c r="C37" s="129" t="s">
        <v>494</v>
      </c>
      <c r="D37" s="139">
        <v>171540000</v>
      </c>
    </row>
    <row r="38" spans="1:4" ht="18" customHeight="1">
      <c r="A38" s="131" t="s">
        <v>494</v>
      </c>
      <c r="B38" s="128" t="s">
        <v>494</v>
      </c>
      <c r="C38" s="129" t="s">
        <v>494</v>
      </c>
      <c r="D38" s="130" t="s">
        <v>494</v>
      </c>
    </row>
    <row r="39" spans="1:4" ht="18.75" customHeight="1">
      <c r="A39" s="131" t="s">
        <v>494</v>
      </c>
      <c r="B39" s="140" t="s">
        <v>162</v>
      </c>
      <c r="C39" s="141" t="s">
        <v>494</v>
      </c>
      <c r="D39" s="142" t="s">
        <v>494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645A-A49A-6978-2FDA-581CE7DDA978}">
  <dimension ref="A1:O301"/>
  <sheetViews>
    <sheetView showGridLines="0" topLeftCell="D223" zoomScale="115" zoomScaleNormal="115" workbookViewId="0">
      <selection activeCell="C3" sqref="C3"/>
    </sheetView>
  </sheetViews>
  <sheetFormatPr defaultColWidth="7.796875" defaultRowHeight="15" customHeight="1"/>
  <cols>
    <col min="1" max="1" width="8.3984375" customWidth="1"/>
    <col min="2" max="2" width="45" customWidth="1"/>
    <col min="3" max="3" width="87.296875" customWidth="1"/>
    <col min="4" max="10" width="15.796875" customWidth="1"/>
    <col min="11" max="11" width="0.796875" customWidth="1"/>
    <col min="12" max="12" width="13.09765625" customWidth="1"/>
    <col min="13" max="15" width="0.796875" customWidth="1"/>
  </cols>
  <sheetData>
    <row r="1" spans="1:15" ht="17.25" customHeight="1">
      <c r="A1" s="143" t="s">
        <v>494</v>
      </c>
      <c r="B1" s="144" t="s">
        <v>494</v>
      </c>
      <c r="C1" s="145" t="s">
        <v>494</v>
      </c>
      <c r="D1" s="146" t="s">
        <v>494</v>
      </c>
      <c r="E1" s="146" t="s">
        <v>494</v>
      </c>
      <c r="F1" s="146" t="s">
        <v>494</v>
      </c>
      <c r="G1" s="146" t="s">
        <v>494</v>
      </c>
      <c r="H1" s="146" t="s">
        <v>494</v>
      </c>
      <c r="I1" s="146" t="s">
        <v>494</v>
      </c>
      <c r="J1" s="146" t="s">
        <v>494</v>
      </c>
      <c r="K1" s="147" t="s">
        <v>494</v>
      </c>
      <c r="L1" s="148" t="s">
        <v>494</v>
      </c>
      <c r="M1" s="148" t="s">
        <v>494</v>
      </c>
      <c r="N1" s="148" t="s">
        <v>494</v>
      </c>
      <c r="O1" s="147" t="s">
        <v>494</v>
      </c>
    </row>
    <row r="2" spans="1:15" ht="17.25" customHeight="1">
      <c r="A2" s="143" t="s">
        <v>494</v>
      </c>
      <c r="B2" s="149" t="s">
        <v>852</v>
      </c>
      <c r="C2" s="149"/>
      <c r="D2" s="149"/>
      <c r="E2" s="146" t="s">
        <v>494</v>
      </c>
      <c r="F2" s="146" t="s">
        <v>494</v>
      </c>
      <c r="G2" s="146" t="s">
        <v>494</v>
      </c>
      <c r="H2" s="146" t="s">
        <v>494</v>
      </c>
      <c r="I2" s="146" t="s">
        <v>494</v>
      </c>
      <c r="J2" s="146" t="s">
        <v>494</v>
      </c>
      <c r="K2" s="147" t="s">
        <v>494</v>
      </c>
      <c r="L2" s="148" t="s">
        <v>494</v>
      </c>
      <c r="M2" s="148" t="s">
        <v>494</v>
      </c>
      <c r="N2" s="148" t="s">
        <v>494</v>
      </c>
      <c r="O2" s="147" t="s">
        <v>494</v>
      </c>
    </row>
    <row r="3" spans="1:15" ht="21.75" customHeight="1">
      <c r="A3" s="143" t="s">
        <v>494</v>
      </c>
      <c r="B3" s="150" t="s">
        <v>853</v>
      </c>
      <c r="C3" s="150"/>
      <c r="D3" s="146" t="s">
        <v>494</v>
      </c>
      <c r="E3" s="146" t="s">
        <v>494</v>
      </c>
      <c r="F3" s="146" t="s">
        <v>494</v>
      </c>
      <c r="G3" s="146" t="s">
        <v>494</v>
      </c>
      <c r="H3" s="146" t="s">
        <v>494</v>
      </c>
      <c r="I3" s="146" t="s">
        <v>494</v>
      </c>
      <c r="J3" s="146" t="s">
        <v>494</v>
      </c>
      <c r="K3" s="147" t="s">
        <v>494</v>
      </c>
      <c r="L3" s="148" t="s">
        <v>494</v>
      </c>
      <c r="M3" s="148" t="s">
        <v>494</v>
      </c>
      <c r="N3" s="148" t="s">
        <v>494</v>
      </c>
      <c r="O3" s="147" t="s">
        <v>494</v>
      </c>
    </row>
    <row r="4" spans="1:15" ht="17.25" customHeight="1">
      <c r="A4" s="143" t="s">
        <v>494</v>
      </c>
      <c r="B4" s="151" t="s">
        <v>494</v>
      </c>
      <c r="C4" s="145" t="s">
        <v>494</v>
      </c>
      <c r="D4" s="152">
        <v>4</v>
      </c>
      <c r="E4" s="152">
        <v>5</v>
      </c>
      <c r="F4" s="152">
        <v>6</v>
      </c>
      <c r="G4" s="152">
        <v>7</v>
      </c>
      <c r="H4" s="152">
        <v>8</v>
      </c>
      <c r="I4" s="152">
        <v>9</v>
      </c>
      <c r="J4" s="152">
        <v>11</v>
      </c>
      <c r="K4" s="147" t="s">
        <v>494</v>
      </c>
      <c r="L4" s="148" t="s">
        <v>494</v>
      </c>
      <c r="M4" s="148" t="s">
        <v>494</v>
      </c>
      <c r="N4" s="148" t="s">
        <v>494</v>
      </c>
      <c r="O4" s="147" t="s">
        <v>494</v>
      </c>
    </row>
    <row r="5" spans="1:15" ht="17.25" customHeight="1">
      <c r="A5" s="143" t="s">
        <v>494</v>
      </c>
      <c r="B5" s="153" t="s">
        <v>494</v>
      </c>
      <c r="C5" s="154" t="s">
        <v>494</v>
      </c>
      <c r="D5" s="155" t="s">
        <v>854</v>
      </c>
      <c r="E5" s="155" t="s">
        <v>854</v>
      </c>
      <c r="F5" s="155" t="s">
        <v>854</v>
      </c>
      <c r="G5" s="155" t="s">
        <v>854</v>
      </c>
      <c r="H5" s="155" t="s">
        <v>854</v>
      </c>
      <c r="I5" s="155" t="s">
        <v>854</v>
      </c>
      <c r="J5" s="155" t="s">
        <v>854</v>
      </c>
      <c r="K5" s="147" t="s">
        <v>494</v>
      </c>
      <c r="L5" s="148" t="s">
        <v>494</v>
      </c>
      <c r="M5" s="148" t="s">
        <v>494</v>
      </c>
      <c r="N5" s="148" t="s">
        <v>494</v>
      </c>
      <c r="O5" s="147" t="s">
        <v>494</v>
      </c>
    </row>
    <row r="6" spans="1:15" ht="17.25" customHeight="1">
      <c r="A6" s="143" t="s">
        <v>494</v>
      </c>
      <c r="B6" s="340" t="s">
        <v>855</v>
      </c>
      <c r="C6" s="341" t="s">
        <v>856</v>
      </c>
      <c r="D6" s="156" t="s">
        <v>857</v>
      </c>
      <c r="E6" s="156" t="s">
        <v>857</v>
      </c>
      <c r="F6" s="156" t="s">
        <v>857</v>
      </c>
      <c r="G6" s="156" t="s">
        <v>857</v>
      </c>
      <c r="H6" s="156" t="s">
        <v>857</v>
      </c>
      <c r="I6" s="156" t="s">
        <v>857</v>
      </c>
      <c r="J6" s="156" t="s">
        <v>857</v>
      </c>
      <c r="K6" s="147" t="s">
        <v>494</v>
      </c>
      <c r="L6" s="148" t="s">
        <v>494</v>
      </c>
      <c r="M6" s="148" t="s">
        <v>494</v>
      </c>
      <c r="N6" s="148" t="s">
        <v>494</v>
      </c>
      <c r="O6" s="147" t="s">
        <v>494</v>
      </c>
    </row>
    <row r="7" spans="1:15" ht="17.25" customHeight="1">
      <c r="A7" s="143" t="s">
        <v>494</v>
      </c>
      <c r="B7" s="340"/>
      <c r="C7" s="341"/>
      <c r="D7" s="157" t="s">
        <v>858</v>
      </c>
      <c r="E7" s="157" t="s">
        <v>859</v>
      </c>
      <c r="F7" s="157" t="s">
        <v>860</v>
      </c>
      <c r="G7" s="157" t="s">
        <v>861</v>
      </c>
      <c r="H7" s="157" t="s">
        <v>862</v>
      </c>
      <c r="I7" s="157" t="s">
        <v>863</v>
      </c>
      <c r="J7" s="157" t="s">
        <v>864</v>
      </c>
      <c r="K7" s="147" t="s">
        <v>494</v>
      </c>
      <c r="L7" s="148" t="s">
        <v>494</v>
      </c>
      <c r="M7" s="148" t="s">
        <v>494</v>
      </c>
      <c r="N7" s="148" t="s">
        <v>494</v>
      </c>
      <c r="O7" s="147" t="s">
        <v>494</v>
      </c>
    </row>
    <row r="8" spans="1:15" ht="17.25" customHeight="1">
      <c r="A8" s="143" t="s">
        <v>494</v>
      </c>
      <c r="B8" s="158" t="s">
        <v>494</v>
      </c>
      <c r="C8" s="159" t="s">
        <v>494</v>
      </c>
      <c r="D8" s="160">
        <v>7</v>
      </c>
      <c r="E8" s="160">
        <v>8</v>
      </c>
      <c r="F8" s="160">
        <v>9</v>
      </c>
      <c r="G8" s="160" t="s">
        <v>865</v>
      </c>
      <c r="H8" s="160" t="s">
        <v>494</v>
      </c>
      <c r="I8" s="161" t="s">
        <v>494</v>
      </c>
      <c r="J8" s="162" t="s">
        <v>494</v>
      </c>
      <c r="K8" s="147" t="s">
        <v>494</v>
      </c>
      <c r="L8" s="148" t="s">
        <v>494</v>
      </c>
      <c r="M8" s="148" t="s">
        <v>494</v>
      </c>
      <c r="N8" s="148" t="s">
        <v>494</v>
      </c>
      <c r="O8" s="147" t="s">
        <v>494</v>
      </c>
    </row>
    <row r="9" spans="1:15" ht="17.25" customHeight="1">
      <c r="A9" s="143" t="s">
        <v>494</v>
      </c>
      <c r="B9" s="163" t="s">
        <v>866</v>
      </c>
      <c r="C9" s="164" t="s">
        <v>867</v>
      </c>
      <c r="D9" s="165" t="s">
        <v>494</v>
      </c>
      <c r="E9" s="165" t="s">
        <v>494</v>
      </c>
      <c r="F9" s="165" t="s">
        <v>494</v>
      </c>
      <c r="G9" s="165" t="s">
        <v>494</v>
      </c>
      <c r="H9" s="165" t="s">
        <v>494</v>
      </c>
      <c r="I9" s="165" t="s">
        <v>494</v>
      </c>
      <c r="J9" s="165" t="s">
        <v>494</v>
      </c>
      <c r="K9" s="147" t="s">
        <v>494</v>
      </c>
      <c r="L9" s="148" t="s">
        <v>494</v>
      </c>
      <c r="M9" s="148" t="s">
        <v>494</v>
      </c>
      <c r="N9" s="148" t="s">
        <v>494</v>
      </c>
      <c r="O9" s="147" t="s">
        <v>494</v>
      </c>
    </row>
    <row r="10" spans="1:15" ht="17.25" customHeight="1">
      <c r="A10" s="143" t="s">
        <v>494</v>
      </c>
      <c r="B10" s="166" t="s">
        <v>494</v>
      </c>
      <c r="C10" s="167" t="s">
        <v>868</v>
      </c>
      <c r="D10" s="168" t="s">
        <v>494</v>
      </c>
      <c r="E10" s="168" t="s">
        <v>494</v>
      </c>
      <c r="F10" s="168" t="s">
        <v>494</v>
      </c>
      <c r="G10" s="168" t="s">
        <v>494</v>
      </c>
      <c r="H10" s="168" t="s">
        <v>494</v>
      </c>
      <c r="I10" s="168" t="s">
        <v>494</v>
      </c>
      <c r="J10" s="168" t="s">
        <v>494</v>
      </c>
      <c r="K10" s="147" t="s">
        <v>494</v>
      </c>
      <c r="L10" s="148" t="s">
        <v>494</v>
      </c>
      <c r="M10" s="148" t="s">
        <v>494</v>
      </c>
      <c r="N10" s="148" t="s">
        <v>494</v>
      </c>
      <c r="O10" s="147" t="s">
        <v>494</v>
      </c>
    </row>
    <row r="11" spans="1:15" ht="17.25" customHeight="1">
      <c r="A11" s="143" t="s">
        <v>494</v>
      </c>
      <c r="B11" s="166" t="s">
        <v>494</v>
      </c>
      <c r="C11" s="159" t="s">
        <v>869</v>
      </c>
      <c r="D11" s="168" t="s">
        <v>494</v>
      </c>
      <c r="E11" s="168" t="s">
        <v>494</v>
      </c>
      <c r="F11" s="168" t="s">
        <v>494</v>
      </c>
      <c r="G11" s="168" t="s">
        <v>494</v>
      </c>
      <c r="H11" s="168" t="s">
        <v>494</v>
      </c>
      <c r="I11" s="168" t="s">
        <v>494</v>
      </c>
      <c r="J11" s="168" t="s">
        <v>494</v>
      </c>
      <c r="K11" s="147" t="s">
        <v>494</v>
      </c>
      <c r="L11" s="148" t="s">
        <v>494</v>
      </c>
      <c r="M11" s="148" t="s">
        <v>494</v>
      </c>
      <c r="N11" s="148" t="s">
        <v>494</v>
      </c>
      <c r="O11" s="147" t="s">
        <v>494</v>
      </c>
    </row>
    <row r="12" spans="1:15" ht="17.25" customHeight="1">
      <c r="A12" s="169" t="s">
        <v>870</v>
      </c>
      <c r="B12" s="166" t="s">
        <v>494</v>
      </c>
      <c r="C12" s="170" t="s">
        <v>871</v>
      </c>
      <c r="D12" s="168">
        <v>154250348121</v>
      </c>
      <c r="E12" s="168">
        <v>164136662173</v>
      </c>
      <c r="F12" s="168">
        <v>168022939374</v>
      </c>
      <c r="G12" s="168">
        <v>181564663610</v>
      </c>
      <c r="H12" s="168">
        <v>237984752684</v>
      </c>
      <c r="I12" s="168">
        <v>282402822733</v>
      </c>
      <c r="J12" s="168">
        <v>250532564911</v>
      </c>
      <c r="K12" s="147" t="s">
        <v>494</v>
      </c>
      <c r="L12" s="148" t="s">
        <v>494</v>
      </c>
      <c r="M12" s="148" t="s">
        <v>494</v>
      </c>
      <c r="N12" s="148" t="s">
        <v>494</v>
      </c>
      <c r="O12" s="147" t="s">
        <v>494</v>
      </c>
    </row>
    <row r="13" spans="1:15" ht="17.25" customHeight="1">
      <c r="A13" s="169" t="s">
        <v>872</v>
      </c>
      <c r="B13" s="166" t="s">
        <v>494</v>
      </c>
      <c r="C13" s="170" t="s">
        <v>873</v>
      </c>
      <c r="D13" s="168">
        <v>68079728829</v>
      </c>
      <c r="E13" s="168">
        <v>87433983846</v>
      </c>
      <c r="F13" s="168">
        <v>28218685371</v>
      </c>
      <c r="G13" s="168">
        <v>1175444403</v>
      </c>
      <c r="H13" s="168">
        <v>5107184611</v>
      </c>
      <c r="I13" s="168">
        <v>44680082518</v>
      </c>
      <c r="J13" s="168">
        <v>122895584306</v>
      </c>
      <c r="K13" s="147" t="s">
        <v>494</v>
      </c>
      <c r="L13" s="148" t="s">
        <v>494</v>
      </c>
      <c r="M13" s="148" t="s">
        <v>494</v>
      </c>
      <c r="N13" s="148" t="s">
        <v>494</v>
      </c>
      <c r="O13" s="147" t="s">
        <v>494</v>
      </c>
    </row>
    <row r="14" spans="1:15" ht="17.25" customHeight="1">
      <c r="A14" s="169" t="s">
        <v>874</v>
      </c>
      <c r="B14" s="166" t="s">
        <v>494</v>
      </c>
      <c r="C14" s="170" t="s">
        <v>875</v>
      </c>
      <c r="D14" s="168">
        <v>4146445105</v>
      </c>
      <c r="E14" s="168">
        <v>2492644851</v>
      </c>
      <c r="F14" s="168">
        <v>2482149727</v>
      </c>
      <c r="G14" s="168">
        <v>2269482203</v>
      </c>
      <c r="H14" s="168">
        <v>2518238243</v>
      </c>
      <c r="I14" s="168">
        <v>21279633396</v>
      </c>
      <c r="J14" s="168">
        <v>19339082396</v>
      </c>
      <c r="K14" s="147" t="s">
        <v>494</v>
      </c>
      <c r="L14" s="148" t="s">
        <v>494</v>
      </c>
      <c r="M14" s="148" t="s">
        <v>494</v>
      </c>
      <c r="N14" s="148" t="s">
        <v>494</v>
      </c>
      <c r="O14" s="147" t="s">
        <v>494</v>
      </c>
    </row>
    <row r="15" spans="1:15" ht="17.25" customHeight="1">
      <c r="A15" s="169" t="s">
        <v>876</v>
      </c>
      <c r="B15" s="166" t="s">
        <v>494</v>
      </c>
      <c r="C15" s="170" t="s">
        <v>877</v>
      </c>
      <c r="D15" s="168">
        <v>30090992792</v>
      </c>
      <c r="E15" s="168">
        <v>30830120393</v>
      </c>
      <c r="F15" s="168">
        <v>31802859227</v>
      </c>
      <c r="G15" s="168">
        <v>24259317871</v>
      </c>
      <c r="H15" s="168">
        <v>36537703976</v>
      </c>
      <c r="I15" s="168">
        <v>33753722089</v>
      </c>
      <c r="J15" s="168">
        <v>32904103224</v>
      </c>
      <c r="K15" s="147" t="s">
        <v>494</v>
      </c>
      <c r="L15" s="148">
        <v>4</v>
      </c>
      <c r="M15" s="148" t="s">
        <v>494</v>
      </c>
      <c r="N15" s="148" t="s">
        <v>494</v>
      </c>
      <c r="O15" s="147" t="s">
        <v>494</v>
      </c>
    </row>
    <row r="16" spans="1:15" ht="17.25" customHeight="1">
      <c r="A16" s="169" t="s">
        <v>878</v>
      </c>
      <c r="B16" s="166" t="s">
        <v>494</v>
      </c>
      <c r="C16" s="170" t="s">
        <v>879</v>
      </c>
      <c r="D16" s="168">
        <v>3705134739</v>
      </c>
      <c r="E16" s="168">
        <v>4290242594</v>
      </c>
      <c r="F16" s="168">
        <v>3927361184</v>
      </c>
      <c r="G16" s="168">
        <v>3793209434</v>
      </c>
      <c r="H16" s="168">
        <v>4074711680</v>
      </c>
      <c r="I16" s="168">
        <v>4834387185</v>
      </c>
      <c r="J16" s="168">
        <v>3480547899</v>
      </c>
      <c r="K16" s="147" t="s">
        <v>494</v>
      </c>
      <c r="L16" s="148" t="s">
        <v>494</v>
      </c>
      <c r="M16" s="148" t="s">
        <v>494</v>
      </c>
      <c r="N16" s="148" t="s">
        <v>494</v>
      </c>
      <c r="O16" s="147" t="s">
        <v>494</v>
      </c>
    </row>
    <row r="17" spans="1:15" ht="17.25" customHeight="1">
      <c r="A17" s="143" t="s">
        <v>494</v>
      </c>
      <c r="B17" s="166" t="s">
        <v>494</v>
      </c>
      <c r="C17" s="171" t="s">
        <v>880</v>
      </c>
      <c r="D17" s="172">
        <v>260272649587</v>
      </c>
      <c r="E17" s="172">
        <v>289183653857</v>
      </c>
      <c r="F17" s="172">
        <v>234453994883</v>
      </c>
      <c r="G17" s="172">
        <v>213062117521</v>
      </c>
      <c r="H17" s="172">
        <v>286222591194</v>
      </c>
      <c r="I17" s="172">
        <v>386950647921</v>
      </c>
      <c r="J17" s="172">
        <v>429151882737</v>
      </c>
      <c r="K17" s="147" t="s">
        <v>494</v>
      </c>
      <c r="L17" s="148" t="s">
        <v>494</v>
      </c>
      <c r="M17" s="148" t="s">
        <v>494</v>
      </c>
      <c r="N17" s="148" t="s">
        <v>494</v>
      </c>
      <c r="O17" s="147" t="s">
        <v>494</v>
      </c>
    </row>
    <row r="18" spans="1:15" ht="17.25" customHeight="1">
      <c r="A18" s="143" t="s">
        <v>494</v>
      </c>
      <c r="B18" s="166" t="s">
        <v>494</v>
      </c>
      <c r="C18" s="159" t="s">
        <v>494</v>
      </c>
      <c r="D18" s="168" t="s">
        <v>494</v>
      </c>
      <c r="E18" s="168" t="s">
        <v>494</v>
      </c>
      <c r="F18" s="168" t="s">
        <v>494</v>
      </c>
      <c r="G18" s="168" t="s">
        <v>494</v>
      </c>
      <c r="H18" s="168" t="s">
        <v>494</v>
      </c>
      <c r="I18" s="168" t="s">
        <v>494</v>
      </c>
      <c r="J18" s="168" t="s">
        <v>494</v>
      </c>
      <c r="K18" s="147" t="s">
        <v>494</v>
      </c>
      <c r="L18" s="148" t="s">
        <v>494</v>
      </c>
      <c r="M18" s="148" t="s">
        <v>494</v>
      </c>
      <c r="N18" s="148" t="s">
        <v>494</v>
      </c>
      <c r="O18" s="147" t="s">
        <v>494</v>
      </c>
    </row>
    <row r="19" spans="1:15" ht="17.25" customHeight="1">
      <c r="A19" s="143" t="s">
        <v>494</v>
      </c>
      <c r="B19" s="166" t="s">
        <v>494</v>
      </c>
      <c r="C19" s="159" t="s">
        <v>881</v>
      </c>
      <c r="D19" s="168" t="s">
        <v>494</v>
      </c>
      <c r="E19" s="168" t="s">
        <v>494</v>
      </c>
      <c r="F19" s="168" t="s">
        <v>494</v>
      </c>
      <c r="G19" s="168" t="s">
        <v>494</v>
      </c>
      <c r="H19" s="168" t="s">
        <v>494</v>
      </c>
      <c r="I19" s="168" t="s">
        <v>494</v>
      </c>
      <c r="J19" s="168" t="s">
        <v>494</v>
      </c>
      <c r="K19" s="147" t="s">
        <v>494</v>
      </c>
      <c r="L19" s="148" t="s">
        <v>494</v>
      </c>
      <c r="M19" s="148" t="s">
        <v>494</v>
      </c>
      <c r="N19" s="148" t="s">
        <v>494</v>
      </c>
      <c r="O19" s="147" t="s">
        <v>494</v>
      </c>
    </row>
    <row r="20" spans="1:15" ht="17.25" customHeight="1">
      <c r="A20" s="169" t="s">
        <v>882</v>
      </c>
      <c r="B20" s="166" t="s">
        <v>494</v>
      </c>
      <c r="C20" s="170" t="s">
        <v>883</v>
      </c>
      <c r="D20" s="168">
        <v>18124376468</v>
      </c>
      <c r="E20" s="168">
        <v>18178661109</v>
      </c>
      <c r="F20" s="168">
        <v>5725506882</v>
      </c>
      <c r="G20" s="168">
        <v>3330691690</v>
      </c>
      <c r="H20" s="168">
        <v>3105774662</v>
      </c>
      <c r="I20" s="168">
        <v>12819044201</v>
      </c>
      <c r="J20" s="173">
        <v>16824536519</v>
      </c>
      <c r="K20" s="147" t="s">
        <v>494</v>
      </c>
      <c r="L20" s="148" t="s">
        <v>494</v>
      </c>
      <c r="M20" s="148" t="s">
        <v>494</v>
      </c>
      <c r="N20" s="148" t="s">
        <v>494</v>
      </c>
      <c r="O20" s="147" t="s">
        <v>494</v>
      </c>
    </row>
    <row r="21" spans="1:15" ht="17.25" customHeight="1">
      <c r="A21" s="169" t="s">
        <v>884</v>
      </c>
      <c r="B21" s="166" t="s">
        <v>494</v>
      </c>
      <c r="C21" s="170" t="s">
        <v>885</v>
      </c>
      <c r="D21" s="168">
        <v>11419417405</v>
      </c>
      <c r="E21" s="168">
        <v>8553223831</v>
      </c>
      <c r="F21" s="168">
        <v>1452897308</v>
      </c>
      <c r="G21" s="168">
        <v>6501319391</v>
      </c>
      <c r="H21" s="168">
        <v>31428678010</v>
      </c>
      <c r="I21" s="168">
        <v>21826467191</v>
      </c>
      <c r="J21" s="173">
        <v>10056206241</v>
      </c>
      <c r="K21" s="147" t="s">
        <v>494</v>
      </c>
      <c r="L21" s="148" t="s">
        <v>494</v>
      </c>
      <c r="M21" s="148" t="s">
        <v>494</v>
      </c>
      <c r="N21" s="148" t="s">
        <v>494</v>
      </c>
      <c r="O21" s="147" t="s">
        <v>494</v>
      </c>
    </row>
    <row r="22" spans="1:15" ht="17.25" customHeight="1">
      <c r="A22" s="169" t="s">
        <v>886</v>
      </c>
      <c r="B22" s="166" t="s">
        <v>494</v>
      </c>
      <c r="C22" s="170" t="s">
        <v>887</v>
      </c>
      <c r="D22" s="168" t="s">
        <v>494</v>
      </c>
      <c r="E22" s="168" t="s">
        <v>494</v>
      </c>
      <c r="F22" s="168" t="s">
        <v>494</v>
      </c>
      <c r="G22" s="168" t="s">
        <v>494</v>
      </c>
      <c r="H22" s="168" t="s">
        <v>494</v>
      </c>
      <c r="I22" s="168" t="s">
        <v>494</v>
      </c>
      <c r="J22" s="173">
        <v>70427859563</v>
      </c>
      <c r="K22" s="147" t="s">
        <v>494</v>
      </c>
      <c r="L22" s="148" t="s">
        <v>494</v>
      </c>
      <c r="M22" s="148" t="s">
        <v>494</v>
      </c>
      <c r="N22" s="148" t="s">
        <v>494</v>
      </c>
      <c r="O22" s="147" t="s">
        <v>494</v>
      </c>
    </row>
    <row r="23" spans="1:15" ht="17.25" customHeight="1">
      <c r="A23" s="169" t="s">
        <v>888</v>
      </c>
      <c r="B23" s="166" t="s">
        <v>494</v>
      </c>
      <c r="C23" s="170" t="s">
        <v>889</v>
      </c>
      <c r="D23" s="168" t="s">
        <v>890</v>
      </c>
      <c r="E23" s="168">
        <v>110743376</v>
      </c>
      <c r="F23" s="168">
        <v>43066086</v>
      </c>
      <c r="G23" s="168">
        <v>2128125855</v>
      </c>
      <c r="H23" s="168">
        <v>4455793824</v>
      </c>
      <c r="I23" s="168">
        <v>2489584648</v>
      </c>
      <c r="J23" s="168" t="s">
        <v>890</v>
      </c>
      <c r="K23" s="147" t="s">
        <v>494</v>
      </c>
      <c r="L23" s="148" t="s">
        <v>494</v>
      </c>
      <c r="M23" s="148" t="s">
        <v>494</v>
      </c>
      <c r="N23" s="148" t="s">
        <v>494</v>
      </c>
      <c r="O23" s="147" t="s">
        <v>494</v>
      </c>
    </row>
    <row r="24" spans="1:15" ht="17.25" customHeight="1">
      <c r="A24" s="169" t="s">
        <v>891</v>
      </c>
      <c r="B24" s="166" t="s">
        <v>494</v>
      </c>
      <c r="C24" s="170" t="s">
        <v>892</v>
      </c>
      <c r="D24" s="168" t="s">
        <v>890</v>
      </c>
      <c r="E24" s="168" t="s">
        <v>890</v>
      </c>
      <c r="F24" s="168" t="s">
        <v>890</v>
      </c>
      <c r="G24" s="168">
        <v>26651076900</v>
      </c>
      <c r="H24" s="168">
        <v>52428311203</v>
      </c>
      <c r="I24" s="168">
        <v>68356058786</v>
      </c>
      <c r="J24" s="173">
        <v>78481732951</v>
      </c>
      <c r="K24" s="147" t="s">
        <v>494</v>
      </c>
      <c r="L24" s="148" t="s">
        <v>494</v>
      </c>
      <c r="M24" s="148" t="s">
        <v>494</v>
      </c>
      <c r="N24" s="148" t="s">
        <v>494</v>
      </c>
      <c r="O24" s="147" t="s">
        <v>494</v>
      </c>
    </row>
    <row r="25" spans="1:15" ht="17.25" customHeight="1">
      <c r="A25" s="169" t="s">
        <v>893</v>
      </c>
      <c r="B25" s="166" t="s">
        <v>494</v>
      </c>
      <c r="C25" s="170" t="s">
        <v>894</v>
      </c>
      <c r="D25" s="168" t="s">
        <v>494</v>
      </c>
      <c r="E25" s="168" t="s">
        <v>494</v>
      </c>
      <c r="F25" s="168" t="s">
        <v>494</v>
      </c>
      <c r="G25" s="168" t="s">
        <v>494</v>
      </c>
      <c r="H25" s="168" t="s">
        <v>494</v>
      </c>
      <c r="I25" s="168" t="s">
        <v>494</v>
      </c>
      <c r="J25" s="173">
        <v>30318367056</v>
      </c>
      <c r="K25" s="147" t="s">
        <v>494</v>
      </c>
      <c r="L25" s="148" t="s">
        <v>494</v>
      </c>
      <c r="M25" s="148" t="s">
        <v>494</v>
      </c>
      <c r="N25" s="148" t="s">
        <v>494</v>
      </c>
      <c r="O25" s="147" t="s">
        <v>494</v>
      </c>
    </row>
    <row r="26" spans="1:15" ht="17.25" customHeight="1">
      <c r="A26" s="169" t="s">
        <v>895</v>
      </c>
      <c r="B26" s="166" t="s">
        <v>494</v>
      </c>
      <c r="C26" s="170" t="s">
        <v>896</v>
      </c>
      <c r="D26" s="168" t="s">
        <v>890</v>
      </c>
      <c r="E26" s="168" t="s">
        <v>890</v>
      </c>
      <c r="F26" s="168" t="s">
        <v>890</v>
      </c>
      <c r="G26" s="168" t="s">
        <v>890</v>
      </c>
      <c r="H26" s="168" t="s">
        <v>890</v>
      </c>
      <c r="I26" s="168" t="s">
        <v>890</v>
      </c>
      <c r="J26" s="168" t="s">
        <v>890</v>
      </c>
      <c r="K26" s="147" t="s">
        <v>494</v>
      </c>
      <c r="L26" s="148" t="s">
        <v>494</v>
      </c>
      <c r="M26" s="148" t="s">
        <v>494</v>
      </c>
      <c r="N26" s="148" t="s">
        <v>494</v>
      </c>
      <c r="O26" s="147" t="s">
        <v>494</v>
      </c>
    </row>
    <row r="27" spans="1:15" ht="17.25" customHeight="1">
      <c r="A27" s="169" t="s">
        <v>897</v>
      </c>
      <c r="B27" s="166" t="s">
        <v>494</v>
      </c>
      <c r="C27" s="170" t="s">
        <v>898</v>
      </c>
      <c r="D27" s="168" t="s">
        <v>890</v>
      </c>
      <c r="E27" s="168" t="s">
        <v>890</v>
      </c>
      <c r="F27" s="168" t="s">
        <v>890</v>
      </c>
      <c r="G27" s="168" t="s">
        <v>890</v>
      </c>
      <c r="H27" s="168" t="s">
        <v>890</v>
      </c>
      <c r="I27" s="168">
        <v>48355653</v>
      </c>
      <c r="J27" s="168" t="s">
        <v>494</v>
      </c>
      <c r="K27" s="147" t="s">
        <v>494</v>
      </c>
      <c r="L27" s="148" t="s">
        <v>494</v>
      </c>
      <c r="M27" s="148" t="s">
        <v>494</v>
      </c>
      <c r="N27" s="148" t="s">
        <v>494</v>
      </c>
      <c r="O27" s="147" t="s">
        <v>494</v>
      </c>
    </row>
    <row r="28" spans="1:15" ht="17.25" customHeight="1">
      <c r="A28" s="169" t="s">
        <v>899</v>
      </c>
      <c r="B28" s="166" t="s">
        <v>494</v>
      </c>
      <c r="C28" s="170" t="s">
        <v>900</v>
      </c>
      <c r="D28" s="168" t="s">
        <v>890</v>
      </c>
      <c r="E28" s="168" t="s">
        <v>890</v>
      </c>
      <c r="F28" s="168" t="s">
        <v>890</v>
      </c>
      <c r="G28" s="168" t="s">
        <v>890</v>
      </c>
      <c r="H28" s="168">
        <v>2510014596</v>
      </c>
      <c r="I28" s="168">
        <v>3685324009</v>
      </c>
      <c r="J28" s="173">
        <v>5237085673</v>
      </c>
      <c r="K28" s="147" t="s">
        <v>494</v>
      </c>
      <c r="L28" s="148" t="s">
        <v>494</v>
      </c>
      <c r="M28" s="148" t="s">
        <v>494</v>
      </c>
      <c r="N28" s="148" t="s">
        <v>494</v>
      </c>
      <c r="O28" s="147" t="s">
        <v>494</v>
      </c>
    </row>
    <row r="29" spans="1:15" ht="17.25" customHeight="1">
      <c r="A29" s="169" t="s">
        <v>901</v>
      </c>
      <c r="B29" s="166" t="s">
        <v>494</v>
      </c>
      <c r="C29" s="170" t="s">
        <v>902</v>
      </c>
      <c r="D29" s="168" t="s">
        <v>890</v>
      </c>
      <c r="E29" s="168" t="s">
        <v>890</v>
      </c>
      <c r="F29" s="168" t="s">
        <v>890</v>
      </c>
      <c r="G29" s="168">
        <v>350000000</v>
      </c>
      <c r="H29" s="168">
        <v>600000000</v>
      </c>
      <c r="I29" s="168">
        <v>1190234274</v>
      </c>
      <c r="J29" s="168" t="s">
        <v>494</v>
      </c>
      <c r="K29" s="147" t="s">
        <v>494</v>
      </c>
      <c r="L29" s="148" t="s">
        <v>494</v>
      </c>
      <c r="M29" s="148" t="s">
        <v>494</v>
      </c>
      <c r="N29" s="148" t="s">
        <v>494</v>
      </c>
      <c r="O29" s="147" t="s">
        <v>494</v>
      </c>
    </row>
    <row r="30" spans="1:15" ht="17.25" customHeight="1">
      <c r="A30" s="169" t="s">
        <v>903</v>
      </c>
      <c r="B30" s="166" t="s">
        <v>494</v>
      </c>
      <c r="C30" s="170" t="s">
        <v>904</v>
      </c>
      <c r="D30" s="168" t="s">
        <v>905</v>
      </c>
      <c r="E30" s="168" t="s">
        <v>890</v>
      </c>
      <c r="F30" s="168" t="s">
        <v>890</v>
      </c>
      <c r="G30" s="168" t="s">
        <v>890</v>
      </c>
      <c r="H30" s="168">
        <v>1071284996</v>
      </c>
      <c r="I30" s="168">
        <v>596040634</v>
      </c>
      <c r="J30" s="173">
        <v>819485447</v>
      </c>
      <c r="K30" s="147" t="s">
        <v>494</v>
      </c>
      <c r="L30" s="148" t="s">
        <v>494</v>
      </c>
      <c r="M30" s="148" t="s">
        <v>494</v>
      </c>
      <c r="N30" s="148" t="s">
        <v>494</v>
      </c>
      <c r="O30" s="147" t="s">
        <v>494</v>
      </c>
    </row>
    <row r="31" spans="1:15" ht="17.25" customHeight="1">
      <c r="A31" s="169" t="s">
        <v>906</v>
      </c>
      <c r="B31" s="166" t="s">
        <v>494</v>
      </c>
      <c r="C31" s="170" t="s">
        <v>907</v>
      </c>
      <c r="D31" s="168" t="s">
        <v>890</v>
      </c>
      <c r="E31" s="168" t="s">
        <v>890</v>
      </c>
      <c r="F31" s="168" t="s">
        <v>890</v>
      </c>
      <c r="G31" s="168">
        <v>897363419</v>
      </c>
      <c r="H31" s="168">
        <v>11433931715</v>
      </c>
      <c r="I31" s="168">
        <v>1724058742</v>
      </c>
      <c r="J31" s="173">
        <v>3065132766</v>
      </c>
      <c r="K31" s="147" t="s">
        <v>494</v>
      </c>
      <c r="L31" s="148" t="s">
        <v>494</v>
      </c>
      <c r="M31" s="148" t="s">
        <v>494</v>
      </c>
      <c r="N31" s="148" t="s">
        <v>494</v>
      </c>
      <c r="O31" s="147" t="s">
        <v>494</v>
      </c>
    </row>
    <row r="32" spans="1:15" ht="17.25" customHeight="1">
      <c r="A32" s="169" t="s">
        <v>908</v>
      </c>
      <c r="B32" s="166" t="s">
        <v>494</v>
      </c>
      <c r="C32" s="170" t="s">
        <v>909</v>
      </c>
      <c r="D32" s="168" t="s">
        <v>890</v>
      </c>
      <c r="E32" s="168" t="s">
        <v>890</v>
      </c>
      <c r="F32" s="168" t="s">
        <v>890</v>
      </c>
      <c r="G32" s="168" t="s">
        <v>890</v>
      </c>
      <c r="H32" s="168" t="s">
        <v>890</v>
      </c>
      <c r="I32" s="168" t="s">
        <v>890</v>
      </c>
      <c r="J32" s="168" t="s">
        <v>890</v>
      </c>
      <c r="K32" s="147" t="s">
        <v>494</v>
      </c>
      <c r="L32" s="148" t="s">
        <v>494</v>
      </c>
      <c r="M32" s="148" t="s">
        <v>494</v>
      </c>
      <c r="N32" s="148" t="s">
        <v>494</v>
      </c>
      <c r="O32" s="147" t="s">
        <v>494</v>
      </c>
    </row>
    <row r="33" spans="1:15" ht="17.25" customHeight="1">
      <c r="A33" s="169" t="s">
        <v>910</v>
      </c>
      <c r="B33" s="166" t="s">
        <v>494</v>
      </c>
      <c r="C33" s="170" t="s">
        <v>911</v>
      </c>
      <c r="D33" s="168" t="s">
        <v>494</v>
      </c>
      <c r="E33" s="168" t="s">
        <v>494</v>
      </c>
      <c r="F33" s="168" t="s">
        <v>494</v>
      </c>
      <c r="G33" s="168" t="s">
        <v>494</v>
      </c>
      <c r="H33" s="168" t="s">
        <v>494</v>
      </c>
      <c r="I33" s="168" t="s">
        <v>494</v>
      </c>
      <c r="J33" s="173">
        <v>2593762500000</v>
      </c>
      <c r="K33" s="147" t="s">
        <v>494</v>
      </c>
      <c r="L33" s="148" t="s">
        <v>494</v>
      </c>
      <c r="M33" s="148" t="s">
        <v>494</v>
      </c>
      <c r="N33" s="148" t="s">
        <v>494</v>
      </c>
      <c r="O33" s="147" t="s">
        <v>494</v>
      </c>
    </row>
    <row r="34" spans="1:15" ht="17.25" customHeight="1">
      <c r="A34" s="169" t="s">
        <v>912</v>
      </c>
      <c r="B34" s="166" t="s">
        <v>494</v>
      </c>
      <c r="C34" s="170" t="s">
        <v>913</v>
      </c>
      <c r="D34" s="168" t="s">
        <v>494</v>
      </c>
      <c r="E34" s="168" t="s">
        <v>494</v>
      </c>
      <c r="F34" s="168" t="s">
        <v>494</v>
      </c>
      <c r="G34" s="168" t="s">
        <v>494</v>
      </c>
      <c r="H34" s="168" t="s">
        <v>494</v>
      </c>
      <c r="I34" s="168" t="s">
        <v>494</v>
      </c>
      <c r="J34" s="168" t="s">
        <v>890</v>
      </c>
      <c r="K34" s="147" t="s">
        <v>494</v>
      </c>
      <c r="L34" s="148" t="s">
        <v>494</v>
      </c>
      <c r="M34" s="148" t="s">
        <v>494</v>
      </c>
      <c r="N34" s="148" t="s">
        <v>494</v>
      </c>
      <c r="O34" s="147" t="s">
        <v>494</v>
      </c>
    </row>
    <row r="35" spans="1:15" ht="17.25" customHeight="1">
      <c r="A35" s="169" t="s">
        <v>914</v>
      </c>
      <c r="B35" s="166" t="s">
        <v>494</v>
      </c>
      <c r="C35" s="170" t="s">
        <v>915</v>
      </c>
      <c r="D35" s="168" t="s">
        <v>494</v>
      </c>
      <c r="E35" s="168" t="s">
        <v>494</v>
      </c>
      <c r="F35" s="168" t="s">
        <v>494</v>
      </c>
      <c r="G35" s="168" t="s">
        <v>494</v>
      </c>
      <c r="H35" s="168" t="s">
        <v>494</v>
      </c>
      <c r="I35" s="168" t="s">
        <v>494</v>
      </c>
      <c r="J35" s="173">
        <v>1699678128</v>
      </c>
      <c r="K35" s="147" t="s">
        <v>494</v>
      </c>
      <c r="L35" s="148" t="s">
        <v>494</v>
      </c>
      <c r="M35" s="148" t="s">
        <v>494</v>
      </c>
      <c r="N35" s="148" t="s">
        <v>494</v>
      </c>
      <c r="O35" s="147" t="s">
        <v>494</v>
      </c>
    </row>
    <row r="36" spans="1:15" ht="17.25" customHeight="1">
      <c r="A36" s="169" t="s">
        <v>916</v>
      </c>
      <c r="B36" s="166" t="s">
        <v>494</v>
      </c>
      <c r="C36" s="170" t="s">
        <v>917</v>
      </c>
      <c r="D36" s="168" t="s">
        <v>890</v>
      </c>
      <c r="E36" s="168" t="s">
        <v>890</v>
      </c>
      <c r="F36" s="168" t="s">
        <v>890</v>
      </c>
      <c r="G36" s="168" t="s">
        <v>890</v>
      </c>
      <c r="H36" s="168">
        <v>959039204</v>
      </c>
      <c r="I36" s="168" t="s">
        <v>890</v>
      </c>
      <c r="J36" s="168" t="s">
        <v>890</v>
      </c>
      <c r="K36" s="147" t="s">
        <v>494</v>
      </c>
      <c r="L36" s="148" t="s">
        <v>494</v>
      </c>
      <c r="M36" s="148" t="s">
        <v>494</v>
      </c>
      <c r="N36" s="148" t="s">
        <v>494</v>
      </c>
      <c r="O36" s="147" t="s">
        <v>494</v>
      </c>
    </row>
    <row r="37" spans="1:15" ht="17.25" customHeight="1">
      <c r="A37" s="169" t="s">
        <v>918</v>
      </c>
      <c r="B37" s="166" t="s">
        <v>494</v>
      </c>
      <c r="C37" s="170" t="s">
        <v>919</v>
      </c>
      <c r="D37" s="168" t="s">
        <v>890</v>
      </c>
      <c r="E37" s="168" t="s">
        <v>890</v>
      </c>
      <c r="F37" s="168" t="s">
        <v>890</v>
      </c>
      <c r="G37" s="168" t="s">
        <v>890</v>
      </c>
      <c r="H37" s="168">
        <v>16190010784</v>
      </c>
      <c r="I37" s="168">
        <v>75301278218</v>
      </c>
      <c r="J37" s="173">
        <v>104501617428</v>
      </c>
      <c r="K37" s="147" t="s">
        <v>494</v>
      </c>
      <c r="L37" s="148" t="s">
        <v>494</v>
      </c>
      <c r="M37" s="148" t="s">
        <v>494</v>
      </c>
      <c r="N37" s="148" t="s">
        <v>494</v>
      </c>
      <c r="O37" s="147" t="s">
        <v>494</v>
      </c>
    </row>
    <row r="38" spans="1:15" ht="17.25" customHeight="1">
      <c r="A38" s="169" t="s">
        <v>920</v>
      </c>
      <c r="B38" s="166" t="s">
        <v>494</v>
      </c>
      <c r="C38" s="170" t="s">
        <v>921</v>
      </c>
      <c r="D38" s="168" t="s">
        <v>890</v>
      </c>
      <c r="E38" s="168" t="s">
        <v>890</v>
      </c>
      <c r="F38" s="168" t="s">
        <v>890</v>
      </c>
      <c r="G38" s="168" t="s">
        <v>890</v>
      </c>
      <c r="H38" s="168">
        <v>194876857906</v>
      </c>
      <c r="I38" s="168">
        <v>285161655904</v>
      </c>
      <c r="J38" s="173">
        <v>220771070185</v>
      </c>
      <c r="K38" s="147" t="s">
        <v>494</v>
      </c>
      <c r="L38" s="148" t="s">
        <v>494</v>
      </c>
      <c r="M38" s="148" t="s">
        <v>494</v>
      </c>
      <c r="N38" s="148" t="s">
        <v>494</v>
      </c>
      <c r="O38" s="147" t="s">
        <v>494</v>
      </c>
    </row>
    <row r="39" spans="1:15" ht="17.25" customHeight="1">
      <c r="A39" s="169" t="s">
        <v>922</v>
      </c>
      <c r="B39" s="166" t="s">
        <v>494</v>
      </c>
      <c r="C39" s="170" t="s">
        <v>923</v>
      </c>
      <c r="D39" s="168" t="s">
        <v>890</v>
      </c>
      <c r="E39" s="168" t="s">
        <v>890</v>
      </c>
      <c r="F39" s="168" t="s">
        <v>890</v>
      </c>
      <c r="G39" s="168">
        <v>69862253476</v>
      </c>
      <c r="H39" s="168">
        <v>52205363844</v>
      </c>
      <c r="I39" s="168">
        <v>25065061602</v>
      </c>
      <c r="J39" s="168" t="s">
        <v>890</v>
      </c>
      <c r="K39" s="147" t="s">
        <v>494</v>
      </c>
      <c r="L39" s="148" t="s">
        <v>494</v>
      </c>
      <c r="M39" s="148" t="s">
        <v>494</v>
      </c>
      <c r="N39" s="148" t="s">
        <v>494</v>
      </c>
      <c r="O39" s="147" t="s">
        <v>494</v>
      </c>
    </row>
    <row r="40" spans="1:15" ht="17.25" customHeight="1">
      <c r="A40" s="143" t="s">
        <v>494</v>
      </c>
      <c r="B40" s="166" t="s">
        <v>494</v>
      </c>
      <c r="C40" s="171" t="s">
        <v>924</v>
      </c>
      <c r="D40" s="172">
        <v>29543793872</v>
      </c>
      <c r="E40" s="172">
        <v>26842628316</v>
      </c>
      <c r="F40" s="172">
        <v>7221470276</v>
      </c>
      <c r="G40" s="172">
        <v>109720830731</v>
      </c>
      <c r="H40" s="172">
        <v>371265060744</v>
      </c>
      <c r="I40" s="172">
        <v>498263163862</v>
      </c>
      <c r="J40" s="172">
        <v>3135965271958</v>
      </c>
      <c r="K40" s="147" t="s">
        <v>494</v>
      </c>
      <c r="L40" s="148" t="s">
        <v>494</v>
      </c>
      <c r="M40" s="148" t="s">
        <v>494</v>
      </c>
      <c r="N40" s="148" t="s">
        <v>494</v>
      </c>
      <c r="O40" s="147" t="s">
        <v>494</v>
      </c>
    </row>
    <row r="41" spans="1:15" ht="17.25" customHeight="1">
      <c r="A41" s="143" t="s">
        <v>494</v>
      </c>
      <c r="B41" s="166" t="s">
        <v>494</v>
      </c>
      <c r="C41" s="170" t="s">
        <v>494</v>
      </c>
      <c r="D41" s="168" t="s">
        <v>494</v>
      </c>
      <c r="E41" s="168" t="s">
        <v>494</v>
      </c>
      <c r="F41" s="168" t="s">
        <v>494</v>
      </c>
      <c r="G41" s="168" t="s">
        <v>494</v>
      </c>
      <c r="H41" s="168" t="s">
        <v>494</v>
      </c>
      <c r="I41" s="168" t="s">
        <v>494</v>
      </c>
      <c r="J41" s="168" t="s">
        <v>494</v>
      </c>
      <c r="K41" s="147" t="s">
        <v>494</v>
      </c>
      <c r="L41" s="148" t="s">
        <v>494</v>
      </c>
      <c r="M41" s="148" t="s">
        <v>494</v>
      </c>
      <c r="N41" s="148" t="s">
        <v>494</v>
      </c>
      <c r="O41" s="147" t="s">
        <v>494</v>
      </c>
    </row>
    <row r="42" spans="1:15" ht="17.25" customHeight="1">
      <c r="A42" s="143" t="s">
        <v>494</v>
      </c>
      <c r="B42" s="166" t="s">
        <v>494</v>
      </c>
      <c r="C42" s="171" t="s">
        <v>925</v>
      </c>
      <c r="D42" s="172">
        <v>289816443459</v>
      </c>
      <c r="E42" s="172">
        <v>316026282173</v>
      </c>
      <c r="F42" s="172">
        <v>241675465159</v>
      </c>
      <c r="G42" s="172">
        <v>322782948252</v>
      </c>
      <c r="H42" s="172">
        <v>657487651938</v>
      </c>
      <c r="I42" s="172">
        <v>885213811783</v>
      </c>
      <c r="J42" s="172">
        <v>3565117154694</v>
      </c>
      <c r="K42" s="147" t="s">
        <v>494</v>
      </c>
      <c r="L42" s="148" t="s">
        <v>494</v>
      </c>
      <c r="M42" s="148" t="s">
        <v>494</v>
      </c>
      <c r="N42" s="148" t="s">
        <v>494</v>
      </c>
      <c r="O42" s="147" t="s">
        <v>494</v>
      </c>
    </row>
    <row r="43" spans="1:15" ht="17.25" customHeight="1">
      <c r="A43" s="143" t="s">
        <v>494</v>
      </c>
      <c r="B43" s="166" t="s">
        <v>494</v>
      </c>
      <c r="C43" s="159" t="s">
        <v>494</v>
      </c>
      <c r="D43" s="161" t="s">
        <v>494</v>
      </c>
      <c r="E43" s="161" t="s">
        <v>494</v>
      </c>
      <c r="F43" s="161" t="s">
        <v>494</v>
      </c>
      <c r="G43" s="161" t="s">
        <v>494</v>
      </c>
      <c r="H43" s="161" t="s">
        <v>494</v>
      </c>
      <c r="I43" s="161" t="s">
        <v>494</v>
      </c>
      <c r="J43" s="161" t="s">
        <v>494</v>
      </c>
      <c r="K43" s="147" t="s">
        <v>494</v>
      </c>
      <c r="L43" s="148" t="s">
        <v>494</v>
      </c>
      <c r="M43" s="148" t="s">
        <v>494</v>
      </c>
      <c r="N43" s="148" t="s">
        <v>494</v>
      </c>
      <c r="O43" s="147" t="s">
        <v>494</v>
      </c>
    </row>
    <row r="44" spans="1:15" ht="17.25" customHeight="1">
      <c r="A44" s="169" t="s">
        <v>926</v>
      </c>
      <c r="B44" s="166" t="s">
        <v>494</v>
      </c>
      <c r="C44" s="170" t="s">
        <v>927</v>
      </c>
      <c r="D44" s="168" t="s">
        <v>890</v>
      </c>
      <c r="E44" s="168" t="s">
        <v>890</v>
      </c>
      <c r="F44" s="168" t="s">
        <v>890</v>
      </c>
      <c r="G44" s="168" t="s">
        <v>890</v>
      </c>
      <c r="H44" s="168">
        <v>209289112225</v>
      </c>
      <c r="I44" s="168">
        <v>311323528882</v>
      </c>
      <c r="J44" s="173">
        <v>427652339696</v>
      </c>
      <c r="K44" s="147" t="s">
        <v>494</v>
      </c>
      <c r="L44" s="148" t="s">
        <v>494</v>
      </c>
      <c r="M44" s="148" t="s">
        <v>494</v>
      </c>
      <c r="N44" s="148" t="s">
        <v>494</v>
      </c>
      <c r="O44" s="147" t="s">
        <v>494</v>
      </c>
    </row>
    <row r="45" spans="1:15" ht="17.25" customHeight="1">
      <c r="A45" s="169" t="s">
        <v>928</v>
      </c>
      <c r="B45" s="166" t="s">
        <v>494</v>
      </c>
      <c r="C45" s="170" t="s">
        <v>929</v>
      </c>
      <c r="D45" s="168" t="s">
        <v>890</v>
      </c>
      <c r="E45" s="168" t="s">
        <v>890</v>
      </c>
      <c r="F45" s="168" t="s">
        <v>890</v>
      </c>
      <c r="G45" s="168">
        <v>216404713145</v>
      </c>
      <c r="H45" s="168">
        <v>43039168422</v>
      </c>
      <c r="I45" s="168">
        <v>84204781525</v>
      </c>
      <c r="J45" s="168" t="s">
        <v>890</v>
      </c>
      <c r="K45" s="147" t="s">
        <v>494</v>
      </c>
      <c r="L45" s="148" t="s">
        <v>494</v>
      </c>
      <c r="M45" s="148" t="s">
        <v>494</v>
      </c>
      <c r="N45" s="148" t="s">
        <v>494</v>
      </c>
      <c r="O45" s="147" t="s">
        <v>494</v>
      </c>
    </row>
    <row r="46" spans="1:15" ht="17.25" customHeight="1">
      <c r="A46" s="169" t="s">
        <v>930</v>
      </c>
      <c r="B46" s="166" t="s">
        <v>494</v>
      </c>
      <c r="C46" s="170" t="s">
        <v>931</v>
      </c>
      <c r="D46" s="168" t="s">
        <v>890</v>
      </c>
      <c r="E46" s="168" t="s">
        <v>890</v>
      </c>
      <c r="F46" s="168" t="s">
        <v>890</v>
      </c>
      <c r="G46" s="168">
        <v>289155139</v>
      </c>
      <c r="H46" s="168">
        <v>31552072981</v>
      </c>
      <c r="I46" s="168">
        <v>17918366707</v>
      </c>
      <c r="J46" s="173">
        <v>62115720424</v>
      </c>
      <c r="K46" s="147" t="s">
        <v>494</v>
      </c>
      <c r="L46" s="148" t="s">
        <v>494</v>
      </c>
      <c r="M46" s="148" t="s">
        <v>494</v>
      </c>
      <c r="N46" s="148" t="s">
        <v>494</v>
      </c>
      <c r="O46" s="147" t="s">
        <v>494</v>
      </c>
    </row>
    <row r="47" spans="1:15" ht="17.25" customHeight="1">
      <c r="A47" s="169" t="s">
        <v>932</v>
      </c>
      <c r="B47" s="166" t="s">
        <v>494</v>
      </c>
      <c r="C47" s="170" t="s">
        <v>933</v>
      </c>
      <c r="D47" s="168" t="s">
        <v>494</v>
      </c>
      <c r="E47" s="168" t="s">
        <v>494</v>
      </c>
      <c r="F47" s="168" t="s">
        <v>494</v>
      </c>
      <c r="G47" s="168" t="s">
        <v>494</v>
      </c>
      <c r="H47" s="168" t="s">
        <v>494</v>
      </c>
      <c r="I47" s="168" t="s">
        <v>494</v>
      </c>
      <c r="J47" s="173">
        <v>67274538020</v>
      </c>
      <c r="K47" s="147" t="s">
        <v>494</v>
      </c>
      <c r="L47" s="148" t="s">
        <v>494</v>
      </c>
      <c r="M47" s="148" t="s">
        <v>494</v>
      </c>
      <c r="N47" s="148" t="s">
        <v>494</v>
      </c>
      <c r="O47" s="147" t="s">
        <v>494</v>
      </c>
    </row>
    <row r="48" spans="1:15" ht="17.25" customHeight="1">
      <c r="A48" s="169" t="s">
        <v>934</v>
      </c>
      <c r="B48" s="166" t="s">
        <v>494</v>
      </c>
      <c r="C48" s="170" t="s">
        <v>935</v>
      </c>
      <c r="D48" s="168" t="s">
        <v>494</v>
      </c>
      <c r="E48" s="168" t="s">
        <v>494</v>
      </c>
      <c r="F48" s="168" t="s">
        <v>494</v>
      </c>
      <c r="G48" s="168" t="s">
        <v>494</v>
      </c>
      <c r="H48" s="168" t="s">
        <v>494</v>
      </c>
      <c r="I48" s="168" t="s">
        <v>494</v>
      </c>
      <c r="J48" s="173">
        <v>41535935402</v>
      </c>
      <c r="K48" s="147" t="s">
        <v>494</v>
      </c>
      <c r="L48" s="148" t="s">
        <v>494</v>
      </c>
      <c r="M48" s="148" t="s">
        <v>494</v>
      </c>
      <c r="N48" s="148" t="s">
        <v>494</v>
      </c>
      <c r="O48" s="147" t="s">
        <v>494</v>
      </c>
    </row>
    <row r="49" spans="1:15" ht="17.25" customHeight="1">
      <c r="A49" s="169" t="s">
        <v>936</v>
      </c>
      <c r="B49" s="166" t="s">
        <v>494</v>
      </c>
      <c r="C49" s="170" t="s">
        <v>937</v>
      </c>
      <c r="D49" s="168" t="s">
        <v>890</v>
      </c>
      <c r="E49" s="168" t="s">
        <v>890</v>
      </c>
      <c r="F49" s="168" t="s">
        <v>890</v>
      </c>
      <c r="G49" s="168" t="s">
        <v>890</v>
      </c>
      <c r="H49" s="168">
        <v>19374800057</v>
      </c>
      <c r="I49" s="168">
        <v>43478861348</v>
      </c>
      <c r="J49" s="173">
        <v>55140301161</v>
      </c>
      <c r="K49" s="147" t="s">
        <v>494</v>
      </c>
      <c r="L49" s="148" t="s">
        <v>494</v>
      </c>
      <c r="M49" s="148" t="s">
        <v>494</v>
      </c>
      <c r="N49" s="148" t="s">
        <v>494</v>
      </c>
      <c r="O49" s="147" t="s">
        <v>494</v>
      </c>
    </row>
    <row r="50" spans="1:15" ht="17.25" customHeight="1">
      <c r="A50" s="169" t="s">
        <v>938</v>
      </c>
      <c r="B50" s="166" t="s">
        <v>494</v>
      </c>
      <c r="C50" s="170" t="s">
        <v>939</v>
      </c>
      <c r="D50" s="168" t="s">
        <v>890</v>
      </c>
      <c r="E50" s="168" t="s">
        <v>890</v>
      </c>
      <c r="F50" s="168" t="s">
        <v>890</v>
      </c>
      <c r="G50" s="168">
        <v>25615283126</v>
      </c>
      <c r="H50" s="168">
        <v>50471513305</v>
      </c>
      <c r="I50" s="168">
        <v>66595632631</v>
      </c>
      <c r="J50" s="173">
        <v>76496154773</v>
      </c>
      <c r="K50" s="147" t="s">
        <v>494</v>
      </c>
      <c r="L50" s="148" t="s">
        <v>494</v>
      </c>
      <c r="M50" s="148" t="s">
        <v>494</v>
      </c>
      <c r="N50" s="148" t="s">
        <v>494</v>
      </c>
      <c r="O50" s="147" t="s">
        <v>494</v>
      </c>
    </row>
    <row r="51" spans="1:15" ht="17.25" customHeight="1">
      <c r="A51" s="169" t="s">
        <v>940</v>
      </c>
      <c r="B51" s="166" t="s">
        <v>494</v>
      </c>
      <c r="C51" s="170" t="s">
        <v>941</v>
      </c>
      <c r="D51" s="168" t="s">
        <v>890</v>
      </c>
      <c r="E51" s="168" t="s">
        <v>890</v>
      </c>
      <c r="F51" s="168" t="s">
        <v>890</v>
      </c>
      <c r="G51" s="168" t="s">
        <v>890</v>
      </c>
      <c r="H51" s="168" t="s">
        <v>890</v>
      </c>
      <c r="I51" s="168" t="s">
        <v>890</v>
      </c>
      <c r="J51" s="168" t="s">
        <v>890</v>
      </c>
      <c r="K51" s="147" t="s">
        <v>494</v>
      </c>
      <c r="L51" s="148" t="s">
        <v>494</v>
      </c>
      <c r="M51" s="148" t="s">
        <v>494</v>
      </c>
      <c r="N51" s="148" t="s">
        <v>494</v>
      </c>
      <c r="O51" s="147" t="s">
        <v>494</v>
      </c>
    </row>
    <row r="52" spans="1:15" ht="17.25" customHeight="1">
      <c r="A52" s="169" t="s">
        <v>942</v>
      </c>
      <c r="B52" s="166" t="s">
        <v>494</v>
      </c>
      <c r="C52" s="170" t="s">
        <v>943</v>
      </c>
      <c r="D52" s="168" t="s">
        <v>890</v>
      </c>
      <c r="E52" s="168" t="s">
        <v>890</v>
      </c>
      <c r="F52" s="168" t="s">
        <v>890</v>
      </c>
      <c r="G52" s="168" t="s">
        <v>890</v>
      </c>
      <c r="H52" s="168" t="s">
        <v>890</v>
      </c>
      <c r="I52" s="168" t="s">
        <v>890</v>
      </c>
      <c r="J52" s="168" t="s">
        <v>890</v>
      </c>
      <c r="K52" s="147" t="s">
        <v>494</v>
      </c>
      <c r="L52" s="148" t="s">
        <v>494</v>
      </c>
      <c r="M52" s="148" t="s">
        <v>494</v>
      </c>
      <c r="N52" s="148" t="s">
        <v>494</v>
      </c>
      <c r="O52" s="147" t="s">
        <v>494</v>
      </c>
    </row>
    <row r="53" spans="1:15" ht="17.25" customHeight="1">
      <c r="A53" s="169" t="s">
        <v>944</v>
      </c>
      <c r="B53" s="166" t="s">
        <v>494</v>
      </c>
      <c r="C53" s="170" t="s">
        <v>945</v>
      </c>
      <c r="D53" s="168" t="s">
        <v>890</v>
      </c>
      <c r="E53" s="168" t="s">
        <v>890</v>
      </c>
      <c r="F53" s="168" t="s">
        <v>890</v>
      </c>
      <c r="G53" s="168" t="s">
        <v>890</v>
      </c>
      <c r="H53" s="168">
        <v>4104499987</v>
      </c>
      <c r="I53" s="168">
        <v>3310179685</v>
      </c>
      <c r="J53" s="173">
        <v>4872710624</v>
      </c>
      <c r="K53" s="147" t="s">
        <v>494</v>
      </c>
      <c r="L53" s="148" t="s">
        <v>494</v>
      </c>
      <c r="M53" s="148" t="s">
        <v>494</v>
      </c>
      <c r="N53" s="148" t="s">
        <v>494</v>
      </c>
      <c r="O53" s="147" t="s">
        <v>494</v>
      </c>
    </row>
    <row r="54" spans="1:15" ht="17.25" customHeight="1">
      <c r="A54" s="169" t="s">
        <v>946</v>
      </c>
      <c r="B54" s="166" t="s">
        <v>494</v>
      </c>
      <c r="C54" s="170" t="s">
        <v>947</v>
      </c>
      <c r="D54" s="168" t="s">
        <v>890</v>
      </c>
      <c r="E54" s="168" t="s">
        <v>890</v>
      </c>
      <c r="F54" s="168" t="s">
        <v>890</v>
      </c>
      <c r="G54" s="168" t="s">
        <v>890</v>
      </c>
      <c r="H54" s="168" t="s">
        <v>890</v>
      </c>
      <c r="I54" s="168">
        <v>5938006248</v>
      </c>
      <c r="J54" s="173">
        <v>3205314596</v>
      </c>
      <c r="K54" s="147" t="s">
        <v>494</v>
      </c>
      <c r="L54" s="148" t="s">
        <v>494</v>
      </c>
      <c r="M54" s="148" t="s">
        <v>494</v>
      </c>
      <c r="N54" s="148" t="s">
        <v>494</v>
      </c>
      <c r="O54" s="147" t="s">
        <v>494</v>
      </c>
    </row>
    <row r="55" spans="1:15" ht="17.25" customHeight="1">
      <c r="A55" s="169" t="s">
        <v>494</v>
      </c>
      <c r="B55" s="166" t="s">
        <v>494</v>
      </c>
      <c r="C55" s="170" t="s">
        <v>948</v>
      </c>
      <c r="D55" s="168" t="s">
        <v>494</v>
      </c>
      <c r="E55" s="168" t="s">
        <v>494</v>
      </c>
      <c r="F55" s="168" t="s">
        <v>494</v>
      </c>
      <c r="G55" s="168" t="s">
        <v>494</v>
      </c>
      <c r="H55" s="168" t="s">
        <v>494</v>
      </c>
      <c r="I55" s="168">
        <v>128544940920</v>
      </c>
      <c r="J55" s="173">
        <v>218078987293</v>
      </c>
      <c r="K55" s="147" t="s">
        <v>494</v>
      </c>
      <c r="L55" s="148" t="s">
        <v>494</v>
      </c>
      <c r="M55" s="148" t="s">
        <v>494</v>
      </c>
      <c r="N55" s="148" t="s">
        <v>494</v>
      </c>
      <c r="O55" s="147" t="s">
        <v>494</v>
      </c>
    </row>
    <row r="56" spans="1:15" ht="17.25" customHeight="1">
      <c r="A56" s="169" t="s">
        <v>494</v>
      </c>
      <c r="B56" s="166" t="s">
        <v>494</v>
      </c>
      <c r="C56" s="171" t="s">
        <v>949</v>
      </c>
      <c r="D56" s="172" t="s">
        <v>890</v>
      </c>
      <c r="E56" s="172" t="s">
        <v>890</v>
      </c>
      <c r="F56" s="172" t="s">
        <v>890</v>
      </c>
      <c r="G56" s="172">
        <v>242309151410</v>
      </c>
      <c r="H56" s="172">
        <v>357831166977</v>
      </c>
      <c r="I56" s="172">
        <v>661314297946</v>
      </c>
      <c r="J56" s="172">
        <v>956372001988</v>
      </c>
      <c r="K56" s="147" t="s">
        <v>494</v>
      </c>
      <c r="L56" s="148" t="s">
        <v>494</v>
      </c>
      <c r="M56" s="148" t="s">
        <v>494</v>
      </c>
      <c r="N56" s="148" t="s">
        <v>494</v>
      </c>
      <c r="O56" s="147" t="s">
        <v>494</v>
      </c>
    </row>
    <row r="57" spans="1:15" ht="17.25" customHeight="1">
      <c r="A57" s="143" t="s">
        <v>494</v>
      </c>
      <c r="B57" s="166" t="s">
        <v>494</v>
      </c>
      <c r="C57" s="159" t="s">
        <v>494</v>
      </c>
      <c r="D57" s="161" t="s">
        <v>494</v>
      </c>
      <c r="E57" s="161" t="s">
        <v>494</v>
      </c>
      <c r="F57" s="161" t="s">
        <v>494</v>
      </c>
      <c r="G57" s="161" t="s">
        <v>494</v>
      </c>
      <c r="H57" s="161" t="s">
        <v>494</v>
      </c>
      <c r="I57" s="161" t="s">
        <v>494</v>
      </c>
      <c r="J57" s="161" t="s">
        <v>494</v>
      </c>
      <c r="K57" s="147" t="s">
        <v>494</v>
      </c>
      <c r="L57" s="148" t="s">
        <v>494</v>
      </c>
      <c r="M57" s="148" t="s">
        <v>494</v>
      </c>
      <c r="N57" s="148" t="s">
        <v>494</v>
      </c>
      <c r="O57" s="147" t="s">
        <v>494</v>
      </c>
    </row>
    <row r="58" spans="1:15" ht="17.25" customHeight="1">
      <c r="A58" s="143" t="s">
        <v>494</v>
      </c>
      <c r="B58" s="166" t="s">
        <v>494</v>
      </c>
      <c r="C58" s="171" t="s">
        <v>950</v>
      </c>
      <c r="D58" s="172">
        <v>289816443459</v>
      </c>
      <c r="E58" s="172">
        <v>316026282173</v>
      </c>
      <c r="F58" s="172">
        <v>241675465159</v>
      </c>
      <c r="G58" s="172">
        <v>80473796842</v>
      </c>
      <c r="H58" s="172">
        <v>299656484961</v>
      </c>
      <c r="I58" s="172">
        <v>223899513837</v>
      </c>
      <c r="J58" s="172">
        <v>2608745152706</v>
      </c>
      <c r="K58" s="147" t="s">
        <v>494</v>
      </c>
      <c r="L58" s="148" t="s">
        <v>494</v>
      </c>
      <c r="M58" s="148" t="s">
        <v>494</v>
      </c>
      <c r="N58" s="148" t="s">
        <v>494</v>
      </c>
      <c r="O58" s="147" t="s">
        <v>494</v>
      </c>
    </row>
    <row r="59" spans="1:15" ht="17.25" customHeight="1">
      <c r="A59" s="143" t="s">
        <v>494</v>
      </c>
      <c r="B59" s="166" t="s">
        <v>494</v>
      </c>
      <c r="C59" s="159" t="s">
        <v>494</v>
      </c>
      <c r="D59" s="168" t="s">
        <v>494</v>
      </c>
      <c r="E59" s="168" t="s">
        <v>494</v>
      </c>
      <c r="F59" s="168" t="s">
        <v>494</v>
      </c>
      <c r="G59" s="168" t="s">
        <v>494</v>
      </c>
      <c r="H59" s="168" t="s">
        <v>494</v>
      </c>
      <c r="I59" s="168" t="s">
        <v>494</v>
      </c>
      <c r="J59" s="168" t="s">
        <v>494</v>
      </c>
      <c r="K59" s="147" t="s">
        <v>494</v>
      </c>
      <c r="L59" s="148" t="s">
        <v>494</v>
      </c>
      <c r="M59" s="148" t="s">
        <v>494</v>
      </c>
      <c r="N59" s="148" t="s">
        <v>494</v>
      </c>
      <c r="O59" s="147" t="s">
        <v>494</v>
      </c>
    </row>
    <row r="60" spans="1:15" ht="17.25" customHeight="1">
      <c r="A60" s="143" t="s">
        <v>494</v>
      </c>
      <c r="B60" s="166" t="s">
        <v>494</v>
      </c>
      <c r="C60" s="171" t="s">
        <v>951</v>
      </c>
      <c r="D60" s="172">
        <v>201763954920</v>
      </c>
      <c r="E60" s="172">
        <v>232558258002</v>
      </c>
      <c r="F60" s="172">
        <v>217863587524</v>
      </c>
      <c r="G60" s="172">
        <v>234405755433</v>
      </c>
      <c r="H60" s="172">
        <v>319283729608</v>
      </c>
      <c r="I60" s="172">
        <v>305165278465</v>
      </c>
      <c r="J60" s="172">
        <v>545744859628</v>
      </c>
      <c r="K60" s="147" t="s">
        <v>494</v>
      </c>
      <c r="L60" s="148" t="s">
        <v>494</v>
      </c>
      <c r="M60" s="148" t="s">
        <v>494</v>
      </c>
      <c r="N60" s="148" t="s">
        <v>494</v>
      </c>
      <c r="O60" s="147" t="s">
        <v>494</v>
      </c>
    </row>
    <row r="61" spans="1:15" ht="17.25" customHeight="1">
      <c r="A61" s="143" t="s">
        <v>494</v>
      </c>
      <c r="B61" s="166" t="s">
        <v>494</v>
      </c>
      <c r="C61" s="159" t="s">
        <v>494</v>
      </c>
      <c r="D61" s="168" t="s">
        <v>494</v>
      </c>
      <c r="E61" s="168" t="s">
        <v>494</v>
      </c>
      <c r="F61" s="168" t="s">
        <v>494</v>
      </c>
      <c r="G61" s="168" t="s">
        <v>494</v>
      </c>
      <c r="H61" s="168" t="s">
        <v>494</v>
      </c>
      <c r="I61" s="168" t="s">
        <v>494</v>
      </c>
      <c r="J61" s="168" t="s">
        <v>494</v>
      </c>
      <c r="K61" s="147" t="s">
        <v>494</v>
      </c>
      <c r="L61" s="148" t="s">
        <v>494</v>
      </c>
      <c r="M61" s="148" t="s">
        <v>494</v>
      </c>
      <c r="N61" s="148" t="s">
        <v>494</v>
      </c>
      <c r="O61" s="147" t="s">
        <v>494</v>
      </c>
    </row>
    <row r="62" spans="1:15" ht="17.25" customHeight="1">
      <c r="A62" s="143" t="s">
        <v>494</v>
      </c>
      <c r="B62" s="166" t="s">
        <v>494</v>
      </c>
      <c r="C62" s="171" t="s">
        <v>952</v>
      </c>
      <c r="D62" s="172">
        <v>88052488539</v>
      </c>
      <c r="E62" s="172">
        <v>83468024171</v>
      </c>
      <c r="F62" s="172">
        <v>23811877635</v>
      </c>
      <c r="G62" s="172">
        <v>-153931958591</v>
      </c>
      <c r="H62" s="172">
        <v>-19627244646</v>
      </c>
      <c r="I62" s="172">
        <v>-81265764628</v>
      </c>
      <c r="J62" s="172">
        <v>2063000293077</v>
      </c>
      <c r="K62" s="147" t="s">
        <v>494</v>
      </c>
      <c r="L62" s="148" t="s">
        <v>494</v>
      </c>
      <c r="M62" s="148" t="s">
        <v>494</v>
      </c>
      <c r="N62" s="148" t="s">
        <v>494</v>
      </c>
      <c r="O62" s="147" t="s">
        <v>494</v>
      </c>
    </row>
    <row r="63" spans="1:15" ht="17.25" customHeight="1">
      <c r="A63" s="143" t="s">
        <v>494</v>
      </c>
      <c r="B63" s="166" t="s">
        <v>494</v>
      </c>
      <c r="C63" s="159" t="s">
        <v>494</v>
      </c>
      <c r="D63" s="168" t="s">
        <v>494</v>
      </c>
      <c r="E63" s="168" t="s">
        <v>494</v>
      </c>
      <c r="F63" s="168" t="s">
        <v>494</v>
      </c>
      <c r="G63" s="168" t="s">
        <v>494</v>
      </c>
      <c r="H63" s="168" t="s">
        <v>494</v>
      </c>
      <c r="I63" s="168" t="s">
        <v>494</v>
      </c>
      <c r="J63" s="168" t="s">
        <v>494</v>
      </c>
      <c r="K63" s="147" t="s">
        <v>494</v>
      </c>
      <c r="L63" s="148" t="s">
        <v>494</v>
      </c>
      <c r="M63" s="148" t="s">
        <v>494</v>
      </c>
      <c r="N63" s="148" t="s">
        <v>494</v>
      </c>
      <c r="O63" s="147" t="s">
        <v>494</v>
      </c>
    </row>
    <row r="64" spans="1:15" ht="17.25" customHeight="1">
      <c r="A64" s="143" t="s">
        <v>494</v>
      </c>
      <c r="B64" s="166" t="s">
        <v>494</v>
      </c>
      <c r="C64" s="174" t="s">
        <v>953</v>
      </c>
      <c r="D64" s="172">
        <v>14601002068</v>
      </c>
      <c r="E64" s="172">
        <v>-8534333586</v>
      </c>
      <c r="F64" s="172">
        <v>24890261335</v>
      </c>
      <c r="G64" s="172">
        <v>-1121769607</v>
      </c>
      <c r="H64" s="172">
        <v>-160021149117</v>
      </c>
      <c r="I64" s="172">
        <v>-148089575517</v>
      </c>
      <c r="J64" s="172">
        <v>-251643905874</v>
      </c>
      <c r="K64" s="147" t="s">
        <v>494</v>
      </c>
      <c r="L64" s="148" t="s">
        <v>494</v>
      </c>
      <c r="M64" s="148" t="s">
        <v>494</v>
      </c>
      <c r="N64" s="148" t="s">
        <v>494</v>
      </c>
      <c r="O64" s="147" t="s">
        <v>494</v>
      </c>
    </row>
    <row r="65" spans="1:15" ht="17.25" customHeight="1">
      <c r="A65" s="143" t="s">
        <v>494</v>
      </c>
      <c r="B65" s="166" t="s">
        <v>494</v>
      </c>
      <c r="C65" s="159" t="s">
        <v>494</v>
      </c>
      <c r="D65" s="168" t="s">
        <v>494</v>
      </c>
      <c r="E65" s="168" t="s">
        <v>494</v>
      </c>
      <c r="F65" s="168" t="s">
        <v>494</v>
      </c>
      <c r="G65" s="168" t="s">
        <v>494</v>
      </c>
      <c r="H65" s="168" t="s">
        <v>494</v>
      </c>
      <c r="I65" s="168" t="s">
        <v>494</v>
      </c>
      <c r="J65" s="168" t="s">
        <v>494</v>
      </c>
      <c r="K65" s="147" t="s">
        <v>494</v>
      </c>
      <c r="L65" s="148" t="s">
        <v>494</v>
      </c>
      <c r="M65" s="148" t="s">
        <v>494</v>
      </c>
      <c r="N65" s="148" t="s">
        <v>494</v>
      </c>
      <c r="O65" s="147" t="s">
        <v>494</v>
      </c>
    </row>
    <row r="66" spans="1:15" ht="17.25" customHeight="1">
      <c r="A66" s="143" t="s">
        <v>494</v>
      </c>
      <c r="B66" s="166" t="s">
        <v>494</v>
      </c>
      <c r="C66" s="171" t="s">
        <v>954</v>
      </c>
      <c r="D66" s="172">
        <v>102653490607</v>
      </c>
      <c r="E66" s="172">
        <v>74933690586</v>
      </c>
      <c r="F66" s="172">
        <v>48702138970</v>
      </c>
      <c r="G66" s="172">
        <v>-155053728197</v>
      </c>
      <c r="H66" s="172">
        <v>-179648393764</v>
      </c>
      <c r="I66" s="172">
        <v>-229355340145</v>
      </c>
      <c r="J66" s="172">
        <v>1811356387203</v>
      </c>
      <c r="K66" s="147" t="s">
        <v>494</v>
      </c>
      <c r="L66" s="148" t="s">
        <v>494</v>
      </c>
      <c r="M66" s="148" t="s">
        <v>494</v>
      </c>
      <c r="N66" s="148" t="s">
        <v>494</v>
      </c>
      <c r="O66" s="147" t="s">
        <v>494</v>
      </c>
    </row>
    <row r="67" spans="1:15" ht="17.25" customHeight="1">
      <c r="A67" s="143" t="s">
        <v>494</v>
      </c>
      <c r="B67" s="166" t="s">
        <v>494</v>
      </c>
      <c r="C67" s="159" t="s">
        <v>494</v>
      </c>
      <c r="D67" s="168" t="s">
        <v>494</v>
      </c>
      <c r="E67" s="168" t="s">
        <v>494</v>
      </c>
      <c r="F67" s="168" t="s">
        <v>494</v>
      </c>
      <c r="G67" s="168" t="s">
        <v>494</v>
      </c>
      <c r="H67" s="168" t="s">
        <v>494</v>
      </c>
      <c r="I67" s="168" t="s">
        <v>494</v>
      </c>
      <c r="J67" s="168" t="s">
        <v>494</v>
      </c>
      <c r="K67" s="147" t="s">
        <v>494</v>
      </c>
      <c r="L67" s="148" t="s">
        <v>494</v>
      </c>
      <c r="M67" s="148" t="s">
        <v>494</v>
      </c>
      <c r="N67" s="148" t="s">
        <v>494</v>
      </c>
      <c r="O67" s="147" t="s">
        <v>494</v>
      </c>
    </row>
    <row r="68" spans="1:15" ht="17.25" customHeight="1">
      <c r="A68" s="143" t="s">
        <v>494</v>
      </c>
      <c r="B68" s="166" t="s">
        <v>494</v>
      </c>
      <c r="C68" s="159" t="s">
        <v>955</v>
      </c>
      <c r="D68" s="168" t="s">
        <v>494</v>
      </c>
      <c r="E68" s="168" t="s">
        <v>494</v>
      </c>
      <c r="F68" s="168" t="s">
        <v>494</v>
      </c>
      <c r="G68" s="168" t="s">
        <v>494</v>
      </c>
      <c r="H68" s="168" t="s">
        <v>494</v>
      </c>
      <c r="I68" s="168" t="s">
        <v>494</v>
      </c>
      <c r="J68" s="168" t="s">
        <v>494</v>
      </c>
      <c r="K68" s="147" t="s">
        <v>494</v>
      </c>
      <c r="L68" s="148" t="s">
        <v>494</v>
      </c>
      <c r="M68" s="148" t="s">
        <v>494</v>
      </c>
      <c r="N68" s="148" t="s">
        <v>494</v>
      </c>
      <c r="O68" s="147" t="s">
        <v>494</v>
      </c>
    </row>
    <row r="69" spans="1:15" ht="17.25" customHeight="1">
      <c r="A69" s="169" t="s">
        <v>956</v>
      </c>
      <c r="B69" s="166" t="s">
        <v>494</v>
      </c>
      <c r="C69" s="170" t="s">
        <v>957</v>
      </c>
      <c r="D69" s="168">
        <v>26564646779</v>
      </c>
      <c r="E69" s="168">
        <v>29060676422</v>
      </c>
      <c r="F69" s="168">
        <v>21864265041</v>
      </c>
      <c r="G69" s="168">
        <v>21809304579</v>
      </c>
      <c r="H69" s="168">
        <v>30502008841</v>
      </c>
      <c r="I69" s="168">
        <v>49717257119</v>
      </c>
      <c r="J69" s="168">
        <v>107115165465</v>
      </c>
      <c r="K69" s="147" t="s">
        <v>494</v>
      </c>
      <c r="L69" s="148" t="s">
        <v>494</v>
      </c>
      <c r="M69" s="148" t="s">
        <v>494</v>
      </c>
      <c r="N69" s="148" t="s">
        <v>494</v>
      </c>
      <c r="O69" s="147" t="s">
        <v>494</v>
      </c>
    </row>
    <row r="70" spans="1:15" ht="17.25" customHeight="1">
      <c r="A70" s="169" t="s">
        <v>958</v>
      </c>
      <c r="B70" s="166" t="s">
        <v>494</v>
      </c>
      <c r="C70" s="170" t="s">
        <v>959</v>
      </c>
      <c r="D70" s="168">
        <v>2919420809</v>
      </c>
      <c r="E70" s="168">
        <v>2844482782</v>
      </c>
      <c r="F70" s="168">
        <v>3977487940</v>
      </c>
      <c r="G70" s="168">
        <v>2636811358</v>
      </c>
      <c r="H70" s="168" t="s">
        <v>890</v>
      </c>
      <c r="I70" s="168" t="s">
        <v>890</v>
      </c>
      <c r="J70" s="168" t="s">
        <v>494</v>
      </c>
      <c r="K70" s="147" t="s">
        <v>494</v>
      </c>
      <c r="L70" s="148" t="s">
        <v>494</v>
      </c>
      <c r="M70" s="148" t="s">
        <v>494</v>
      </c>
      <c r="N70" s="148" t="s">
        <v>494</v>
      </c>
      <c r="O70" s="147" t="s">
        <v>494</v>
      </c>
    </row>
    <row r="71" spans="1:15" ht="17.25" customHeight="1">
      <c r="A71" s="169" t="s">
        <v>960</v>
      </c>
      <c r="B71" s="166" t="s">
        <v>494</v>
      </c>
      <c r="C71" s="170" t="s">
        <v>961</v>
      </c>
      <c r="D71" s="168">
        <v>128347057</v>
      </c>
      <c r="E71" s="168">
        <v>-347205510</v>
      </c>
      <c r="F71" s="168">
        <v>-104276871</v>
      </c>
      <c r="G71" s="168">
        <v>-75655472</v>
      </c>
      <c r="H71" s="168">
        <v>-184035362</v>
      </c>
      <c r="I71" s="168">
        <v>-655124952</v>
      </c>
      <c r="J71" s="168">
        <v>27669692707</v>
      </c>
      <c r="K71" s="147" t="s">
        <v>494</v>
      </c>
      <c r="L71" s="148" t="s">
        <v>494</v>
      </c>
      <c r="M71" s="148" t="s">
        <v>494</v>
      </c>
      <c r="N71" s="148" t="s">
        <v>494</v>
      </c>
      <c r="O71" s="147" t="s">
        <v>494</v>
      </c>
    </row>
    <row r="72" spans="1:15" ht="17.25" customHeight="1">
      <c r="A72" s="143" t="s">
        <v>494</v>
      </c>
      <c r="B72" s="166" t="s">
        <v>494</v>
      </c>
      <c r="C72" s="175" t="s">
        <v>962</v>
      </c>
      <c r="D72" s="176">
        <v>29612414645</v>
      </c>
      <c r="E72" s="176">
        <v>31557953694</v>
      </c>
      <c r="F72" s="176">
        <v>25737476110</v>
      </c>
      <c r="G72" s="176">
        <v>24370460465</v>
      </c>
      <c r="H72" s="176">
        <v>30317973479</v>
      </c>
      <c r="I72" s="176">
        <v>49062132167</v>
      </c>
      <c r="J72" s="176">
        <v>134784858172</v>
      </c>
      <c r="K72" s="147" t="s">
        <v>494</v>
      </c>
      <c r="L72" s="148" t="s">
        <v>494</v>
      </c>
      <c r="M72" s="148" t="s">
        <v>494</v>
      </c>
      <c r="N72" s="148" t="s">
        <v>494</v>
      </c>
      <c r="O72" s="147" t="s">
        <v>494</v>
      </c>
    </row>
    <row r="73" spans="1:15" ht="17.25" customHeight="1">
      <c r="A73" s="143" t="s">
        <v>494</v>
      </c>
      <c r="B73" s="166" t="s">
        <v>494</v>
      </c>
      <c r="C73" s="159" t="s">
        <v>494</v>
      </c>
      <c r="D73" s="168" t="s">
        <v>494</v>
      </c>
      <c r="E73" s="168" t="s">
        <v>494</v>
      </c>
      <c r="F73" s="168" t="s">
        <v>494</v>
      </c>
      <c r="G73" s="168" t="s">
        <v>494</v>
      </c>
      <c r="H73" s="168" t="s">
        <v>494</v>
      </c>
      <c r="I73" s="168" t="s">
        <v>494</v>
      </c>
      <c r="J73" s="168" t="s">
        <v>494</v>
      </c>
      <c r="K73" s="147" t="s">
        <v>494</v>
      </c>
      <c r="L73" s="148" t="s">
        <v>494</v>
      </c>
      <c r="M73" s="148" t="s">
        <v>494</v>
      </c>
      <c r="N73" s="148" t="s">
        <v>494</v>
      </c>
      <c r="O73" s="147" t="s">
        <v>494</v>
      </c>
    </row>
    <row r="74" spans="1:15" ht="17.25" customHeight="1">
      <c r="A74" s="143" t="s">
        <v>494</v>
      </c>
      <c r="B74" s="166" t="s">
        <v>494</v>
      </c>
      <c r="C74" s="171" t="s">
        <v>963</v>
      </c>
      <c r="D74" s="172">
        <v>73041075962</v>
      </c>
      <c r="E74" s="172">
        <v>43375736892</v>
      </c>
      <c r="F74" s="172">
        <v>22964662860</v>
      </c>
      <c r="G74" s="172">
        <v>-179424188662</v>
      </c>
      <c r="H74" s="172">
        <v>-209966367242</v>
      </c>
      <c r="I74" s="172">
        <v>-278417472312</v>
      </c>
      <c r="J74" s="172">
        <v>1676571529031</v>
      </c>
      <c r="K74" s="147" t="s">
        <v>494</v>
      </c>
      <c r="L74" s="148" t="s">
        <v>494</v>
      </c>
      <c r="M74" s="148" t="s">
        <v>494</v>
      </c>
      <c r="N74" s="148" t="s">
        <v>494</v>
      </c>
      <c r="O74" s="147" t="s">
        <v>494</v>
      </c>
    </row>
    <row r="75" spans="1:15" ht="17.25" customHeight="1">
      <c r="A75" s="177" t="s">
        <v>964</v>
      </c>
      <c r="B75" s="166" t="s">
        <v>494</v>
      </c>
      <c r="C75" s="178" t="s">
        <v>965</v>
      </c>
      <c r="D75" s="179">
        <v>-164159910883</v>
      </c>
      <c r="E75" s="179">
        <v>-164159910883</v>
      </c>
      <c r="F75" s="179">
        <v>-164159910883</v>
      </c>
      <c r="G75" s="179">
        <v>-164159910883</v>
      </c>
      <c r="H75" s="179">
        <v>-209887974415</v>
      </c>
      <c r="I75" s="179">
        <v>-280492115735</v>
      </c>
      <c r="J75" s="168">
        <v>1677252400257</v>
      </c>
      <c r="K75" s="147" t="s">
        <v>494</v>
      </c>
      <c r="L75" s="148" t="s">
        <v>494</v>
      </c>
      <c r="M75" s="148" t="s">
        <v>494</v>
      </c>
      <c r="N75" s="148" t="s">
        <v>494</v>
      </c>
      <c r="O75" s="147" t="s">
        <v>494</v>
      </c>
    </row>
    <row r="76" spans="1:15" ht="17.25" customHeight="1">
      <c r="A76" s="169" t="s">
        <v>966</v>
      </c>
      <c r="B76" s="180" t="s">
        <v>494</v>
      </c>
      <c r="C76" s="178" t="s">
        <v>967</v>
      </c>
      <c r="D76" s="179">
        <v>252842226</v>
      </c>
      <c r="E76" s="179">
        <v>252842226</v>
      </c>
      <c r="F76" s="179">
        <v>252842226</v>
      </c>
      <c r="G76" s="179">
        <v>252842226</v>
      </c>
      <c r="H76" s="179">
        <v>-78392827</v>
      </c>
      <c r="I76" s="179">
        <v>449822131</v>
      </c>
      <c r="J76" s="168">
        <v>-680871225</v>
      </c>
      <c r="K76" s="181" t="s">
        <v>494</v>
      </c>
      <c r="L76" s="182" t="s">
        <v>494</v>
      </c>
      <c r="M76" s="182" t="s">
        <v>494</v>
      </c>
      <c r="N76" s="182" t="s">
        <v>494</v>
      </c>
      <c r="O76" s="181" t="s">
        <v>494</v>
      </c>
    </row>
    <row r="77" spans="1:15" ht="17.25" customHeight="1">
      <c r="A77" s="143" t="s">
        <v>494</v>
      </c>
      <c r="B77" s="166" t="s">
        <v>494</v>
      </c>
      <c r="C77" s="159" t="s">
        <v>494</v>
      </c>
      <c r="D77" s="168" t="s">
        <v>494</v>
      </c>
      <c r="E77" s="168" t="s">
        <v>494</v>
      </c>
      <c r="F77" s="168" t="s">
        <v>494</v>
      </c>
      <c r="G77" s="168" t="s">
        <v>494</v>
      </c>
      <c r="H77" s="168" t="s">
        <v>494</v>
      </c>
      <c r="I77" s="168" t="s">
        <v>494</v>
      </c>
      <c r="J77" s="168" t="s">
        <v>494</v>
      </c>
      <c r="K77" s="147" t="s">
        <v>494</v>
      </c>
      <c r="L77" s="148" t="s">
        <v>494</v>
      </c>
      <c r="M77" s="148" t="s">
        <v>494</v>
      </c>
      <c r="N77" s="148" t="s">
        <v>494</v>
      </c>
      <c r="O77" s="147" t="s">
        <v>494</v>
      </c>
    </row>
    <row r="78" spans="1:15" ht="17.25" customHeight="1">
      <c r="A78" s="143" t="s">
        <v>494</v>
      </c>
      <c r="B78" s="166" t="s">
        <v>494</v>
      </c>
      <c r="C78" s="183" t="s">
        <v>968</v>
      </c>
      <c r="D78" s="168" t="s">
        <v>494</v>
      </c>
      <c r="E78" s="168" t="s">
        <v>494</v>
      </c>
      <c r="F78" s="168" t="s">
        <v>494</v>
      </c>
      <c r="G78" s="168" t="s">
        <v>494</v>
      </c>
      <c r="H78" s="168" t="s">
        <v>494</v>
      </c>
      <c r="I78" s="168" t="s">
        <v>494</v>
      </c>
      <c r="J78" s="168" t="s">
        <v>494</v>
      </c>
      <c r="K78" s="147" t="s">
        <v>494</v>
      </c>
      <c r="L78" s="148" t="s">
        <v>494</v>
      </c>
      <c r="M78" s="148" t="s">
        <v>494</v>
      </c>
      <c r="N78" s="148" t="s">
        <v>494</v>
      </c>
      <c r="O78" s="147" t="s">
        <v>494</v>
      </c>
    </row>
    <row r="79" spans="1:15" ht="17.25" customHeight="1">
      <c r="A79" s="143" t="s">
        <v>494</v>
      </c>
      <c r="B79" s="166" t="s">
        <v>494</v>
      </c>
      <c r="C79" s="183" t="s">
        <v>969</v>
      </c>
      <c r="D79" s="168" t="s">
        <v>494</v>
      </c>
      <c r="E79" s="168" t="s">
        <v>494</v>
      </c>
      <c r="F79" s="168" t="s">
        <v>494</v>
      </c>
      <c r="G79" s="168" t="s">
        <v>494</v>
      </c>
      <c r="H79" s="168" t="s">
        <v>494</v>
      </c>
      <c r="I79" s="168" t="s">
        <v>494</v>
      </c>
      <c r="J79" s="168" t="s">
        <v>494</v>
      </c>
      <c r="K79" s="147" t="s">
        <v>494</v>
      </c>
      <c r="L79" s="148" t="s">
        <v>494</v>
      </c>
      <c r="M79" s="148" t="s">
        <v>494</v>
      </c>
      <c r="N79" s="148" t="s">
        <v>494</v>
      </c>
      <c r="O79" s="147" t="s">
        <v>494</v>
      </c>
    </row>
    <row r="80" spans="1:15" ht="17.25" customHeight="1">
      <c r="A80" s="169" t="s">
        <v>970</v>
      </c>
      <c r="B80" s="166" t="s">
        <v>494</v>
      </c>
      <c r="C80" s="184" t="s">
        <v>971</v>
      </c>
      <c r="D80" s="168" t="s">
        <v>890</v>
      </c>
      <c r="E80" s="168" t="s">
        <v>890</v>
      </c>
      <c r="F80" s="168">
        <v>14568022250</v>
      </c>
      <c r="G80" s="168">
        <v>-11235556655</v>
      </c>
      <c r="H80" s="168">
        <v>1758444000</v>
      </c>
      <c r="I80" s="168">
        <v>3686578336</v>
      </c>
      <c r="J80" s="168">
        <v>18309506145</v>
      </c>
      <c r="K80" s="147" t="s">
        <v>494</v>
      </c>
      <c r="L80" s="148" t="s">
        <v>494</v>
      </c>
      <c r="M80" s="148" t="s">
        <v>494</v>
      </c>
      <c r="N80" s="148" t="s">
        <v>494</v>
      </c>
      <c r="O80" s="147" t="s">
        <v>494</v>
      </c>
    </row>
    <row r="81" spans="1:15" ht="17.25" customHeight="1">
      <c r="A81" s="169" t="s">
        <v>972</v>
      </c>
      <c r="B81" s="166" t="s">
        <v>494</v>
      </c>
      <c r="C81" s="184" t="s">
        <v>973</v>
      </c>
      <c r="D81" s="168">
        <v>5480581090</v>
      </c>
      <c r="E81" s="168">
        <v>-2862725873</v>
      </c>
      <c r="F81" s="168">
        <v>-5448711</v>
      </c>
      <c r="G81" s="168">
        <v>3399271825</v>
      </c>
      <c r="H81" s="168">
        <v>11800325084</v>
      </c>
      <c r="I81" s="168">
        <v>-2061757244</v>
      </c>
      <c r="J81" s="168">
        <v>2223887942</v>
      </c>
      <c r="K81" s="147" t="s">
        <v>494</v>
      </c>
      <c r="L81" s="148" t="s">
        <v>494</v>
      </c>
      <c r="M81" s="148" t="s">
        <v>494</v>
      </c>
      <c r="N81" s="148" t="s">
        <v>494</v>
      </c>
      <c r="O81" s="147" t="s">
        <v>494</v>
      </c>
    </row>
    <row r="82" spans="1:15" ht="17.25" customHeight="1">
      <c r="A82" s="169" t="s">
        <v>974</v>
      </c>
      <c r="B82" s="166" t="s">
        <v>494</v>
      </c>
      <c r="C82" s="184" t="s">
        <v>975</v>
      </c>
      <c r="D82" s="168">
        <v>-2027999875</v>
      </c>
      <c r="E82" s="168">
        <v>-3471900072</v>
      </c>
      <c r="F82" s="168" t="s">
        <v>890</v>
      </c>
      <c r="G82" s="168" t="s">
        <v>890</v>
      </c>
      <c r="H82" s="168" t="s">
        <v>890</v>
      </c>
      <c r="I82" s="168" t="s">
        <v>890</v>
      </c>
      <c r="J82" s="168" t="s">
        <v>890</v>
      </c>
      <c r="K82" s="147" t="s">
        <v>494</v>
      </c>
      <c r="L82" s="148" t="s">
        <v>494</v>
      </c>
      <c r="M82" s="148" t="s">
        <v>494</v>
      </c>
      <c r="N82" s="148" t="s">
        <v>494</v>
      </c>
      <c r="O82" s="147" t="s">
        <v>494</v>
      </c>
    </row>
    <row r="83" spans="1:15" ht="17.25" customHeight="1">
      <c r="A83" s="144" t="s">
        <v>494</v>
      </c>
      <c r="B83" s="166" t="s">
        <v>494</v>
      </c>
      <c r="C83" s="183" t="s">
        <v>494</v>
      </c>
      <c r="D83" s="168" t="s">
        <v>494</v>
      </c>
      <c r="E83" s="168" t="s">
        <v>494</v>
      </c>
      <c r="F83" s="168" t="s">
        <v>494</v>
      </c>
      <c r="G83" s="168" t="s">
        <v>494</v>
      </c>
      <c r="H83" s="168" t="s">
        <v>494</v>
      </c>
      <c r="I83" s="168" t="s">
        <v>494</v>
      </c>
      <c r="J83" s="168" t="s">
        <v>494</v>
      </c>
      <c r="K83" s="147" t="s">
        <v>494</v>
      </c>
      <c r="L83" s="148" t="s">
        <v>494</v>
      </c>
      <c r="M83" s="148" t="s">
        <v>494</v>
      </c>
      <c r="N83" s="148" t="s">
        <v>494</v>
      </c>
      <c r="O83" s="147" t="s">
        <v>494</v>
      </c>
    </row>
    <row r="84" spans="1:15" ht="17.25" customHeight="1">
      <c r="A84" s="169" t="s">
        <v>494</v>
      </c>
      <c r="B84" s="166" t="s">
        <v>494</v>
      </c>
      <c r="C84" s="183" t="s">
        <v>976</v>
      </c>
      <c r="D84" s="168" t="s">
        <v>494</v>
      </c>
      <c r="E84" s="168" t="s">
        <v>494</v>
      </c>
      <c r="F84" s="168" t="s">
        <v>494</v>
      </c>
      <c r="G84" s="168" t="s">
        <v>494</v>
      </c>
      <c r="H84" s="168" t="s">
        <v>494</v>
      </c>
      <c r="I84" s="168" t="s">
        <v>494</v>
      </c>
      <c r="J84" s="168" t="s">
        <v>494</v>
      </c>
      <c r="K84" s="147" t="s">
        <v>494</v>
      </c>
      <c r="L84" s="148" t="s">
        <v>494</v>
      </c>
      <c r="M84" s="148" t="s">
        <v>494</v>
      </c>
      <c r="N84" s="148" t="s">
        <v>494</v>
      </c>
      <c r="O84" s="147" t="s">
        <v>494</v>
      </c>
    </row>
    <row r="85" spans="1:15" ht="17.25" customHeight="1">
      <c r="A85" s="169" t="s">
        <v>494</v>
      </c>
      <c r="B85" s="166" t="s">
        <v>494</v>
      </c>
      <c r="C85" s="184" t="s">
        <v>977</v>
      </c>
      <c r="D85" s="168" t="s">
        <v>890</v>
      </c>
      <c r="E85" s="168" t="s">
        <v>890</v>
      </c>
      <c r="F85" s="168" t="s">
        <v>890</v>
      </c>
      <c r="G85" s="168" t="s">
        <v>890</v>
      </c>
      <c r="H85" s="168" t="s">
        <v>890</v>
      </c>
      <c r="I85" s="168" t="s">
        <v>890</v>
      </c>
      <c r="J85" s="168" t="s">
        <v>890</v>
      </c>
      <c r="K85" s="147" t="s">
        <v>494</v>
      </c>
      <c r="L85" s="148" t="s">
        <v>494</v>
      </c>
      <c r="M85" s="148" t="s">
        <v>494</v>
      </c>
      <c r="N85" s="148" t="s">
        <v>494</v>
      </c>
      <c r="O85" s="147" t="s">
        <v>494</v>
      </c>
    </row>
    <row r="86" spans="1:15" ht="17.25" customHeight="1">
      <c r="A86" s="143" t="s">
        <v>494</v>
      </c>
      <c r="B86" s="166" t="s">
        <v>494</v>
      </c>
      <c r="C86" s="184" t="s">
        <v>494</v>
      </c>
      <c r="D86" s="168" t="s">
        <v>494</v>
      </c>
      <c r="E86" s="168" t="s">
        <v>494</v>
      </c>
      <c r="F86" s="168" t="s">
        <v>494</v>
      </c>
      <c r="G86" s="168" t="s">
        <v>494</v>
      </c>
      <c r="H86" s="168" t="s">
        <v>494</v>
      </c>
      <c r="I86" s="168" t="s">
        <v>494</v>
      </c>
      <c r="J86" s="168" t="s">
        <v>494</v>
      </c>
      <c r="K86" s="147" t="s">
        <v>494</v>
      </c>
      <c r="L86" s="148" t="s">
        <v>494</v>
      </c>
      <c r="M86" s="148" t="s">
        <v>494</v>
      </c>
      <c r="N86" s="148" t="s">
        <v>494</v>
      </c>
      <c r="O86" s="147" t="s">
        <v>494</v>
      </c>
    </row>
    <row r="87" spans="1:15" ht="17.25" customHeight="1">
      <c r="A87" s="143" t="s">
        <v>494</v>
      </c>
      <c r="B87" s="166" t="s">
        <v>494</v>
      </c>
      <c r="C87" s="171" t="s">
        <v>978</v>
      </c>
      <c r="D87" s="172">
        <v>76493657177</v>
      </c>
      <c r="E87" s="172">
        <v>37041110947</v>
      </c>
      <c r="F87" s="172">
        <v>37527236399</v>
      </c>
      <c r="G87" s="172">
        <v>-187260473492</v>
      </c>
      <c r="H87" s="172">
        <v>-196407598158</v>
      </c>
      <c r="I87" s="172">
        <v>-276792651220</v>
      </c>
      <c r="J87" s="172">
        <v>1697104923118</v>
      </c>
      <c r="K87" s="147" t="s">
        <v>494</v>
      </c>
      <c r="L87" s="148" t="s">
        <v>494</v>
      </c>
      <c r="M87" s="148" t="s">
        <v>494</v>
      </c>
      <c r="N87" s="148" t="s">
        <v>494</v>
      </c>
      <c r="O87" s="147" t="s">
        <v>494</v>
      </c>
    </row>
    <row r="88" spans="1:15" ht="18.75" customHeight="1">
      <c r="A88" s="143" t="s">
        <v>494</v>
      </c>
      <c r="B88" s="166" t="s">
        <v>494</v>
      </c>
      <c r="C88" s="159" t="s">
        <v>494</v>
      </c>
      <c r="D88" s="185" t="s">
        <v>494</v>
      </c>
      <c r="E88" s="185" t="s">
        <v>494</v>
      </c>
      <c r="F88" s="185" t="s">
        <v>494</v>
      </c>
      <c r="G88" s="185" t="s">
        <v>494</v>
      </c>
      <c r="H88" s="185" t="s">
        <v>494</v>
      </c>
      <c r="I88" s="185" t="s">
        <v>494</v>
      </c>
      <c r="J88" s="185" t="s">
        <v>494</v>
      </c>
      <c r="K88" s="147" t="s">
        <v>494</v>
      </c>
      <c r="L88" s="148" t="s">
        <v>494</v>
      </c>
      <c r="M88" s="148" t="s">
        <v>494</v>
      </c>
      <c r="N88" s="148" t="s">
        <v>494</v>
      </c>
      <c r="O88" s="147" t="s">
        <v>494</v>
      </c>
    </row>
    <row r="89" spans="1:15" ht="17.25" customHeight="1">
      <c r="A89" s="143" t="s">
        <v>494</v>
      </c>
      <c r="B89" s="166" t="s">
        <v>494</v>
      </c>
      <c r="C89" s="159" t="s">
        <v>494</v>
      </c>
      <c r="D89" s="168" t="s">
        <v>494</v>
      </c>
      <c r="E89" s="168" t="s">
        <v>494</v>
      </c>
      <c r="F89" s="168" t="s">
        <v>494</v>
      </c>
      <c r="G89" s="168" t="s">
        <v>494</v>
      </c>
      <c r="H89" s="168" t="s">
        <v>494</v>
      </c>
      <c r="I89" s="168" t="s">
        <v>494</v>
      </c>
      <c r="J89" s="168" t="s">
        <v>494</v>
      </c>
      <c r="K89" s="147" t="s">
        <v>494</v>
      </c>
      <c r="L89" s="148" t="s">
        <v>494</v>
      </c>
      <c r="M89" s="148" t="s">
        <v>494</v>
      </c>
      <c r="N89" s="148" t="s">
        <v>494</v>
      </c>
      <c r="O89" s="147" t="s">
        <v>494</v>
      </c>
    </row>
    <row r="90" spans="1:15" ht="17.25" customHeight="1">
      <c r="A90" s="143" t="s">
        <v>494</v>
      </c>
      <c r="B90" s="163" t="s">
        <v>979</v>
      </c>
      <c r="C90" s="186" t="s">
        <v>980</v>
      </c>
      <c r="D90" s="187" t="s">
        <v>494</v>
      </c>
      <c r="E90" s="187" t="s">
        <v>494</v>
      </c>
      <c r="F90" s="187" t="s">
        <v>494</v>
      </c>
      <c r="G90" s="187" t="s">
        <v>494</v>
      </c>
      <c r="H90" s="187" t="s">
        <v>494</v>
      </c>
      <c r="I90" s="187" t="s">
        <v>494</v>
      </c>
      <c r="J90" s="187" t="s">
        <v>494</v>
      </c>
      <c r="K90" s="147" t="s">
        <v>494</v>
      </c>
      <c r="L90" s="148" t="s">
        <v>494</v>
      </c>
      <c r="M90" s="148" t="s">
        <v>494</v>
      </c>
      <c r="N90" s="148" t="s">
        <v>494</v>
      </c>
      <c r="O90" s="147" t="s">
        <v>494</v>
      </c>
    </row>
    <row r="91" spans="1:15" ht="17.25" customHeight="1">
      <c r="A91" s="177" t="s">
        <v>494</v>
      </c>
      <c r="B91" s="166" t="s">
        <v>494</v>
      </c>
      <c r="C91" s="188" t="s">
        <v>981</v>
      </c>
      <c r="D91" s="176">
        <v>383742146744</v>
      </c>
      <c r="E91" s="176">
        <v>288231254130</v>
      </c>
      <c r="F91" s="176">
        <v>911647412471</v>
      </c>
      <c r="G91" s="176">
        <v>1166481162701</v>
      </c>
      <c r="H91" s="176">
        <v>1012162546480</v>
      </c>
      <c r="I91" s="176">
        <v>947119548338</v>
      </c>
      <c r="J91" s="176">
        <v>2800786113862</v>
      </c>
      <c r="K91" s="147" t="s">
        <v>494</v>
      </c>
      <c r="L91" s="189">
        <v>19202308527</v>
      </c>
      <c r="M91" s="148" t="s">
        <v>494</v>
      </c>
      <c r="N91" s="148" t="s">
        <v>494</v>
      </c>
      <c r="O91" s="147" t="s">
        <v>494</v>
      </c>
    </row>
    <row r="92" spans="1:15" ht="17.25" customHeight="1">
      <c r="A92" s="143" t="s">
        <v>494</v>
      </c>
      <c r="B92" s="166" t="s">
        <v>494</v>
      </c>
      <c r="C92" s="190" t="s">
        <v>494</v>
      </c>
      <c r="D92" s="168" t="s">
        <v>494</v>
      </c>
      <c r="E92" s="168" t="s">
        <v>494</v>
      </c>
      <c r="F92" s="168" t="s">
        <v>494</v>
      </c>
      <c r="G92" s="168" t="s">
        <v>494</v>
      </c>
      <c r="H92" s="168" t="s">
        <v>494</v>
      </c>
      <c r="I92" s="168" t="s">
        <v>494</v>
      </c>
      <c r="J92" s="168" t="s">
        <v>494</v>
      </c>
      <c r="K92" s="147" t="s">
        <v>494</v>
      </c>
      <c r="L92" s="148" t="s">
        <v>494</v>
      </c>
      <c r="M92" s="148" t="s">
        <v>494</v>
      </c>
      <c r="N92" s="148" t="s">
        <v>494</v>
      </c>
      <c r="O92" s="147" t="s">
        <v>494</v>
      </c>
    </row>
    <row r="93" spans="1:15" ht="17.25" customHeight="1">
      <c r="A93" s="143" t="s">
        <v>494</v>
      </c>
      <c r="B93" s="166" t="s">
        <v>494</v>
      </c>
      <c r="C93" s="188" t="s">
        <v>982</v>
      </c>
      <c r="D93" s="176">
        <v>40454000000</v>
      </c>
      <c r="E93" s="176">
        <v>40704000000</v>
      </c>
      <c r="F93" s="176">
        <v>56040000000</v>
      </c>
      <c r="G93" s="176">
        <v>44675000000</v>
      </c>
      <c r="H93" s="176">
        <v>46473000000</v>
      </c>
      <c r="I93" s="176">
        <v>50244712000</v>
      </c>
      <c r="J93" s="176">
        <v>68952158547</v>
      </c>
      <c r="K93" s="147" t="s">
        <v>494</v>
      </c>
      <c r="L93" s="148" t="s">
        <v>494</v>
      </c>
      <c r="M93" s="148" t="s">
        <v>494</v>
      </c>
      <c r="N93" s="148" t="s">
        <v>494</v>
      </c>
      <c r="O93" s="147" t="s">
        <v>494</v>
      </c>
    </row>
    <row r="94" spans="1:15" ht="17.25" customHeight="1">
      <c r="A94" s="143" t="s">
        <v>494</v>
      </c>
      <c r="B94" s="166" t="s">
        <v>494</v>
      </c>
      <c r="C94" s="190" t="s">
        <v>494</v>
      </c>
      <c r="D94" s="168" t="s">
        <v>494</v>
      </c>
      <c r="E94" s="168" t="s">
        <v>494</v>
      </c>
      <c r="F94" s="168" t="s">
        <v>494</v>
      </c>
      <c r="G94" s="168" t="s">
        <v>494</v>
      </c>
      <c r="H94" s="168" t="s">
        <v>494</v>
      </c>
      <c r="I94" s="168" t="s">
        <v>494</v>
      </c>
      <c r="J94" s="168" t="s">
        <v>494</v>
      </c>
      <c r="K94" s="147" t="s">
        <v>494</v>
      </c>
      <c r="L94" s="148" t="s">
        <v>494</v>
      </c>
      <c r="M94" s="148" t="s">
        <v>494</v>
      </c>
      <c r="N94" s="148" t="s">
        <v>494</v>
      </c>
      <c r="O94" s="147" t="s">
        <v>494</v>
      </c>
    </row>
    <row r="95" spans="1:15" ht="17.25" customHeight="1">
      <c r="A95" s="177" t="s">
        <v>983</v>
      </c>
      <c r="B95" s="166" t="s">
        <v>494</v>
      </c>
      <c r="C95" s="188" t="s">
        <v>984</v>
      </c>
      <c r="D95" s="176">
        <v>575863255423</v>
      </c>
      <c r="E95" s="176">
        <v>575863255423</v>
      </c>
      <c r="F95" s="176">
        <v>628330825865</v>
      </c>
      <c r="G95" s="176">
        <v>628330825864</v>
      </c>
      <c r="H95" s="176">
        <v>628330825865</v>
      </c>
      <c r="I95" s="176">
        <v>628277091013</v>
      </c>
      <c r="J95" s="176">
        <v>781429677719</v>
      </c>
      <c r="K95" s="147" t="s">
        <v>494</v>
      </c>
      <c r="L95" s="148" t="s">
        <v>494</v>
      </c>
      <c r="M95" s="148" t="s">
        <v>494</v>
      </c>
      <c r="N95" s="148" t="s">
        <v>494</v>
      </c>
      <c r="O95" s="147" t="s">
        <v>494</v>
      </c>
    </row>
    <row r="96" spans="1:15" ht="17.25" customHeight="1">
      <c r="A96" s="143" t="s">
        <v>494</v>
      </c>
      <c r="B96" s="166" t="s">
        <v>494</v>
      </c>
      <c r="C96" s="190" t="s">
        <v>494</v>
      </c>
      <c r="D96" s="168" t="s">
        <v>494</v>
      </c>
      <c r="E96" s="168" t="s">
        <v>494</v>
      </c>
      <c r="F96" s="168" t="s">
        <v>494</v>
      </c>
      <c r="G96" s="168" t="s">
        <v>494</v>
      </c>
      <c r="H96" s="168" t="s">
        <v>494</v>
      </c>
      <c r="I96" s="168" t="s">
        <v>494</v>
      </c>
      <c r="J96" s="168" t="s">
        <v>494</v>
      </c>
      <c r="K96" s="147" t="s">
        <v>494</v>
      </c>
      <c r="L96" s="148" t="s">
        <v>494</v>
      </c>
      <c r="M96" s="148" t="s">
        <v>494</v>
      </c>
      <c r="N96" s="148" t="s">
        <v>494</v>
      </c>
      <c r="O96" s="147" t="s">
        <v>494</v>
      </c>
    </row>
    <row r="97" spans="1:15" ht="17.25" customHeight="1">
      <c r="A97" s="143" t="s">
        <v>494</v>
      </c>
      <c r="B97" s="166" t="s">
        <v>494</v>
      </c>
      <c r="C97" s="191" t="s">
        <v>985</v>
      </c>
      <c r="D97" s="168" t="s">
        <v>494</v>
      </c>
      <c r="E97" s="168" t="s">
        <v>494</v>
      </c>
      <c r="F97" s="168" t="s">
        <v>494</v>
      </c>
      <c r="G97" s="168" t="s">
        <v>494</v>
      </c>
      <c r="H97" s="168" t="s">
        <v>494</v>
      </c>
      <c r="I97" s="168" t="s">
        <v>494</v>
      </c>
      <c r="J97" s="168" t="s">
        <v>494</v>
      </c>
      <c r="K97" s="147" t="s">
        <v>494</v>
      </c>
      <c r="L97" s="148" t="s">
        <v>494</v>
      </c>
      <c r="M97" s="148" t="s">
        <v>494</v>
      </c>
      <c r="N97" s="148" t="s">
        <v>494</v>
      </c>
      <c r="O97" s="147" t="s">
        <v>494</v>
      </c>
    </row>
    <row r="98" spans="1:15" ht="17.25" customHeight="1">
      <c r="A98" s="177" t="s">
        <v>986</v>
      </c>
      <c r="B98" s="166" t="s">
        <v>494</v>
      </c>
      <c r="C98" s="192" t="s">
        <v>987</v>
      </c>
      <c r="D98" s="168">
        <v>4334516103</v>
      </c>
      <c r="E98" s="168">
        <v>4334516103</v>
      </c>
      <c r="F98" s="168">
        <v>4334516103</v>
      </c>
      <c r="G98" s="168">
        <v>4334516100</v>
      </c>
      <c r="H98" s="168">
        <v>4334516103</v>
      </c>
      <c r="I98" s="168">
        <v>4334516103</v>
      </c>
      <c r="J98" s="168">
        <v>4204153475</v>
      </c>
      <c r="K98" s="147" t="s">
        <v>494</v>
      </c>
      <c r="L98" s="148" t="s">
        <v>494</v>
      </c>
      <c r="M98" s="148" t="s">
        <v>494</v>
      </c>
      <c r="N98" s="148" t="s">
        <v>494</v>
      </c>
      <c r="O98" s="147" t="s">
        <v>494</v>
      </c>
    </row>
    <row r="99" spans="1:15" ht="17.25" customHeight="1">
      <c r="A99" s="177" t="s">
        <v>988</v>
      </c>
      <c r="B99" s="166" t="s">
        <v>494</v>
      </c>
      <c r="C99" s="192" t="s">
        <v>989</v>
      </c>
      <c r="D99" s="168">
        <v>17822445313</v>
      </c>
      <c r="E99" s="168">
        <v>25657931607</v>
      </c>
      <c r="F99" s="168">
        <v>26446364632</v>
      </c>
      <c r="G99" s="168">
        <v>26887278260</v>
      </c>
      <c r="H99" s="168">
        <v>39182318989</v>
      </c>
      <c r="I99" s="168">
        <v>39753345821</v>
      </c>
      <c r="J99" s="168">
        <v>40074239174</v>
      </c>
      <c r="K99" s="147" t="s">
        <v>494</v>
      </c>
      <c r="L99" s="148" t="s">
        <v>494</v>
      </c>
      <c r="M99" s="148" t="s">
        <v>494</v>
      </c>
      <c r="N99" s="148" t="s">
        <v>494</v>
      </c>
      <c r="O99" s="147" t="s">
        <v>494</v>
      </c>
    </row>
    <row r="100" spans="1:15" ht="17.25" customHeight="1">
      <c r="A100" s="177" t="s">
        <v>990</v>
      </c>
      <c r="B100" s="166" t="s">
        <v>494</v>
      </c>
      <c r="C100" s="192" t="s">
        <v>776</v>
      </c>
      <c r="D100" s="168">
        <v>148430651452</v>
      </c>
      <c r="E100" s="168">
        <v>222911155534</v>
      </c>
      <c r="F100" s="168">
        <v>241090035422</v>
      </c>
      <c r="G100" s="168">
        <v>1389910855434</v>
      </c>
      <c r="H100" s="168">
        <v>2415407893753</v>
      </c>
      <c r="I100" s="168">
        <v>2840089331298</v>
      </c>
      <c r="J100" s="168">
        <v>4505511813975</v>
      </c>
      <c r="K100" s="147" t="s">
        <v>494</v>
      </c>
      <c r="L100" s="148" t="s">
        <v>494</v>
      </c>
      <c r="M100" s="148" t="s">
        <v>494</v>
      </c>
      <c r="N100" s="148" t="s">
        <v>494</v>
      </c>
      <c r="O100" s="147" t="s">
        <v>494</v>
      </c>
    </row>
    <row r="101" spans="1:15" ht="17.25" customHeight="1">
      <c r="A101" s="177" t="s">
        <v>991</v>
      </c>
      <c r="B101" s="166" t="s">
        <v>494</v>
      </c>
      <c r="C101" s="192" t="s">
        <v>992</v>
      </c>
      <c r="D101" s="168">
        <v>14539226517</v>
      </c>
      <c r="E101" s="168">
        <v>16866209103</v>
      </c>
      <c r="F101" s="168">
        <v>18078013050</v>
      </c>
      <c r="G101" s="168">
        <v>61424850215</v>
      </c>
      <c r="H101" s="168">
        <v>257378909618</v>
      </c>
      <c r="I101" s="168">
        <v>259309639097</v>
      </c>
      <c r="J101" s="168">
        <v>262612731032</v>
      </c>
      <c r="K101" s="147" t="s">
        <v>494</v>
      </c>
      <c r="L101" s="148" t="s">
        <v>494</v>
      </c>
      <c r="M101" s="148" t="s">
        <v>494</v>
      </c>
      <c r="N101" s="148" t="s">
        <v>494</v>
      </c>
      <c r="O101" s="147" t="s">
        <v>494</v>
      </c>
    </row>
    <row r="102" spans="1:15" ht="17.25" customHeight="1">
      <c r="A102" s="177" t="s">
        <v>993</v>
      </c>
      <c r="B102" s="166" t="s">
        <v>494</v>
      </c>
      <c r="C102" s="192" t="s">
        <v>994</v>
      </c>
      <c r="D102" s="168">
        <v>34029717902</v>
      </c>
      <c r="E102" s="168">
        <v>44374284740</v>
      </c>
      <c r="F102" s="168">
        <v>48327270521</v>
      </c>
      <c r="G102" s="168">
        <v>50233323491</v>
      </c>
      <c r="H102" s="168">
        <v>127945083923</v>
      </c>
      <c r="I102" s="168">
        <v>138987488213</v>
      </c>
      <c r="J102" s="168">
        <v>158966732861</v>
      </c>
      <c r="K102" s="147" t="s">
        <v>494</v>
      </c>
      <c r="L102" s="148" t="s">
        <v>494</v>
      </c>
      <c r="M102" s="148" t="s">
        <v>494</v>
      </c>
      <c r="N102" s="148" t="s">
        <v>494</v>
      </c>
      <c r="O102" s="147" t="s">
        <v>494</v>
      </c>
    </row>
    <row r="103" spans="1:15" ht="17.25" customHeight="1">
      <c r="A103" s="177" t="s">
        <v>995</v>
      </c>
      <c r="B103" s="166" t="s">
        <v>494</v>
      </c>
      <c r="C103" s="192" t="s">
        <v>996</v>
      </c>
      <c r="D103" s="168">
        <v>6802848112</v>
      </c>
      <c r="E103" s="168">
        <v>6653574053</v>
      </c>
      <c r="F103" s="168">
        <v>6757990003</v>
      </c>
      <c r="G103" s="168">
        <v>6760540003</v>
      </c>
      <c r="H103" s="168">
        <v>7616491432</v>
      </c>
      <c r="I103" s="168">
        <v>8251758570</v>
      </c>
      <c r="J103" s="168">
        <v>9224904077</v>
      </c>
      <c r="K103" s="147" t="s">
        <v>494</v>
      </c>
      <c r="L103" s="148" t="s">
        <v>494</v>
      </c>
      <c r="M103" s="148" t="s">
        <v>494</v>
      </c>
      <c r="N103" s="148" t="s">
        <v>494</v>
      </c>
      <c r="O103" s="147" t="s">
        <v>494</v>
      </c>
    </row>
    <row r="104" spans="1:15" ht="17.25" customHeight="1">
      <c r="A104" s="177" t="s">
        <v>997</v>
      </c>
      <c r="B104" s="166" t="s">
        <v>494</v>
      </c>
      <c r="C104" s="192" t="s">
        <v>998</v>
      </c>
      <c r="D104" s="168">
        <v>8658417772</v>
      </c>
      <c r="E104" s="168">
        <v>12286640351</v>
      </c>
      <c r="F104" s="168">
        <v>12286640351</v>
      </c>
      <c r="G104" s="168">
        <v>12286640351</v>
      </c>
      <c r="H104" s="168">
        <v>12286640351</v>
      </c>
      <c r="I104" s="168">
        <v>14059541251</v>
      </c>
      <c r="J104" s="168">
        <v>17278460186</v>
      </c>
      <c r="K104" s="147" t="s">
        <v>494</v>
      </c>
      <c r="L104" s="148" t="s">
        <v>494</v>
      </c>
      <c r="M104" s="148" t="s">
        <v>494</v>
      </c>
      <c r="N104" s="148" t="s">
        <v>494</v>
      </c>
      <c r="O104" s="147" t="s">
        <v>494</v>
      </c>
    </row>
    <row r="105" spans="1:15" ht="17.25" customHeight="1">
      <c r="A105" s="177" t="s">
        <v>999</v>
      </c>
      <c r="B105" s="166" t="s">
        <v>494</v>
      </c>
      <c r="C105" s="192" t="s">
        <v>1000</v>
      </c>
      <c r="D105" s="168">
        <v>662092995848</v>
      </c>
      <c r="E105" s="168">
        <v>838395148832</v>
      </c>
      <c r="F105" s="168">
        <v>1140422085637</v>
      </c>
      <c r="G105" s="168">
        <v>2262130794622</v>
      </c>
      <c r="H105" s="168">
        <v>2359465528610</v>
      </c>
      <c r="I105" s="168">
        <v>2578967586104</v>
      </c>
      <c r="J105" s="168">
        <v>1309928874023</v>
      </c>
      <c r="K105" s="147" t="s">
        <v>494</v>
      </c>
      <c r="L105" s="148" t="s">
        <v>494</v>
      </c>
      <c r="M105" s="148" t="s">
        <v>494</v>
      </c>
      <c r="N105" s="148" t="s">
        <v>494</v>
      </c>
      <c r="O105" s="147" t="s">
        <v>494</v>
      </c>
    </row>
    <row r="106" spans="1:15" ht="17.25" customHeight="1">
      <c r="A106" s="177" t="s">
        <v>494</v>
      </c>
      <c r="B106" s="166" t="s">
        <v>494</v>
      </c>
      <c r="C106" s="188" t="s">
        <v>1001</v>
      </c>
      <c r="D106" s="176">
        <v>896710819019</v>
      </c>
      <c r="E106" s="176">
        <v>1171479460324</v>
      </c>
      <c r="F106" s="176">
        <v>1497742915719</v>
      </c>
      <c r="G106" s="176">
        <v>3813968798476</v>
      </c>
      <c r="H106" s="176">
        <v>5223617382779</v>
      </c>
      <c r="I106" s="176">
        <v>5883753206455</v>
      </c>
      <c r="J106" s="176">
        <v>6307801908803</v>
      </c>
      <c r="K106" s="147" t="s">
        <v>494</v>
      </c>
      <c r="L106" s="148" t="s">
        <v>494</v>
      </c>
      <c r="M106" s="148" t="s">
        <v>494</v>
      </c>
      <c r="N106" s="148" t="s">
        <v>494</v>
      </c>
      <c r="O106" s="147" t="s">
        <v>494</v>
      </c>
    </row>
    <row r="107" spans="1:15" ht="17.25" customHeight="1">
      <c r="A107" s="177" t="s">
        <v>1002</v>
      </c>
      <c r="B107" s="166" t="s">
        <v>494</v>
      </c>
      <c r="C107" s="192" t="s">
        <v>1003</v>
      </c>
      <c r="D107" s="168">
        <v>-75494813586</v>
      </c>
      <c r="E107" s="168">
        <v>-94408275856</v>
      </c>
      <c r="F107" s="168">
        <v>-119778147004</v>
      </c>
      <c r="G107" s="168">
        <v>-153067217527</v>
      </c>
      <c r="H107" s="168">
        <v>-256914782264</v>
      </c>
      <c r="I107" s="168">
        <v>-402309259559</v>
      </c>
      <c r="J107" s="168">
        <v>-637902745932</v>
      </c>
      <c r="K107" s="147" t="s">
        <v>494</v>
      </c>
      <c r="L107" s="148" t="s">
        <v>494</v>
      </c>
      <c r="M107" s="148" t="s">
        <v>494</v>
      </c>
      <c r="N107" s="148" t="s">
        <v>494</v>
      </c>
      <c r="O107" s="147" t="s">
        <v>494</v>
      </c>
    </row>
    <row r="108" spans="1:15" ht="17.25" customHeight="1">
      <c r="A108" s="177" t="s">
        <v>1004</v>
      </c>
      <c r="B108" s="166" t="s">
        <v>494</v>
      </c>
      <c r="C108" s="192" t="s">
        <v>1005</v>
      </c>
      <c r="D108" s="168">
        <v>-2134107889</v>
      </c>
      <c r="E108" s="168">
        <v>-2134107889</v>
      </c>
      <c r="F108" s="168">
        <v>-2134107889</v>
      </c>
      <c r="G108" s="168">
        <v>-2134107889</v>
      </c>
      <c r="H108" s="168">
        <v>-2134107888</v>
      </c>
      <c r="I108" s="168" t="s">
        <v>890</v>
      </c>
      <c r="J108" s="168" t="s">
        <v>494</v>
      </c>
      <c r="K108" s="147" t="s">
        <v>494</v>
      </c>
      <c r="L108" s="148" t="s">
        <v>494</v>
      </c>
      <c r="M108" s="148" t="s">
        <v>494</v>
      </c>
      <c r="N108" s="148" t="s">
        <v>494</v>
      </c>
      <c r="O108" s="147" t="s">
        <v>494</v>
      </c>
    </row>
    <row r="109" spans="1:15" ht="17.25" customHeight="1">
      <c r="A109" s="143" t="s">
        <v>494</v>
      </c>
      <c r="B109" s="166" t="s">
        <v>494</v>
      </c>
      <c r="C109" s="188" t="s">
        <v>1006</v>
      </c>
      <c r="D109" s="176">
        <v>819081897544</v>
      </c>
      <c r="E109" s="176">
        <v>1074937076579</v>
      </c>
      <c r="F109" s="176">
        <v>1375830660826</v>
      </c>
      <c r="G109" s="176">
        <v>3658767473060</v>
      </c>
      <c r="H109" s="176">
        <v>4964568492627</v>
      </c>
      <c r="I109" s="176">
        <v>5481443946896</v>
      </c>
      <c r="J109" s="176">
        <v>5669899162871</v>
      </c>
      <c r="K109" s="147" t="s">
        <v>494</v>
      </c>
      <c r="L109" s="148" t="s">
        <v>494</v>
      </c>
      <c r="M109" s="148" t="s">
        <v>494</v>
      </c>
      <c r="N109" s="148" t="s">
        <v>494</v>
      </c>
      <c r="O109" s="147" t="s">
        <v>494</v>
      </c>
    </row>
    <row r="110" spans="1:15" ht="17.25" customHeight="1">
      <c r="A110" s="143" t="s">
        <v>494</v>
      </c>
      <c r="B110" s="166" t="s">
        <v>494</v>
      </c>
      <c r="C110" s="191" t="s">
        <v>494</v>
      </c>
      <c r="D110" s="161" t="s">
        <v>494</v>
      </c>
      <c r="E110" s="161" t="s">
        <v>494</v>
      </c>
      <c r="F110" s="161" t="s">
        <v>494</v>
      </c>
      <c r="G110" s="161" t="s">
        <v>494</v>
      </c>
      <c r="H110" s="161" t="s">
        <v>494</v>
      </c>
      <c r="I110" s="161" t="s">
        <v>494</v>
      </c>
      <c r="J110" s="161" t="s">
        <v>494</v>
      </c>
      <c r="K110" s="147" t="s">
        <v>494</v>
      </c>
      <c r="L110" s="148" t="s">
        <v>494</v>
      </c>
      <c r="M110" s="148" t="s">
        <v>494</v>
      </c>
      <c r="N110" s="148" t="s">
        <v>494</v>
      </c>
      <c r="O110" s="147" t="s">
        <v>494</v>
      </c>
    </row>
    <row r="111" spans="1:15" ht="17.25" customHeight="1">
      <c r="A111" s="143" t="s">
        <v>494</v>
      </c>
      <c r="B111" s="166" t="s">
        <v>494</v>
      </c>
      <c r="C111" s="191" t="s">
        <v>1007</v>
      </c>
      <c r="D111" s="161" t="s">
        <v>890</v>
      </c>
      <c r="E111" s="161" t="s">
        <v>890</v>
      </c>
      <c r="F111" s="161" t="s">
        <v>890</v>
      </c>
      <c r="G111" s="161" t="s">
        <v>890</v>
      </c>
      <c r="H111" s="161" t="s">
        <v>890</v>
      </c>
      <c r="I111" s="161" t="s">
        <v>890</v>
      </c>
      <c r="J111" s="161" t="s">
        <v>890</v>
      </c>
      <c r="K111" s="147" t="s">
        <v>494</v>
      </c>
      <c r="L111" s="148" t="s">
        <v>494</v>
      </c>
      <c r="M111" s="148" t="s">
        <v>494</v>
      </c>
      <c r="N111" s="148" t="s">
        <v>494</v>
      </c>
      <c r="O111" s="147" t="s">
        <v>494</v>
      </c>
    </row>
    <row r="112" spans="1:15" ht="17.25" customHeight="1">
      <c r="A112" s="143" t="s">
        <v>494</v>
      </c>
      <c r="B112" s="166" t="s">
        <v>494</v>
      </c>
      <c r="C112" s="191" t="s">
        <v>494</v>
      </c>
      <c r="D112" s="161" t="s">
        <v>494</v>
      </c>
      <c r="E112" s="161" t="s">
        <v>494</v>
      </c>
      <c r="F112" s="161" t="s">
        <v>494</v>
      </c>
      <c r="G112" s="161" t="s">
        <v>494</v>
      </c>
      <c r="H112" s="161" t="s">
        <v>494</v>
      </c>
      <c r="I112" s="161" t="s">
        <v>494</v>
      </c>
      <c r="J112" s="161" t="s">
        <v>494</v>
      </c>
      <c r="K112" s="147" t="s">
        <v>494</v>
      </c>
      <c r="L112" s="148" t="s">
        <v>494</v>
      </c>
      <c r="M112" s="148" t="s">
        <v>494</v>
      </c>
      <c r="N112" s="148" t="s">
        <v>494</v>
      </c>
      <c r="O112" s="147" t="s">
        <v>494</v>
      </c>
    </row>
    <row r="113" spans="1:15" ht="17.25" customHeight="1">
      <c r="A113" s="143" t="s">
        <v>494</v>
      </c>
      <c r="B113" s="166" t="s">
        <v>494</v>
      </c>
      <c r="C113" s="191" t="s">
        <v>1008</v>
      </c>
      <c r="D113" s="168" t="s">
        <v>494</v>
      </c>
      <c r="E113" s="168" t="s">
        <v>494</v>
      </c>
      <c r="F113" s="168" t="s">
        <v>494</v>
      </c>
      <c r="G113" s="168" t="s">
        <v>494</v>
      </c>
      <c r="H113" s="168" t="s">
        <v>494</v>
      </c>
      <c r="I113" s="168" t="s">
        <v>494</v>
      </c>
      <c r="J113" s="168" t="s">
        <v>494</v>
      </c>
      <c r="K113" s="147" t="s">
        <v>494</v>
      </c>
      <c r="L113" s="148" t="s">
        <v>494</v>
      </c>
      <c r="M113" s="148" t="s">
        <v>494</v>
      </c>
      <c r="N113" s="148" t="s">
        <v>494</v>
      </c>
      <c r="O113" s="147" t="s">
        <v>494</v>
      </c>
    </row>
    <row r="114" spans="1:15" ht="17.25" customHeight="1">
      <c r="A114" s="177" t="s">
        <v>1009</v>
      </c>
      <c r="B114" s="166" t="s">
        <v>494</v>
      </c>
      <c r="C114" s="190" t="s">
        <v>1010</v>
      </c>
      <c r="D114" s="168" t="s">
        <v>890</v>
      </c>
      <c r="E114" s="168" t="s">
        <v>890</v>
      </c>
      <c r="F114" s="168">
        <v>510638840</v>
      </c>
      <c r="G114" s="168">
        <v>219278215268</v>
      </c>
      <c r="H114" s="168">
        <v>198623599852</v>
      </c>
      <c r="I114" s="168">
        <v>179468984443</v>
      </c>
      <c r="J114" s="168">
        <v>169081258293</v>
      </c>
      <c r="K114" s="147" t="s">
        <v>494</v>
      </c>
      <c r="L114" s="148" t="s">
        <v>494</v>
      </c>
      <c r="M114" s="148" t="s">
        <v>494</v>
      </c>
      <c r="N114" s="148" t="s">
        <v>494</v>
      </c>
      <c r="O114" s="147" t="s">
        <v>494</v>
      </c>
    </row>
    <row r="115" spans="1:15" ht="17.25" customHeight="1">
      <c r="A115" s="177" t="s">
        <v>1011</v>
      </c>
      <c r="B115" s="166" t="s">
        <v>494</v>
      </c>
      <c r="C115" s="192" t="s">
        <v>1012</v>
      </c>
      <c r="D115" s="168">
        <v>2000000000</v>
      </c>
      <c r="E115" s="168">
        <v>2000000000</v>
      </c>
      <c r="F115" s="168">
        <v>2000000000</v>
      </c>
      <c r="G115" s="168">
        <v>2000000000</v>
      </c>
      <c r="H115" s="168">
        <v>2000000000</v>
      </c>
      <c r="I115" s="168">
        <v>2000000000</v>
      </c>
      <c r="J115" s="168">
        <v>2000000000</v>
      </c>
      <c r="K115" s="147" t="s">
        <v>494</v>
      </c>
      <c r="L115" s="148" t="s">
        <v>494</v>
      </c>
      <c r="M115" s="148" t="s">
        <v>494</v>
      </c>
      <c r="N115" s="148" t="s">
        <v>494</v>
      </c>
      <c r="O115" s="147" t="s">
        <v>494</v>
      </c>
    </row>
    <row r="116" spans="1:15" ht="17.25" customHeight="1">
      <c r="A116" s="177" t="s">
        <v>1013</v>
      </c>
      <c r="B116" s="166" t="s">
        <v>494</v>
      </c>
      <c r="C116" s="192" t="s">
        <v>777</v>
      </c>
      <c r="D116" s="168">
        <v>11053155606</v>
      </c>
      <c r="E116" s="168">
        <v>8449383479</v>
      </c>
      <c r="F116" s="168">
        <v>5553125807</v>
      </c>
      <c r="G116" s="168">
        <v>6382681054</v>
      </c>
      <c r="H116" s="168">
        <v>2192741469</v>
      </c>
      <c r="I116" s="168">
        <v>2271874535</v>
      </c>
      <c r="J116" s="168">
        <v>6858887266</v>
      </c>
      <c r="K116" s="147" t="s">
        <v>494</v>
      </c>
      <c r="L116" s="148" t="s">
        <v>494</v>
      </c>
      <c r="M116" s="148" t="s">
        <v>494</v>
      </c>
      <c r="N116" s="148" t="s">
        <v>494</v>
      </c>
      <c r="O116" s="147" t="s">
        <v>494</v>
      </c>
    </row>
    <row r="117" spans="1:15" ht="17.25" customHeight="1">
      <c r="A117" s="177" t="s">
        <v>1014</v>
      </c>
      <c r="B117" s="166" t="s">
        <v>494</v>
      </c>
      <c r="C117" s="192" t="s">
        <v>1015</v>
      </c>
      <c r="D117" s="168">
        <v>336850000</v>
      </c>
      <c r="E117" s="168">
        <v>36850000</v>
      </c>
      <c r="F117" s="168">
        <v>36850000</v>
      </c>
      <c r="G117" s="168">
        <v>36850000</v>
      </c>
      <c r="H117" s="168">
        <v>36850000</v>
      </c>
      <c r="I117" s="168">
        <v>36850000</v>
      </c>
      <c r="J117" s="168">
        <v>36850000</v>
      </c>
      <c r="K117" s="147" t="s">
        <v>494</v>
      </c>
      <c r="L117" s="148" t="s">
        <v>494</v>
      </c>
      <c r="M117" s="148" t="s">
        <v>494</v>
      </c>
      <c r="N117" s="148" t="s">
        <v>494</v>
      </c>
      <c r="O117" s="147" t="s">
        <v>494</v>
      </c>
    </row>
    <row r="118" spans="1:15" ht="17.25" customHeight="1">
      <c r="A118" s="177" t="s">
        <v>1016</v>
      </c>
      <c r="B118" s="166" t="s">
        <v>494</v>
      </c>
      <c r="C118" s="192" t="s">
        <v>1017</v>
      </c>
      <c r="D118" s="168">
        <v>4080385420</v>
      </c>
      <c r="E118" s="168" t="s">
        <v>890</v>
      </c>
      <c r="F118" s="168" t="s">
        <v>890</v>
      </c>
      <c r="G118" s="168">
        <v>2913844422</v>
      </c>
      <c r="H118" s="168">
        <v>2963797698</v>
      </c>
      <c r="I118" s="168">
        <v>2820273502</v>
      </c>
      <c r="J118" s="168">
        <v>2269102750</v>
      </c>
      <c r="K118" s="147" t="s">
        <v>494</v>
      </c>
      <c r="L118" s="148" t="s">
        <v>494</v>
      </c>
      <c r="M118" s="148" t="s">
        <v>494</v>
      </c>
      <c r="N118" s="148" t="s">
        <v>494</v>
      </c>
      <c r="O118" s="147" t="s">
        <v>494</v>
      </c>
    </row>
    <row r="119" spans="1:15" ht="17.25" customHeight="1">
      <c r="A119" s="177" t="s">
        <v>1018</v>
      </c>
      <c r="B119" s="166" t="s">
        <v>494</v>
      </c>
      <c r="C119" s="192" t="s">
        <v>1019</v>
      </c>
      <c r="D119" s="168">
        <v>9894374227</v>
      </c>
      <c r="E119" s="168">
        <v>16106650062</v>
      </c>
      <c r="F119" s="168">
        <v>1110154627</v>
      </c>
      <c r="G119" s="168">
        <v>1110154628</v>
      </c>
      <c r="H119" s="168">
        <v>1110154626</v>
      </c>
      <c r="I119" s="168">
        <v>1110154626</v>
      </c>
      <c r="J119" s="168">
        <v>10514859357</v>
      </c>
      <c r="K119" s="147" t="s">
        <v>494</v>
      </c>
      <c r="L119" s="148" t="s">
        <v>494</v>
      </c>
      <c r="M119" s="148" t="s">
        <v>494</v>
      </c>
      <c r="N119" s="148" t="s">
        <v>494</v>
      </c>
      <c r="O119" s="147" t="s">
        <v>494</v>
      </c>
    </row>
    <row r="120" spans="1:15" ht="17.25" customHeight="1">
      <c r="A120" s="177" t="s">
        <v>1020</v>
      </c>
      <c r="B120" s="166" t="s">
        <v>494</v>
      </c>
      <c r="C120" s="192" t="s">
        <v>1021</v>
      </c>
      <c r="D120" s="168">
        <v>-1000000000</v>
      </c>
      <c r="E120" s="168">
        <v>-1000000000</v>
      </c>
      <c r="F120" s="168">
        <v>-1000000000</v>
      </c>
      <c r="G120" s="168">
        <v>-1000000000</v>
      </c>
      <c r="H120" s="168">
        <v>-1000000000</v>
      </c>
      <c r="I120" s="168">
        <v>-1000000000</v>
      </c>
      <c r="J120" s="168">
        <v>-5500000000</v>
      </c>
      <c r="K120" s="147" t="s">
        <v>494</v>
      </c>
      <c r="L120" s="148" t="s">
        <v>494</v>
      </c>
      <c r="M120" s="148" t="s">
        <v>494</v>
      </c>
      <c r="N120" s="148" t="s">
        <v>494</v>
      </c>
      <c r="O120" s="147" t="s">
        <v>494</v>
      </c>
    </row>
    <row r="121" spans="1:15" ht="17.25" customHeight="1">
      <c r="A121" s="177" t="s">
        <v>1022</v>
      </c>
      <c r="B121" s="166" t="s">
        <v>494</v>
      </c>
      <c r="C121" s="192" t="s">
        <v>1023</v>
      </c>
      <c r="D121" s="168">
        <v>1366953921</v>
      </c>
      <c r="E121" s="168">
        <v>1787562659</v>
      </c>
      <c r="F121" s="168">
        <v>1818214934</v>
      </c>
      <c r="G121" s="168">
        <v>2067434169</v>
      </c>
      <c r="H121" s="168">
        <v>1946466546</v>
      </c>
      <c r="I121" s="168">
        <v>2562908739</v>
      </c>
      <c r="J121" s="168">
        <v>357116264</v>
      </c>
      <c r="K121" s="147" t="s">
        <v>494</v>
      </c>
      <c r="L121" s="148" t="s">
        <v>494</v>
      </c>
      <c r="M121" s="148" t="s">
        <v>494</v>
      </c>
      <c r="N121" s="148" t="s">
        <v>494</v>
      </c>
      <c r="O121" s="147" t="s">
        <v>494</v>
      </c>
    </row>
    <row r="122" spans="1:15" ht="17.25" customHeight="1">
      <c r="A122" s="177" t="s">
        <v>1024</v>
      </c>
      <c r="B122" s="166" t="s">
        <v>494</v>
      </c>
      <c r="C122" s="192" t="s">
        <v>1025</v>
      </c>
      <c r="D122" s="168" t="s">
        <v>890</v>
      </c>
      <c r="E122" s="168" t="s">
        <v>890</v>
      </c>
      <c r="F122" s="168" t="s">
        <v>890</v>
      </c>
      <c r="G122" s="168" t="s">
        <v>890</v>
      </c>
      <c r="H122" s="168" t="s">
        <v>890</v>
      </c>
      <c r="I122" s="168" t="s">
        <v>890</v>
      </c>
      <c r="J122" s="168" t="s">
        <v>494</v>
      </c>
      <c r="K122" s="147" t="s">
        <v>494</v>
      </c>
      <c r="L122" s="148" t="s">
        <v>494</v>
      </c>
      <c r="M122" s="148" t="s">
        <v>494</v>
      </c>
      <c r="N122" s="148" t="s">
        <v>494</v>
      </c>
      <c r="O122" s="147" t="s">
        <v>494</v>
      </c>
    </row>
    <row r="123" spans="1:15" ht="17.25" customHeight="1">
      <c r="A123" s="143" t="s">
        <v>494</v>
      </c>
      <c r="B123" s="166" t="s">
        <v>494</v>
      </c>
      <c r="C123" s="188" t="s">
        <v>1026</v>
      </c>
      <c r="D123" s="176">
        <v>27731719174</v>
      </c>
      <c r="E123" s="176">
        <v>27380446200</v>
      </c>
      <c r="F123" s="176">
        <v>10028984208</v>
      </c>
      <c r="G123" s="176">
        <v>232789179541</v>
      </c>
      <c r="H123" s="176">
        <v>207873610191</v>
      </c>
      <c r="I123" s="176">
        <v>189271045846</v>
      </c>
      <c r="J123" s="176">
        <v>185618073930</v>
      </c>
      <c r="K123" s="147" t="s">
        <v>494</v>
      </c>
      <c r="L123" s="148" t="s">
        <v>494</v>
      </c>
      <c r="M123" s="148" t="s">
        <v>494</v>
      </c>
      <c r="N123" s="148" t="s">
        <v>494</v>
      </c>
      <c r="O123" s="147" t="s">
        <v>494</v>
      </c>
    </row>
    <row r="124" spans="1:15" ht="17.25" customHeight="1">
      <c r="A124" s="193" t="s">
        <v>494</v>
      </c>
      <c r="B124" s="194" t="s">
        <v>494</v>
      </c>
      <c r="C124" s="195" t="s">
        <v>1027</v>
      </c>
      <c r="D124" s="165">
        <v>1846873018885</v>
      </c>
      <c r="E124" s="165">
        <v>2007116032332</v>
      </c>
      <c r="F124" s="165">
        <v>2981877883370</v>
      </c>
      <c r="G124" s="165">
        <v>5731043641166</v>
      </c>
      <c r="H124" s="165">
        <v>6859408475163</v>
      </c>
      <c r="I124" s="165">
        <v>7296356344093</v>
      </c>
      <c r="J124" s="165">
        <v>9506685186929</v>
      </c>
      <c r="K124" s="147" t="s">
        <v>494</v>
      </c>
      <c r="L124" s="189">
        <v>398097164264</v>
      </c>
      <c r="M124" s="148" t="s">
        <v>494</v>
      </c>
      <c r="N124" s="148" t="s">
        <v>494</v>
      </c>
      <c r="O124" s="147" t="s">
        <v>494</v>
      </c>
    </row>
    <row r="125" spans="1:15" ht="17.25" customHeight="1">
      <c r="A125" s="143" t="s">
        <v>494</v>
      </c>
      <c r="B125" s="166" t="s">
        <v>494</v>
      </c>
      <c r="C125" s="190" t="s">
        <v>494</v>
      </c>
      <c r="D125" s="168" t="s">
        <v>494</v>
      </c>
      <c r="E125" s="168" t="s">
        <v>494</v>
      </c>
      <c r="F125" s="168" t="s">
        <v>494</v>
      </c>
      <c r="G125" s="168" t="s">
        <v>494</v>
      </c>
      <c r="H125" s="168" t="s">
        <v>494</v>
      </c>
      <c r="I125" s="168" t="s">
        <v>494</v>
      </c>
      <c r="J125" s="168" t="s">
        <v>494</v>
      </c>
      <c r="K125" s="147" t="s">
        <v>494</v>
      </c>
      <c r="L125" s="148" t="s">
        <v>494</v>
      </c>
      <c r="M125" s="148" t="s">
        <v>494</v>
      </c>
      <c r="N125" s="148" t="s">
        <v>494</v>
      </c>
      <c r="O125" s="147" t="s">
        <v>494</v>
      </c>
    </row>
    <row r="126" spans="1:15" ht="17.25" customHeight="1">
      <c r="A126" s="143" t="s">
        <v>494</v>
      </c>
      <c r="B126" s="166" t="s">
        <v>494</v>
      </c>
      <c r="C126" s="191" t="s">
        <v>1028</v>
      </c>
      <c r="D126" s="168" t="s">
        <v>494</v>
      </c>
      <c r="E126" s="168" t="s">
        <v>494</v>
      </c>
      <c r="F126" s="168" t="s">
        <v>494</v>
      </c>
      <c r="G126" s="168" t="s">
        <v>494</v>
      </c>
      <c r="H126" s="168" t="s">
        <v>494</v>
      </c>
      <c r="I126" s="168" t="s">
        <v>494</v>
      </c>
      <c r="J126" s="168" t="s">
        <v>494</v>
      </c>
      <c r="K126" s="147" t="s">
        <v>494</v>
      </c>
      <c r="L126" s="148" t="s">
        <v>494</v>
      </c>
      <c r="M126" s="148" t="s">
        <v>494</v>
      </c>
      <c r="N126" s="148" t="s">
        <v>494</v>
      </c>
      <c r="O126" s="147" t="s">
        <v>494</v>
      </c>
    </row>
    <row r="127" spans="1:15" ht="17.25" customHeight="1">
      <c r="A127" s="177" t="s">
        <v>1029</v>
      </c>
      <c r="B127" s="166" t="s">
        <v>494</v>
      </c>
      <c r="C127" s="190" t="s">
        <v>1030</v>
      </c>
      <c r="D127" s="168">
        <v>109989808160</v>
      </c>
      <c r="E127" s="168">
        <v>190519580951</v>
      </c>
      <c r="F127" s="168">
        <v>160119504432</v>
      </c>
      <c r="G127" s="168">
        <v>316695727150</v>
      </c>
      <c r="H127" s="168">
        <v>317035752937</v>
      </c>
      <c r="I127" s="168">
        <v>423239115877</v>
      </c>
      <c r="J127" s="168">
        <v>484995258031</v>
      </c>
      <c r="K127" s="147" t="s">
        <v>494</v>
      </c>
      <c r="L127" s="148" t="s">
        <v>494</v>
      </c>
      <c r="M127" s="148" t="s">
        <v>494</v>
      </c>
      <c r="N127" s="148" t="s">
        <v>494</v>
      </c>
      <c r="O127" s="147" t="s">
        <v>494</v>
      </c>
    </row>
    <row r="128" spans="1:15" ht="17.25" customHeight="1">
      <c r="A128" s="177" t="s">
        <v>1031</v>
      </c>
      <c r="B128" s="166" t="s">
        <v>494</v>
      </c>
      <c r="C128" s="190" t="s">
        <v>1032</v>
      </c>
      <c r="D128" s="168" t="s">
        <v>890</v>
      </c>
      <c r="E128" s="168" t="s">
        <v>890</v>
      </c>
      <c r="F128" s="168">
        <v>400000000</v>
      </c>
      <c r="G128" s="168">
        <v>89720548997</v>
      </c>
      <c r="H128" s="168">
        <v>185210522226</v>
      </c>
      <c r="I128" s="168">
        <v>179305291104</v>
      </c>
      <c r="J128" s="168">
        <v>1779931791</v>
      </c>
      <c r="K128" s="147" t="s">
        <v>494</v>
      </c>
      <c r="L128" s="148" t="s">
        <v>494</v>
      </c>
      <c r="M128" s="148" t="s">
        <v>494</v>
      </c>
      <c r="N128" s="148" t="s">
        <v>494</v>
      </c>
      <c r="O128" s="147" t="s">
        <v>494</v>
      </c>
    </row>
    <row r="129" spans="1:15" ht="17.25" customHeight="1">
      <c r="A129" s="177" t="s">
        <v>1033</v>
      </c>
      <c r="B129" s="166" t="s">
        <v>494</v>
      </c>
      <c r="C129" s="190" t="s">
        <v>1034</v>
      </c>
      <c r="D129" s="168">
        <v>6352281647</v>
      </c>
      <c r="E129" s="168">
        <v>3213710720</v>
      </c>
      <c r="F129" s="168">
        <v>9293809059</v>
      </c>
      <c r="G129" s="168">
        <v>17791090919</v>
      </c>
      <c r="H129" s="168">
        <v>13379298491</v>
      </c>
      <c r="I129" s="168">
        <v>32776648587</v>
      </c>
      <c r="J129" s="168">
        <v>37208636454</v>
      </c>
      <c r="K129" s="147" t="s">
        <v>494</v>
      </c>
      <c r="L129" s="148" t="s">
        <v>494</v>
      </c>
      <c r="M129" s="148" t="s">
        <v>494</v>
      </c>
      <c r="N129" s="148" t="s">
        <v>494</v>
      </c>
      <c r="O129" s="147" t="s">
        <v>494</v>
      </c>
    </row>
    <row r="130" spans="1:15" ht="17.25" customHeight="1">
      <c r="A130" s="177" t="s">
        <v>1035</v>
      </c>
      <c r="B130" s="166" t="s">
        <v>494</v>
      </c>
      <c r="C130" s="190" t="s">
        <v>1036</v>
      </c>
      <c r="D130" s="168">
        <v>9643401602</v>
      </c>
      <c r="E130" s="168">
        <v>10231090816</v>
      </c>
      <c r="F130" s="168">
        <v>15345589189</v>
      </c>
      <c r="G130" s="168">
        <v>28118076247</v>
      </c>
      <c r="H130" s="168">
        <v>49529943028</v>
      </c>
      <c r="I130" s="168">
        <v>56993483504</v>
      </c>
      <c r="J130" s="168">
        <v>66010497651</v>
      </c>
      <c r="K130" s="147" t="s">
        <v>494</v>
      </c>
      <c r="L130" s="148" t="s">
        <v>494</v>
      </c>
      <c r="M130" s="148" t="s">
        <v>494</v>
      </c>
      <c r="N130" s="148" t="s">
        <v>494</v>
      </c>
      <c r="O130" s="147" t="s">
        <v>494</v>
      </c>
    </row>
    <row r="131" spans="1:15" ht="17.25" customHeight="1">
      <c r="A131" s="177" t="s">
        <v>1037</v>
      </c>
      <c r="B131" s="166" t="s">
        <v>494</v>
      </c>
      <c r="C131" s="190" t="s">
        <v>1038</v>
      </c>
      <c r="D131" s="168">
        <v>31998684134</v>
      </c>
      <c r="E131" s="168">
        <v>35249171338</v>
      </c>
      <c r="F131" s="168">
        <v>23286643066</v>
      </c>
      <c r="G131" s="168">
        <v>113201908488</v>
      </c>
      <c r="H131" s="168">
        <v>674404500516</v>
      </c>
      <c r="I131" s="168">
        <v>814239398363</v>
      </c>
      <c r="J131" s="168">
        <v>405213915128</v>
      </c>
      <c r="K131" s="147" t="s">
        <v>494</v>
      </c>
      <c r="L131" s="148" t="s">
        <v>494</v>
      </c>
      <c r="M131" s="148" t="s">
        <v>494</v>
      </c>
      <c r="N131" s="148" t="s">
        <v>494</v>
      </c>
      <c r="O131" s="147" t="s">
        <v>494</v>
      </c>
    </row>
    <row r="132" spans="1:15" ht="17.25" customHeight="1">
      <c r="A132" s="177" t="s">
        <v>1039</v>
      </c>
      <c r="B132" s="166" t="s">
        <v>494</v>
      </c>
      <c r="C132" s="190" t="s">
        <v>1040</v>
      </c>
      <c r="D132" s="168">
        <v>48128206056</v>
      </c>
      <c r="E132" s="168">
        <v>48459650478</v>
      </c>
      <c r="F132" s="168">
        <v>15938167616</v>
      </c>
      <c r="G132" s="168">
        <v>23182707221</v>
      </c>
      <c r="H132" s="168">
        <v>34142535859</v>
      </c>
      <c r="I132" s="168">
        <v>57707218516</v>
      </c>
      <c r="J132" s="168">
        <v>148340090123</v>
      </c>
      <c r="K132" s="147" t="s">
        <v>494</v>
      </c>
      <c r="L132" s="148" t="s">
        <v>494</v>
      </c>
      <c r="M132" s="148" t="s">
        <v>494</v>
      </c>
      <c r="N132" s="148" t="s">
        <v>494</v>
      </c>
      <c r="O132" s="147" t="s">
        <v>494</v>
      </c>
    </row>
    <row r="133" spans="1:15" ht="17.25" customHeight="1">
      <c r="A133" s="177" t="s">
        <v>1041</v>
      </c>
      <c r="B133" s="166" t="s">
        <v>494</v>
      </c>
      <c r="C133" s="190" t="s">
        <v>1042</v>
      </c>
      <c r="D133" s="168" t="s">
        <v>890</v>
      </c>
      <c r="E133" s="168" t="s">
        <v>890</v>
      </c>
      <c r="F133" s="168" t="s">
        <v>890</v>
      </c>
      <c r="G133" s="168" t="s">
        <v>890</v>
      </c>
      <c r="H133" s="168" t="s">
        <v>890</v>
      </c>
      <c r="I133" s="168" t="s">
        <v>890</v>
      </c>
      <c r="J133" s="168" t="s">
        <v>494</v>
      </c>
      <c r="K133" s="147" t="s">
        <v>494</v>
      </c>
      <c r="L133" s="148" t="s">
        <v>494</v>
      </c>
      <c r="M133" s="148" t="s">
        <v>494</v>
      </c>
      <c r="N133" s="148" t="s">
        <v>494</v>
      </c>
      <c r="O133" s="147" t="s">
        <v>494</v>
      </c>
    </row>
    <row r="134" spans="1:15" ht="17.25" customHeight="1">
      <c r="A134" s="177" t="s">
        <v>1043</v>
      </c>
      <c r="B134" s="166" t="s">
        <v>494</v>
      </c>
      <c r="C134" s="190" t="s">
        <v>1044</v>
      </c>
      <c r="D134" s="168" t="s">
        <v>890</v>
      </c>
      <c r="E134" s="168" t="s">
        <v>890</v>
      </c>
      <c r="F134" s="168" t="s">
        <v>890</v>
      </c>
      <c r="G134" s="168">
        <v>1609154816227</v>
      </c>
      <c r="H134" s="168">
        <v>1271393770204</v>
      </c>
      <c r="I134" s="168">
        <v>420535694442</v>
      </c>
      <c r="J134" s="168">
        <v>375789090908</v>
      </c>
      <c r="K134" s="147" t="s">
        <v>494</v>
      </c>
      <c r="L134" s="148" t="s">
        <v>494</v>
      </c>
      <c r="M134" s="148" t="s">
        <v>494</v>
      </c>
      <c r="N134" s="148" t="s">
        <v>494</v>
      </c>
      <c r="O134" s="147" t="s">
        <v>494</v>
      </c>
    </row>
    <row r="135" spans="1:15" ht="17.25" customHeight="1">
      <c r="A135" s="177" t="s">
        <v>1045</v>
      </c>
      <c r="B135" s="166" t="s">
        <v>494</v>
      </c>
      <c r="C135" s="190" t="s">
        <v>1046</v>
      </c>
      <c r="D135" s="168" t="s">
        <v>494</v>
      </c>
      <c r="E135" s="168" t="s">
        <v>494</v>
      </c>
      <c r="F135" s="168" t="s">
        <v>494</v>
      </c>
      <c r="G135" s="168" t="s">
        <v>494</v>
      </c>
      <c r="H135" s="168" t="s">
        <v>494</v>
      </c>
      <c r="I135" s="168" t="s">
        <v>494</v>
      </c>
      <c r="J135" s="168">
        <v>10670217970</v>
      </c>
      <c r="K135" s="147" t="s">
        <v>494</v>
      </c>
      <c r="L135" s="189">
        <v>669223289116</v>
      </c>
      <c r="M135" s="148" t="s">
        <v>494</v>
      </c>
      <c r="N135" s="148" t="s">
        <v>494</v>
      </c>
      <c r="O135" s="147" t="s">
        <v>494</v>
      </c>
    </row>
    <row r="136" spans="1:15" ht="17.25" customHeight="1">
      <c r="A136" s="143" t="s">
        <v>494</v>
      </c>
      <c r="B136" s="166" t="s">
        <v>494</v>
      </c>
      <c r="C136" s="188" t="s">
        <v>1047</v>
      </c>
      <c r="D136" s="176">
        <v>206112381599</v>
      </c>
      <c r="E136" s="176">
        <v>287673204303</v>
      </c>
      <c r="F136" s="176">
        <v>224383713363</v>
      </c>
      <c r="G136" s="176">
        <v>2197864875249</v>
      </c>
      <c r="H136" s="176">
        <v>2545096323262</v>
      </c>
      <c r="I136" s="176">
        <v>1984796850393</v>
      </c>
      <c r="J136" s="176">
        <v>1530007638055</v>
      </c>
      <c r="K136" s="147" t="s">
        <v>494</v>
      </c>
      <c r="L136" s="148" t="s">
        <v>494</v>
      </c>
      <c r="M136" s="148" t="s">
        <v>494</v>
      </c>
      <c r="N136" s="148" t="s">
        <v>494</v>
      </c>
      <c r="O136" s="147" t="s">
        <v>494</v>
      </c>
    </row>
    <row r="137" spans="1:15" ht="17.25" customHeight="1">
      <c r="A137" s="143" t="s">
        <v>494</v>
      </c>
      <c r="B137" s="166" t="s">
        <v>494</v>
      </c>
      <c r="C137" s="190" t="s">
        <v>494</v>
      </c>
      <c r="D137" s="168" t="s">
        <v>494</v>
      </c>
      <c r="E137" s="168" t="s">
        <v>494</v>
      </c>
      <c r="F137" s="168" t="s">
        <v>494</v>
      </c>
      <c r="G137" s="168" t="s">
        <v>494</v>
      </c>
      <c r="H137" s="168" t="s">
        <v>494</v>
      </c>
      <c r="I137" s="168" t="s">
        <v>494</v>
      </c>
      <c r="J137" s="168" t="s">
        <v>494</v>
      </c>
      <c r="K137" s="147" t="s">
        <v>494</v>
      </c>
      <c r="L137" s="148" t="s">
        <v>494</v>
      </c>
      <c r="M137" s="148" t="s">
        <v>494</v>
      </c>
      <c r="N137" s="148" t="s">
        <v>494</v>
      </c>
      <c r="O137" s="147" t="s">
        <v>494</v>
      </c>
    </row>
    <row r="138" spans="1:15" ht="17.25" customHeight="1">
      <c r="A138" s="143" t="s">
        <v>494</v>
      </c>
      <c r="B138" s="166" t="s">
        <v>494</v>
      </c>
      <c r="C138" s="191" t="s">
        <v>1048</v>
      </c>
      <c r="D138" s="168" t="s">
        <v>494</v>
      </c>
      <c r="E138" s="168" t="s">
        <v>494</v>
      </c>
      <c r="F138" s="168" t="s">
        <v>494</v>
      </c>
      <c r="G138" s="168" t="s">
        <v>494</v>
      </c>
      <c r="H138" s="168" t="s">
        <v>494</v>
      </c>
      <c r="I138" s="168" t="s">
        <v>494</v>
      </c>
      <c r="J138" s="168" t="s">
        <v>494</v>
      </c>
      <c r="K138" s="147" t="s">
        <v>494</v>
      </c>
      <c r="L138" s="148" t="s">
        <v>494</v>
      </c>
      <c r="M138" s="148" t="s">
        <v>494</v>
      </c>
      <c r="N138" s="148" t="s">
        <v>494</v>
      </c>
      <c r="O138" s="147" t="s">
        <v>494</v>
      </c>
    </row>
    <row r="139" spans="1:15" ht="17.25" customHeight="1">
      <c r="A139" s="177" t="s">
        <v>1049</v>
      </c>
      <c r="B139" s="166" t="s">
        <v>494</v>
      </c>
      <c r="C139" s="190" t="s">
        <v>1050</v>
      </c>
      <c r="D139" s="168" t="s">
        <v>890</v>
      </c>
      <c r="E139" s="168" t="s">
        <v>890</v>
      </c>
      <c r="F139" s="168" t="s">
        <v>890</v>
      </c>
      <c r="G139" s="168">
        <v>117127649625</v>
      </c>
      <c r="H139" s="168">
        <v>5670428400</v>
      </c>
      <c r="I139" s="168">
        <v>4701530658</v>
      </c>
      <c r="J139" s="168">
        <v>3686495499</v>
      </c>
      <c r="K139" s="147" t="s">
        <v>494</v>
      </c>
      <c r="L139" s="148" t="s">
        <v>494</v>
      </c>
      <c r="M139" s="148" t="s">
        <v>494</v>
      </c>
      <c r="N139" s="148" t="s">
        <v>494</v>
      </c>
      <c r="O139" s="147" t="s">
        <v>494</v>
      </c>
    </row>
    <row r="140" spans="1:15" ht="17.25" customHeight="1">
      <c r="A140" s="177" t="s">
        <v>1051</v>
      </c>
      <c r="B140" s="166" t="s">
        <v>494</v>
      </c>
      <c r="C140" s="190" t="s">
        <v>1052</v>
      </c>
      <c r="D140" s="168" t="s">
        <v>890</v>
      </c>
      <c r="E140" s="168" t="s">
        <v>890</v>
      </c>
      <c r="F140" s="168" t="s">
        <v>890</v>
      </c>
      <c r="G140" s="168" t="s">
        <v>890</v>
      </c>
      <c r="H140" s="168" t="s">
        <v>890</v>
      </c>
      <c r="I140" s="168" t="s">
        <v>890</v>
      </c>
      <c r="J140" s="168" t="s">
        <v>494</v>
      </c>
      <c r="K140" s="147" t="s">
        <v>494</v>
      </c>
      <c r="L140" s="148" t="s">
        <v>494</v>
      </c>
      <c r="M140" s="148" t="s">
        <v>494</v>
      </c>
      <c r="N140" s="148" t="s">
        <v>494</v>
      </c>
      <c r="O140" s="147" t="s">
        <v>494</v>
      </c>
    </row>
    <row r="141" spans="1:15" ht="17.25" customHeight="1">
      <c r="A141" s="177" t="s">
        <v>1053</v>
      </c>
      <c r="B141" s="166" t="s">
        <v>494</v>
      </c>
      <c r="C141" s="190" t="s">
        <v>1054</v>
      </c>
      <c r="D141" s="168">
        <v>94943871845</v>
      </c>
      <c r="E141" s="168">
        <v>94789222087</v>
      </c>
      <c r="F141" s="168">
        <v>87525005000</v>
      </c>
      <c r="G141" s="168">
        <v>78178897594</v>
      </c>
      <c r="H141" s="168">
        <v>82966445302</v>
      </c>
      <c r="I141" s="168">
        <v>159771688434</v>
      </c>
      <c r="J141" s="168">
        <v>107208982815</v>
      </c>
      <c r="K141" s="147" t="s">
        <v>494</v>
      </c>
      <c r="L141" s="148" t="s">
        <v>494</v>
      </c>
      <c r="M141" s="148" t="s">
        <v>494</v>
      </c>
      <c r="N141" s="148" t="s">
        <v>494</v>
      </c>
      <c r="O141" s="147" t="s">
        <v>494</v>
      </c>
    </row>
    <row r="142" spans="1:15" ht="17.25" customHeight="1">
      <c r="A142" s="177" t="s">
        <v>1055</v>
      </c>
      <c r="B142" s="166" t="s">
        <v>494</v>
      </c>
      <c r="C142" s="190" t="s">
        <v>1056</v>
      </c>
      <c r="D142" s="168" t="s">
        <v>890</v>
      </c>
      <c r="E142" s="168">
        <v>38639709471</v>
      </c>
      <c r="F142" s="168">
        <v>551330473347</v>
      </c>
      <c r="G142" s="168">
        <v>943159874957</v>
      </c>
      <c r="H142" s="168">
        <v>2046866258087</v>
      </c>
      <c r="I142" s="168">
        <v>3239928004057</v>
      </c>
      <c r="J142" s="168">
        <v>3371410493349</v>
      </c>
      <c r="K142" s="147" t="s">
        <v>494</v>
      </c>
      <c r="L142" s="148" t="s">
        <v>494</v>
      </c>
      <c r="M142" s="148" t="s">
        <v>494</v>
      </c>
      <c r="N142" s="148" t="s">
        <v>494</v>
      </c>
      <c r="O142" s="147" t="s">
        <v>494</v>
      </c>
    </row>
    <row r="143" spans="1:15" ht="17.25" customHeight="1">
      <c r="A143" s="177" t="s">
        <v>1057</v>
      </c>
      <c r="B143" s="166" t="s">
        <v>494</v>
      </c>
      <c r="C143" s="190" t="s">
        <v>1058</v>
      </c>
      <c r="D143" s="168" t="s">
        <v>890</v>
      </c>
      <c r="E143" s="168">
        <v>1618530900</v>
      </c>
      <c r="F143" s="168">
        <v>1418530900</v>
      </c>
      <c r="G143" s="168">
        <v>4045179259</v>
      </c>
      <c r="H143" s="168">
        <v>3465179259</v>
      </c>
      <c r="I143" s="168">
        <v>3268431432</v>
      </c>
      <c r="J143" s="168">
        <v>3242177880</v>
      </c>
      <c r="K143" s="147" t="s">
        <v>494</v>
      </c>
      <c r="L143" s="189">
        <v>171618459205</v>
      </c>
      <c r="M143" s="148" t="s">
        <v>494</v>
      </c>
      <c r="N143" s="148" t="s">
        <v>494</v>
      </c>
      <c r="O143" s="147" t="s">
        <v>494</v>
      </c>
    </row>
    <row r="144" spans="1:15" ht="17.25" customHeight="1">
      <c r="A144" s="177" t="s">
        <v>1059</v>
      </c>
      <c r="B144" s="166" t="s">
        <v>494</v>
      </c>
      <c r="C144" s="190" t="s">
        <v>1060</v>
      </c>
      <c r="D144" s="168">
        <v>48177617249</v>
      </c>
      <c r="E144" s="168">
        <v>56738057102</v>
      </c>
      <c r="F144" s="168">
        <v>62305764493</v>
      </c>
      <c r="G144" s="168">
        <v>53013241703</v>
      </c>
      <c r="H144" s="168">
        <v>34097516232</v>
      </c>
      <c r="I144" s="168">
        <v>39436165919</v>
      </c>
      <c r="J144" s="168">
        <v>31571026153</v>
      </c>
      <c r="K144" s="147" t="s">
        <v>494</v>
      </c>
      <c r="L144" s="148" t="s">
        <v>494</v>
      </c>
      <c r="M144" s="148" t="s">
        <v>494</v>
      </c>
      <c r="N144" s="148" t="s">
        <v>494</v>
      </c>
      <c r="O144" s="147" t="s">
        <v>494</v>
      </c>
    </row>
    <row r="145" spans="1:15" ht="17.25" customHeight="1">
      <c r="A145" s="177" t="s">
        <v>1061</v>
      </c>
      <c r="B145" s="166" t="s">
        <v>494</v>
      </c>
      <c r="C145" s="190" t="s">
        <v>1062</v>
      </c>
      <c r="D145" s="168" t="s">
        <v>494</v>
      </c>
      <c r="E145" s="168" t="s">
        <v>494</v>
      </c>
      <c r="F145" s="168" t="s">
        <v>494</v>
      </c>
      <c r="G145" s="168" t="s">
        <v>494</v>
      </c>
      <c r="H145" s="168" t="s">
        <v>494</v>
      </c>
      <c r="I145" s="168" t="s">
        <v>494</v>
      </c>
      <c r="J145" s="168">
        <v>25909776858</v>
      </c>
      <c r="K145" s="147" t="s">
        <v>494</v>
      </c>
      <c r="L145" s="148" t="s">
        <v>494</v>
      </c>
      <c r="M145" s="148" t="s">
        <v>494</v>
      </c>
      <c r="N145" s="148" t="s">
        <v>494</v>
      </c>
      <c r="O145" s="147" t="s">
        <v>494</v>
      </c>
    </row>
    <row r="146" spans="1:15" ht="17.25" customHeight="1">
      <c r="A146" s="143" t="s">
        <v>494</v>
      </c>
      <c r="B146" s="166" t="s">
        <v>494</v>
      </c>
      <c r="C146" s="188" t="s">
        <v>1063</v>
      </c>
      <c r="D146" s="176">
        <v>143121489094</v>
      </c>
      <c r="E146" s="176">
        <v>191785519560</v>
      </c>
      <c r="F146" s="176">
        <v>702579773740</v>
      </c>
      <c r="G146" s="176">
        <v>1195524843138</v>
      </c>
      <c r="H146" s="176">
        <v>2173065827280</v>
      </c>
      <c r="I146" s="176">
        <v>3447105820499</v>
      </c>
      <c r="J146" s="176">
        <v>3543028952554</v>
      </c>
      <c r="K146" s="147" t="s">
        <v>494</v>
      </c>
      <c r="L146" s="148" t="s">
        <v>494</v>
      </c>
      <c r="M146" s="148" t="s">
        <v>494</v>
      </c>
      <c r="N146" s="148" t="s">
        <v>494</v>
      </c>
      <c r="O146" s="147" t="s">
        <v>494</v>
      </c>
    </row>
    <row r="147" spans="1:15" ht="17.25" customHeight="1">
      <c r="A147" s="143" t="s">
        <v>494</v>
      </c>
      <c r="B147" s="166" t="s">
        <v>494</v>
      </c>
      <c r="C147" s="190" t="s">
        <v>494</v>
      </c>
      <c r="D147" s="168" t="s">
        <v>494</v>
      </c>
      <c r="E147" s="168" t="s">
        <v>494</v>
      </c>
      <c r="F147" s="168" t="s">
        <v>494</v>
      </c>
      <c r="G147" s="168" t="s">
        <v>494</v>
      </c>
      <c r="H147" s="168" t="s">
        <v>494</v>
      </c>
      <c r="I147" s="168" t="s">
        <v>494</v>
      </c>
      <c r="J147" s="168" t="s">
        <v>494</v>
      </c>
      <c r="K147" s="147" t="s">
        <v>494</v>
      </c>
      <c r="L147" s="148" t="s">
        <v>494</v>
      </c>
      <c r="M147" s="148" t="s">
        <v>494</v>
      </c>
      <c r="N147" s="148" t="s">
        <v>494</v>
      </c>
      <c r="O147" s="147" t="s">
        <v>494</v>
      </c>
    </row>
    <row r="148" spans="1:15" ht="17.25" customHeight="1">
      <c r="A148" s="193" t="s">
        <v>494</v>
      </c>
      <c r="B148" s="194" t="s">
        <v>494</v>
      </c>
      <c r="C148" s="196" t="s">
        <v>1064</v>
      </c>
      <c r="D148" s="165">
        <v>349233870693</v>
      </c>
      <c r="E148" s="165">
        <v>479458723863</v>
      </c>
      <c r="F148" s="165">
        <v>926963487103</v>
      </c>
      <c r="G148" s="165">
        <v>3393389718387</v>
      </c>
      <c r="H148" s="165">
        <v>4718162150542</v>
      </c>
      <c r="I148" s="165">
        <v>5431902670892</v>
      </c>
      <c r="J148" s="165">
        <v>5073036590609</v>
      </c>
      <c r="K148" s="147" t="s">
        <v>494</v>
      </c>
      <c r="L148" s="148" t="s">
        <v>494</v>
      </c>
      <c r="M148" s="148" t="s">
        <v>494</v>
      </c>
      <c r="N148" s="148" t="s">
        <v>494</v>
      </c>
      <c r="O148" s="147" t="s">
        <v>494</v>
      </c>
    </row>
    <row r="149" spans="1:15" ht="17.25" customHeight="1">
      <c r="A149" s="143" t="s">
        <v>494</v>
      </c>
      <c r="B149" s="166" t="s">
        <v>494</v>
      </c>
      <c r="C149" s="190" t="s">
        <v>494</v>
      </c>
      <c r="D149" s="168" t="s">
        <v>494</v>
      </c>
      <c r="E149" s="168" t="s">
        <v>494</v>
      </c>
      <c r="F149" s="168" t="s">
        <v>494</v>
      </c>
      <c r="G149" s="168" t="s">
        <v>494</v>
      </c>
      <c r="H149" s="168" t="s">
        <v>494</v>
      </c>
      <c r="I149" s="168" t="s">
        <v>494</v>
      </c>
      <c r="J149" s="168" t="s">
        <v>494</v>
      </c>
      <c r="K149" s="147" t="s">
        <v>494</v>
      </c>
      <c r="L149" s="148" t="s">
        <v>494</v>
      </c>
      <c r="M149" s="148" t="s">
        <v>494</v>
      </c>
      <c r="N149" s="148" t="s">
        <v>494</v>
      </c>
      <c r="O149" s="147" t="s">
        <v>494</v>
      </c>
    </row>
    <row r="150" spans="1:15" ht="17.25" customHeight="1">
      <c r="A150" s="143" t="s">
        <v>494</v>
      </c>
      <c r="B150" s="166" t="s">
        <v>494</v>
      </c>
      <c r="C150" s="191" t="s">
        <v>1065</v>
      </c>
      <c r="D150" s="168" t="s">
        <v>494</v>
      </c>
      <c r="E150" s="168" t="s">
        <v>494</v>
      </c>
      <c r="F150" s="168" t="s">
        <v>494</v>
      </c>
      <c r="G150" s="168" t="s">
        <v>494</v>
      </c>
      <c r="H150" s="168" t="s">
        <v>494</v>
      </c>
      <c r="I150" s="168" t="s">
        <v>494</v>
      </c>
      <c r="J150" s="168" t="s">
        <v>494</v>
      </c>
      <c r="K150" s="147" t="s">
        <v>494</v>
      </c>
      <c r="L150" s="148" t="s">
        <v>494</v>
      </c>
      <c r="M150" s="148" t="s">
        <v>494</v>
      </c>
      <c r="N150" s="148" t="s">
        <v>494</v>
      </c>
      <c r="O150" s="147" t="s">
        <v>494</v>
      </c>
    </row>
    <row r="151" spans="1:15" ht="17.25" customHeight="1">
      <c r="A151" s="177" t="s">
        <v>1066</v>
      </c>
      <c r="B151" s="166" t="s">
        <v>494</v>
      </c>
      <c r="C151" s="190" t="s">
        <v>1067</v>
      </c>
      <c r="D151" s="168">
        <v>880000000000</v>
      </c>
      <c r="E151" s="168">
        <v>880000000000</v>
      </c>
      <c r="F151" s="168">
        <v>880000000000</v>
      </c>
      <c r="G151" s="168">
        <v>1380000000000</v>
      </c>
      <c r="H151" s="168">
        <v>2147660000000</v>
      </c>
      <c r="I151" s="168">
        <v>2147660000000</v>
      </c>
      <c r="J151" s="168">
        <v>3019750000000</v>
      </c>
      <c r="K151" s="147" t="s">
        <v>494</v>
      </c>
      <c r="L151" s="148" t="s">
        <v>494</v>
      </c>
      <c r="M151" s="148" t="s">
        <v>494</v>
      </c>
      <c r="N151" s="148" t="s">
        <v>494</v>
      </c>
      <c r="O151" s="147" t="s">
        <v>494</v>
      </c>
    </row>
    <row r="152" spans="1:15" ht="17.25" customHeight="1">
      <c r="A152" s="177" t="s">
        <v>1068</v>
      </c>
      <c r="B152" s="166" t="s">
        <v>494</v>
      </c>
      <c r="C152" s="190" t="s">
        <v>1069</v>
      </c>
      <c r="D152" s="168" t="s">
        <v>890</v>
      </c>
      <c r="E152" s="168" t="s">
        <v>890</v>
      </c>
      <c r="F152" s="168">
        <v>500000000000</v>
      </c>
      <c r="G152" s="168">
        <v>470000000000</v>
      </c>
      <c r="H152" s="168" t="s">
        <v>890</v>
      </c>
      <c r="I152" s="168" t="s">
        <v>890</v>
      </c>
      <c r="J152" s="168" t="s">
        <v>890</v>
      </c>
      <c r="K152" s="147" t="s">
        <v>494</v>
      </c>
      <c r="L152" s="148" t="s">
        <v>494</v>
      </c>
      <c r="M152" s="148" t="s">
        <v>494</v>
      </c>
      <c r="N152" s="148" t="s">
        <v>494</v>
      </c>
      <c r="O152" s="147" t="s">
        <v>494</v>
      </c>
    </row>
    <row r="153" spans="1:15" ht="17.25" customHeight="1">
      <c r="A153" s="177" t="s">
        <v>1070</v>
      </c>
      <c r="B153" s="166" t="s">
        <v>494</v>
      </c>
      <c r="C153" s="190" t="s">
        <v>1071</v>
      </c>
      <c r="D153" s="168">
        <v>297660000000</v>
      </c>
      <c r="E153" s="168">
        <v>297660000000</v>
      </c>
      <c r="F153" s="168">
        <v>297660000000</v>
      </c>
      <c r="G153" s="168">
        <v>297660000000</v>
      </c>
      <c r="H153" s="168" t="s">
        <v>890</v>
      </c>
      <c r="I153" s="168" t="s">
        <v>890</v>
      </c>
      <c r="J153" s="168" t="s">
        <v>890</v>
      </c>
      <c r="K153" s="147" t="s">
        <v>494</v>
      </c>
      <c r="L153" s="148" t="s">
        <v>494</v>
      </c>
      <c r="M153" s="148" t="s">
        <v>494</v>
      </c>
      <c r="N153" s="148" t="s">
        <v>494</v>
      </c>
      <c r="O153" s="147" t="s">
        <v>494</v>
      </c>
    </row>
    <row r="154" spans="1:15" ht="17.25" customHeight="1">
      <c r="A154" s="177" t="s">
        <v>494</v>
      </c>
      <c r="B154" s="166" t="s">
        <v>494</v>
      </c>
      <c r="C154" s="175" t="s">
        <v>1072</v>
      </c>
      <c r="D154" s="176">
        <v>1177660000000</v>
      </c>
      <c r="E154" s="176">
        <v>1177660000000</v>
      </c>
      <c r="F154" s="176">
        <v>1677660000000</v>
      </c>
      <c r="G154" s="176">
        <v>2147660000000</v>
      </c>
      <c r="H154" s="176">
        <v>2147660000000</v>
      </c>
      <c r="I154" s="176">
        <v>2147660000000</v>
      </c>
      <c r="J154" s="176">
        <v>3019750000000</v>
      </c>
      <c r="K154" s="147" t="s">
        <v>494</v>
      </c>
      <c r="L154" s="148" t="s">
        <v>494</v>
      </c>
      <c r="M154" s="148" t="s">
        <v>494</v>
      </c>
      <c r="N154" s="148" t="s">
        <v>494</v>
      </c>
      <c r="O154" s="147" t="s">
        <v>494</v>
      </c>
    </row>
    <row r="155" spans="1:15" ht="17.25" customHeight="1">
      <c r="A155" s="177" t="s">
        <v>1073</v>
      </c>
      <c r="B155" s="166" t="s">
        <v>494</v>
      </c>
      <c r="C155" s="190" t="s">
        <v>1074</v>
      </c>
      <c r="D155" s="168">
        <v>148007499</v>
      </c>
      <c r="E155" s="168">
        <v>148007499</v>
      </c>
      <c r="F155" s="168">
        <v>148007499</v>
      </c>
      <c r="G155" s="168">
        <v>148007499</v>
      </c>
      <c r="H155" s="168">
        <v>148007499</v>
      </c>
      <c r="I155" s="168">
        <v>148007499</v>
      </c>
      <c r="J155" s="168">
        <v>148007499</v>
      </c>
      <c r="K155" s="147" t="s">
        <v>494</v>
      </c>
      <c r="L155" s="148" t="s">
        <v>494</v>
      </c>
      <c r="M155" s="148" t="s">
        <v>494</v>
      </c>
      <c r="N155" s="148" t="s">
        <v>494</v>
      </c>
      <c r="O155" s="147" t="s">
        <v>494</v>
      </c>
    </row>
    <row r="156" spans="1:15" ht="17.25" customHeight="1">
      <c r="A156" s="177" t="s">
        <v>1075</v>
      </c>
      <c r="B156" s="166" t="s">
        <v>494</v>
      </c>
      <c r="C156" s="190" t="s">
        <v>1076</v>
      </c>
      <c r="D156" s="168">
        <v>-696659948</v>
      </c>
      <c r="E156" s="168">
        <v>-7031285893</v>
      </c>
      <c r="F156" s="168">
        <v>7531287646</v>
      </c>
      <c r="G156" s="168">
        <v>-518598806</v>
      </c>
      <c r="H156" s="168">
        <v>13040170278</v>
      </c>
      <c r="I156" s="168">
        <v>14665105134</v>
      </c>
      <c r="J156" s="168">
        <v>35198916821</v>
      </c>
      <c r="K156" s="147" t="s">
        <v>494</v>
      </c>
      <c r="L156" s="148" t="s">
        <v>494</v>
      </c>
      <c r="M156" s="148" t="s">
        <v>494</v>
      </c>
      <c r="N156" s="148" t="s">
        <v>494</v>
      </c>
      <c r="O156" s="147" t="s">
        <v>494</v>
      </c>
    </row>
    <row r="157" spans="1:15" ht="17.25" customHeight="1">
      <c r="A157" s="143" t="s">
        <v>494</v>
      </c>
      <c r="B157" s="166" t="s">
        <v>494</v>
      </c>
      <c r="C157" s="188" t="s">
        <v>1077</v>
      </c>
      <c r="D157" s="176">
        <v>1177111347551</v>
      </c>
      <c r="E157" s="176">
        <v>1170776721606</v>
      </c>
      <c r="F157" s="176">
        <v>1685339295145</v>
      </c>
      <c r="G157" s="176">
        <v>2147289408693</v>
      </c>
      <c r="H157" s="176">
        <v>2160848177777</v>
      </c>
      <c r="I157" s="176">
        <v>2162473112633</v>
      </c>
      <c r="J157" s="176">
        <v>3055096924320</v>
      </c>
      <c r="K157" s="147" t="s">
        <v>494</v>
      </c>
      <c r="L157" s="148" t="s">
        <v>494</v>
      </c>
      <c r="M157" s="148" t="s">
        <v>494</v>
      </c>
      <c r="N157" s="148" t="s">
        <v>494</v>
      </c>
      <c r="O157" s="147" t="s">
        <v>494</v>
      </c>
    </row>
    <row r="158" spans="1:15" ht="17.25" customHeight="1">
      <c r="A158" s="143" t="s">
        <v>494</v>
      </c>
      <c r="B158" s="166" t="s">
        <v>494</v>
      </c>
      <c r="C158" s="190" t="s">
        <v>494</v>
      </c>
      <c r="D158" s="168" t="s">
        <v>494</v>
      </c>
      <c r="E158" s="168" t="s">
        <v>494</v>
      </c>
      <c r="F158" s="168" t="s">
        <v>494</v>
      </c>
      <c r="G158" s="168" t="s">
        <v>494</v>
      </c>
      <c r="H158" s="168" t="s">
        <v>494</v>
      </c>
      <c r="I158" s="168" t="s">
        <v>494</v>
      </c>
      <c r="J158" s="168" t="s">
        <v>494</v>
      </c>
      <c r="K158" s="147" t="s">
        <v>494</v>
      </c>
      <c r="L158" s="148" t="s">
        <v>494</v>
      </c>
      <c r="M158" s="148" t="s">
        <v>494</v>
      </c>
      <c r="N158" s="148" t="s">
        <v>494</v>
      </c>
      <c r="O158" s="147" t="s">
        <v>494</v>
      </c>
    </row>
    <row r="159" spans="1:15" ht="17.25" customHeight="1">
      <c r="A159" s="143" t="s">
        <v>494</v>
      </c>
      <c r="B159" s="166" t="s">
        <v>494</v>
      </c>
      <c r="C159" s="191" t="s">
        <v>1078</v>
      </c>
      <c r="D159" s="168" t="s">
        <v>494</v>
      </c>
      <c r="E159" s="168" t="s">
        <v>494</v>
      </c>
      <c r="F159" s="168" t="s">
        <v>494</v>
      </c>
      <c r="G159" s="168" t="s">
        <v>494</v>
      </c>
      <c r="H159" s="168" t="s">
        <v>494</v>
      </c>
      <c r="I159" s="168" t="s">
        <v>494</v>
      </c>
      <c r="J159" s="168" t="s">
        <v>494</v>
      </c>
      <c r="K159" s="147" t="s">
        <v>494</v>
      </c>
      <c r="L159" s="148" t="s">
        <v>494</v>
      </c>
      <c r="M159" s="148" t="s">
        <v>494</v>
      </c>
      <c r="N159" s="148" t="s">
        <v>494</v>
      </c>
      <c r="O159" s="147" t="s">
        <v>494</v>
      </c>
    </row>
    <row r="160" spans="1:15" ht="17.25" customHeight="1">
      <c r="A160" s="177" t="s">
        <v>1079</v>
      </c>
      <c r="B160" s="166" t="s">
        <v>494</v>
      </c>
      <c r="C160" s="190" t="s">
        <v>1080</v>
      </c>
      <c r="D160" s="168">
        <v>277572843823</v>
      </c>
      <c r="E160" s="168">
        <v>343309390888</v>
      </c>
      <c r="F160" s="168">
        <v>387294558722</v>
      </c>
      <c r="G160" s="168">
        <v>412046441472</v>
      </c>
      <c r="H160" s="168">
        <v>412046441472</v>
      </c>
      <c r="I160" s="168">
        <v>412046441472</v>
      </c>
      <c r="J160" s="168">
        <v>412046441472</v>
      </c>
      <c r="K160" s="147" t="s">
        <v>494</v>
      </c>
      <c r="L160" s="148" t="s">
        <v>494</v>
      </c>
      <c r="M160" s="148" t="s">
        <v>494</v>
      </c>
      <c r="N160" s="148" t="s">
        <v>494</v>
      </c>
      <c r="O160" s="147" t="s">
        <v>494</v>
      </c>
    </row>
    <row r="161" spans="1:15" ht="17.25" customHeight="1">
      <c r="A161" s="177" t="s">
        <v>1081</v>
      </c>
      <c r="B161" s="166" t="s">
        <v>494</v>
      </c>
      <c r="C161" s="190" t="s">
        <v>1082</v>
      </c>
      <c r="D161" s="168">
        <v>42929487920</v>
      </c>
      <c r="E161" s="168">
        <v>13874048690</v>
      </c>
      <c r="F161" s="168">
        <v>-15641384994</v>
      </c>
      <c r="G161" s="168">
        <v>-219856697005</v>
      </c>
      <c r="H161" s="168">
        <v>-429744671420</v>
      </c>
      <c r="I161" s="168">
        <v>-707712321801</v>
      </c>
      <c r="J161" s="168">
        <v>969540078456</v>
      </c>
      <c r="K161" s="147" t="s">
        <v>494</v>
      </c>
      <c r="L161" s="148" t="s">
        <v>494</v>
      </c>
      <c r="M161" s="148" t="s">
        <v>494</v>
      </c>
      <c r="N161" s="148" t="s">
        <v>494</v>
      </c>
      <c r="O161" s="147" t="s">
        <v>494</v>
      </c>
    </row>
    <row r="162" spans="1:15" ht="17.25" customHeight="1">
      <c r="A162" s="177" t="s">
        <v>1083</v>
      </c>
      <c r="B162" s="166" t="s">
        <v>494</v>
      </c>
      <c r="C162" s="188" t="s">
        <v>1084</v>
      </c>
      <c r="D162" s="176">
        <v>320502331743</v>
      </c>
      <c r="E162" s="176">
        <v>357183439578</v>
      </c>
      <c r="F162" s="176">
        <v>371653173728</v>
      </c>
      <c r="G162" s="176">
        <v>192189744467</v>
      </c>
      <c r="H162" s="176">
        <v>-17698229948</v>
      </c>
      <c r="I162" s="176">
        <v>-295665880329</v>
      </c>
      <c r="J162" s="176">
        <v>1381586519928</v>
      </c>
      <c r="K162" s="147" t="s">
        <v>494</v>
      </c>
      <c r="L162" s="189">
        <v>32312076392</v>
      </c>
      <c r="M162" s="148" t="s">
        <v>494</v>
      </c>
      <c r="N162" s="148" t="s">
        <v>494</v>
      </c>
      <c r="O162" s="147" t="s">
        <v>494</v>
      </c>
    </row>
    <row r="163" spans="1:15" ht="17.25" customHeight="1">
      <c r="A163" s="143" t="s">
        <v>494</v>
      </c>
      <c r="B163" s="166" t="s">
        <v>494</v>
      </c>
      <c r="C163" s="190" t="s">
        <v>494</v>
      </c>
      <c r="D163" s="168" t="s">
        <v>494</v>
      </c>
      <c r="E163" s="168" t="s">
        <v>494</v>
      </c>
      <c r="F163" s="168" t="s">
        <v>494</v>
      </c>
      <c r="G163" s="168" t="s">
        <v>494</v>
      </c>
      <c r="H163" s="168" t="s">
        <v>494</v>
      </c>
      <c r="I163" s="168" t="s">
        <v>494</v>
      </c>
      <c r="J163" s="168" t="s">
        <v>494</v>
      </c>
      <c r="K163" s="147" t="s">
        <v>494</v>
      </c>
      <c r="L163" s="148" t="s">
        <v>494</v>
      </c>
      <c r="M163" s="148" t="s">
        <v>494</v>
      </c>
      <c r="N163" s="148" t="s">
        <v>494</v>
      </c>
      <c r="O163" s="147" t="s">
        <v>494</v>
      </c>
    </row>
    <row r="164" spans="1:15" ht="17.25" customHeight="1">
      <c r="A164" s="177" t="s">
        <v>1085</v>
      </c>
      <c r="B164" s="166" t="s">
        <v>494</v>
      </c>
      <c r="C164" s="188" t="s">
        <v>1086</v>
      </c>
      <c r="D164" s="176">
        <v>25468898</v>
      </c>
      <c r="E164" s="176">
        <v>-302852715</v>
      </c>
      <c r="F164" s="176">
        <v>-2078072606</v>
      </c>
      <c r="G164" s="176">
        <v>-1825230381</v>
      </c>
      <c r="H164" s="176">
        <v>-1903623208</v>
      </c>
      <c r="I164" s="176">
        <v>-2353559103</v>
      </c>
      <c r="J164" s="176">
        <v>-3034847928</v>
      </c>
      <c r="K164" s="147" t="s">
        <v>494</v>
      </c>
      <c r="L164" s="148" t="s">
        <v>494</v>
      </c>
      <c r="M164" s="148" t="s">
        <v>494</v>
      </c>
      <c r="N164" s="148" t="s">
        <v>494</v>
      </c>
      <c r="O164" s="147" t="s">
        <v>494</v>
      </c>
    </row>
    <row r="165" spans="1:15" ht="17.25" customHeight="1">
      <c r="A165" s="193" t="s">
        <v>494</v>
      </c>
      <c r="B165" s="194" t="s">
        <v>494</v>
      </c>
      <c r="C165" s="196" t="s">
        <v>1087</v>
      </c>
      <c r="D165" s="165">
        <v>1497639148192</v>
      </c>
      <c r="E165" s="165">
        <v>1527657308469</v>
      </c>
      <c r="F165" s="165">
        <v>2054914396267</v>
      </c>
      <c r="G165" s="165">
        <v>2337653922779</v>
      </c>
      <c r="H165" s="165">
        <v>2141246324621</v>
      </c>
      <c r="I165" s="165">
        <v>1864453673201</v>
      </c>
      <c r="J165" s="165">
        <v>4433648596320</v>
      </c>
      <c r="K165" s="147" t="s">
        <v>494</v>
      </c>
      <c r="L165" s="148" t="s">
        <v>494</v>
      </c>
      <c r="M165" s="148" t="s">
        <v>494</v>
      </c>
      <c r="N165" s="148" t="s">
        <v>494</v>
      </c>
      <c r="O165" s="147" t="s">
        <v>494</v>
      </c>
    </row>
    <row r="166" spans="1:15" ht="17.25" customHeight="1">
      <c r="A166" s="143" t="s">
        <v>494</v>
      </c>
      <c r="B166" s="166" t="s">
        <v>494</v>
      </c>
      <c r="C166" s="190" t="s">
        <v>494</v>
      </c>
      <c r="D166" s="168" t="s">
        <v>494</v>
      </c>
      <c r="E166" s="168" t="s">
        <v>494</v>
      </c>
      <c r="F166" s="168" t="s">
        <v>494</v>
      </c>
      <c r="G166" s="168" t="s">
        <v>494</v>
      </c>
      <c r="H166" s="168" t="s">
        <v>494</v>
      </c>
      <c r="I166" s="168" t="s">
        <v>494</v>
      </c>
      <c r="J166" s="168" t="s">
        <v>494</v>
      </c>
      <c r="K166" s="147" t="s">
        <v>494</v>
      </c>
      <c r="L166" s="148" t="s">
        <v>494</v>
      </c>
      <c r="M166" s="148" t="s">
        <v>494</v>
      </c>
      <c r="N166" s="148" t="s">
        <v>494</v>
      </c>
      <c r="O166" s="147" t="s">
        <v>494</v>
      </c>
    </row>
    <row r="167" spans="1:15" ht="17.25" customHeight="1">
      <c r="A167" s="193" t="s">
        <v>494</v>
      </c>
      <c r="B167" s="194" t="s">
        <v>494</v>
      </c>
      <c r="C167" s="196" t="s">
        <v>1088</v>
      </c>
      <c r="D167" s="165">
        <v>1846873018885</v>
      </c>
      <c r="E167" s="165">
        <v>2007116032332</v>
      </c>
      <c r="F167" s="165">
        <v>2981877883370</v>
      </c>
      <c r="G167" s="165">
        <v>5731043641166</v>
      </c>
      <c r="H167" s="165">
        <v>6859408475163</v>
      </c>
      <c r="I167" s="165">
        <v>7296356344093</v>
      </c>
      <c r="J167" s="165">
        <v>9506685186929</v>
      </c>
      <c r="K167" s="147" t="s">
        <v>494</v>
      </c>
      <c r="L167" s="148" t="s">
        <v>494</v>
      </c>
      <c r="M167" s="148" t="s">
        <v>494</v>
      </c>
      <c r="N167" s="148" t="s">
        <v>494</v>
      </c>
      <c r="O167" s="147" t="s">
        <v>494</v>
      </c>
    </row>
    <row r="168" spans="1:15" ht="17.25" customHeight="1">
      <c r="A168" s="197" t="s">
        <v>494</v>
      </c>
      <c r="B168" s="198" t="s">
        <v>494</v>
      </c>
      <c r="C168" s="199" t="s">
        <v>494</v>
      </c>
      <c r="D168" s="200" t="s">
        <v>1089</v>
      </c>
      <c r="E168" s="200" t="s">
        <v>1089</v>
      </c>
      <c r="F168" s="200" t="s">
        <v>1089</v>
      </c>
      <c r="G168" s="200" t="s">
        <v>1089</v>
      </c>
      <c r="H168" s="200" t="s">
        <v>1089</v>
      </c>
      <c r="I168" s="200" t="s">
        <v>1089</v>
      </c>
      <c r="J168" s="200" t="s">
        <v>1089</v>
      </c>
      <c r="K168" s="201" t="s">
        <v>494</v>
      </c>
      <c r="L168" s="202" t="s">
        <v>494</v>
      </c>
      <c r="M168" s="202" t="s">
        <v>494</v>
      </c>
      <c r="N168" s="202" t="s">
        <v>494</v>
      </c>
      <c r="O168" s="201" t="s">
        <v>494</v>
      </c>
    </row>
    <row r="169" spans="1:15" ht="17.25" customHeight="1">
      <c r="A169" s="143" t="s">
        <v>494</v>
      </c>
      <c r="B169" s="166" t="s">
        <v>494</v>
      </c>
      <c r="C169" s="190" t="s">
        <v>494</v>
      </c>
      <c r="D169" s="168" t="s">
        <v>494</v>
      </c>
      <c r="E169" s="168" t="s">
        <v>494</v>
      </c>
      <c r="F169" s="168" t="s">
        <v>494</v>
      </c>
      <c r="G169" s="168" t="s">
        <v>494</v>
      </c>
      <c r="H169" s="168" t="s">
        <v>494</v>
      </c>
      <c r="I169" s="168" t="s">
        <v>494</v>
      </c>
      <c r="J169" s="168" t="s">
        <v>494</v>
      </c>
      <c r="K169" s="147" t="s">
        <v>494</v>
      </c>
      <c r="L169" s="148" t="s">
        <v>494</v>
      </c>
      <c r="M169" s="148" t="s">
        <v>494</v>
      </c>
      <c r="N169" s="148" t="s">
        <v>494</v>
      </c>
      <c r="O169" s="147" t="s">
        <v>494</v>
      </c>
    </row>
    <row r="170" spans="1:15" ht="17.25" customHeight="1">
      <c r="A170" s="143" t="s">
        <v>494</v>
      </c>
      <c r="B170" s="163" t="s">
        <v>1090</v>
      </c>
      <c r="C170" s="196" t="s">
        <v>1091</v>
      </c>
      <c r="D170" s="187" t="s">
        <v>494</v>
      </c>
      <c r="E170" s="187" t="s">
        <v>494</v>
      </c>
      <c r="F170" s="187" t="s">
        <v>494</v>
      </c>
      <c r="G170" s="187" t="s">
        <v>494</v>
      </c>
      <c r="H170" s="187" t="s">
        <v>494</v>
      </c>
      <c r="I170" s="187" t="s">
        <v>494</v>
      </c>
      <c r="J170" s="187" t="s">
        <v>494</v>
      </c>
      <c r="K170" s="147" t="s">
        <v>494</v>
      </c>
      <c r="L170" s="148" t="s">
        <v>494</v>
      </c>
      <c r="M170" s="148" t="s">
        <v>494</v>
      </c>
      <c r="N170" s="148" t="s">
        <v>494</v>
      </c>
      <c r="O170" s="147" t="s">
        <v>494</v>
      </c>
    </row>
    <row r="171" spans="1:15" ht="17.25" customHeight="1">
      <c r="A171" s="177" t="s">
        <v>1092</v>
      </c>
      <c r="B171" s="166" t="s">
        <v>494</v>
      </c>
      <c r="C171" s="190" t="s">
        <v>1093</v>
      </c>
      <c r="D171" s="168">
        <v>336892370881</v>
      </c>
      <c r="E171" s="168">
        <v>330043783851</v>
      </c>
      <c r="F171" s="168">
        <v>114531393544</v>
      </c>
      <c r="G171" s="168">
        <v>239618584042</v>
      </c>
      <c r="H171" s="168">
        <v>672681819876</v>
      </c>
      <c r="I171" s="168">
        <v>891571064051</v>
      </c>
      <c r="J171" s="168">
        <v>3979744044584</v>
      </c>
      <c r="K171" s="147" t="s">
        <v>494</v>
      </c>
      <c r="L171" s="148" t="s">
        <v>494</v>
      </c>
      <c r="M171" s="148" t="s">
        <v>494</v>
      </c>
      <c r="N171" s="148" t="s">
        <v>494</v>
      </c>
      <c r="O171" s="147" t="s">
        <v>494</v>
      </c>
    </row>
    <row r="172" spans="1:15" ht="17.25" customHeight="1">
      <c r="A172" s="177" t="s">
        <v>1094</v>
      </c>
      <c r="B172" s="166" t="s">
        <v>494</v>
      </c>
      <c r="C172" s="190" t="s">
        <v>1095</v>
      </c>
      <c r="D172" s="168">
        <v>12887834444</v>
      </c>
      <c r="E172" s="168">
        <v>8402918714</v>
      </c>
      <c r="F172" s="168">
        <v>5157745529</v>
      </c>
      <c r="G172" s="168">
        <v>8157514878</v>
      </c>
      <c r="H172" s="168">
        <v>10384086519</v>
      </c>
      <c r="I172" s="168">
        <v>6006284857</v>
      </c>
      <c r="J172" s="168">
        <v>16491743998</v>
      </c>
      <c r="K172" s="147" t="s">
        <v>494</v>
      </c>
      <c r="L172" s="148" t="s">
        <v>494</v>
      </c>
      <c r="M172" s="148" t="s">
        <v>494</v>
      </c>
      <c r="N172" s="148" t="s">
        <v>494</v>
      </c>
      <c r="O172" s="147" t="s">
        <v>494</v>
      </c>
    </row>
    <row r="173" spans="1:15" ht="17.25" customHeight="1">
      <c r="A173" s="177" t="s">
        <v>1096</v>
      </c>
      <c r="B173" s="166" t="s">
        <v>494</v>
      </c>
      <c r="C173" s="190" t="s">
        <v>1097</v>
      </c>
      <c r="D173" s="168">
        <v>3828378415</v>
      </c>
      <c r="E173" s="168">
        <v>6625960773</v>
      </c>
      <c r="F173" s="168">
        <v>6364405949</v>
      </c>
      <c r="G173" s="168">
        <v>26334537795</v>
      </c>
      <c r="H173" s="168">
        <v>29268703653</v>
      </c>
      <c r="I173" s="168">
        <v>20623647591</v>
      </c>
      <c r="J173" s="168" t="s">
        <v>494</v>
      </c>
      <c r="K173" s="147" t="s">
        <v>494</v>
      </c>
      <c r="L173" s="148" t="s">
        <v>494</v>
      </c>
      <c r="M173" s="148" t="s">
        <v>494</v>
      </c>
      <c r="N173" s="148" t="s">
        <v>494</v>
      </c>
      <c r="O173" s="147" t="s">
        <v>494</v>
      </c>
    </row>
    <row r="174" spans="1:15" ht="17.25" customHeight="1">
      <c r="A174" s="177" t="s">
        <v>1098</v>
      </c>
      <c r="B174" s="166" t="s">
        <v>494</v>
      </c>
      <c r="C174" s="190" t="s">
        <v>1099</v>
      </c>
      <c r="D174" s="168">
        <v>-37730399387</v>
      </c>
      <c r="E174" s="168">
        <v>-41212435455</v>
      </c>
      <c r="F174" s="168">
        <v>-53001503001</v>
      </c>
      <c r="G174" s="168">
        <v>-206098886171</v>
      </c>
      <c r="H174" s="168">
        <v>-350570545730</v>
      </c>
      <c r="I174" s="168">
        <v>-534037286301</v>
      </c>
      <c r="J174" s="168">
        <v>-1467926627440</v>
      </c>
      <c r="K174" s="147" t="s">
        <v>494</v>
      </c>
      <c r="L174" s="148" t="s">
        <v>494</v>
      </c>
      <c r="M174" s="148" t="s">
        <v>494</v>
      </c>
      <c r="N174" s="148" t="s">
        <v>494</v>
      </c>
      <c r="O174" s="147" t="s">
        <v>494</v>
      </c>
    </row>
    <row r="175" spans="1:15" ht="17.25" customHeight="1">
      <c r="A175" s="177" t="s">
        <v>1100</v>
      </c>
      <c r="B175" s="166" t="s">
        <v>494</v>
      </c>
      <c r="C175" s="190" t="s">
        <v>1101</v>
      </c>
      <c r="D175" s="168">
        <v>-26548198989</v>
      </c>
      <c r="E175" s="168">
        <v>-35220177194</v>
      </c>
      <c r="F175" s="168">
        <v>-12124687480</v>
      </c>
      <c r="G175" s="168">
        <v>-22301999735</v>
      </c>
      <c r="H175" s="168">
        <v>-32608315403</v>
      </c>
      <c r="I175" s="168">
        <v>-49062132167</v>
      </c>
      <c r="J175" s="168" t="s">
        <v>494</v>
      </c>
      <c r="K175" s="147" t="s">
        <v>494</v>
      </c>
      <c r="L175" s="148" t="s">
        <v>494</v>
      </c>
      <c r="M175" s="148" t="s">
        <v>494</v>
      </c>
      <c r="N175" s="148" t="s">
        <v>494</v>
      </c>
      <c r="O175" s="147" t="s">
        <v>494</v>
      </c>
    </row>
    <row r="176" spans="1:15" ht="17.25" customHeight="1">
      <c r="A176" s="177" t="s">
        <v>1102</v>
      </c>
      <c r="B176" s="166" t="s">
        <v>494</v>
      </c>
      <c r="C176" s="190" t="s">
        <v>1103</v>
      </c>
      <c r="D176" s="168">
        <v>-74021323355</v>
      </c>
      <c r="E176" s="168">
        <v>-83156675663</v>
      </c>
      <c r="F176" s="168">
        <v>-96834930221</v>
      </c>
      <c r="G176" s="168">
        <v>-104586670209</v>
      </c>
      <c r="H176" s="168">
        <v>-106294131390</v>
      </c>
      <c r="I176" s="168">
        <v>-108815089207</v>
      </c>
      <c r="J176" s="168">
        <v>-120855294225</v>
      </c>
      <c r="K176" s="147" t="s">
        <v>494</v>
      </c>
      <c r="L176" s="148" t="s">
        <v>494</v>
      </c>
      <c r="M176" s="148" t="s">
        <v>494</v>
      </c>
      <c r="N176" s="148" t="s">
        <v>494</v>
      </c>
      <c r="O176" s="147" t="s">
        <v>494</v>
      </c>
    </row>
    <row r="177" spans="1:15" ht="17.25" customHeight="1">
      <c r="A177" s="177" t="s">
        <v>1104</v>
      </c>
      <c r="B177" s="166" t="s">
        <v>494</v>
      </c>
      <c r="C177" s="190" t="s">
        <v>1105</v>
      </c>
      <c r="D177" s="168">
        <v>-112057142342</v>
      </c>
      <c r="E177" s="168">
        <v>-136489839042</v>
      </c>
      <c r="F177" s="168">
        <v>-83483155448</v>
      </c>
      <c r="G177" s="168">
        <v>-43693647227</v>
      </c>
      <c r="H177" s="168">
        <v>-9649871260</v>
      </c>
      <c r="I177" s="168">
        <v>-5218700772</v>
      </c>
      <c r="J177" s="168" t="s">
        <v>494</v>
      </c>
      <c r="K177" s="147" t="s">
        <v>494</v>
      </c>
      <c r="L177" s="148" t="s">
        <v>494</v>
      </c>
      <c r="M177" s="148" t="s">
        <v>494</v>
      </c>
      <c r="N177" s="148" t="s">
        <v>494</v>
      </c>
      <c r="O177" s="147" t="s">
        <v>494</v>
      </c>
    </row>
    <row r="178" spans="1:15" ht="17.25" customHeight="1">
      <c r="A178" s="177" t="s">
        <v>1106</v>
      </c>
      <c r="B178" s="166" t="s">
        <v>494</v>
      </c>
      <c r="C178" s="190" t="s">
        <v>1107</v>
      </c>
      <c r="D178" s="168" t="s">
        <v>890</v>
      </c>
      <c r="E178" s="168" t="s">
        <v>890</v>
      </c>
      <c r="F178" s="168">
        <v>-338294517</v>
      </c>
      <c r="G178" s="168">
        <v>-16421210035</v>
      </c>
      <c r="H178" s="168">
        <v>-63004873944</v>
      </c>
      <c r="I178" s="168">
        <v>-72717499307</v>
      </c>
      <c r="J178" s="168">
        <v>-100287266906</v>
      </c>
      <c r="K178" s="147" t="s">
        <v>494</v>
      </c>
      <c r="L178" s="148" t="s">
        <v>494</v>
      </c>
      <c r="M178" s="148" t="s">
        <v>494</v>
      </c>
      <c r="N178" s="148" t="s">
        <v>494</v>
      </c>
      <c r="O178" s="147" t="s">
        <v>494</v>
      </c>
    </row>
    <row r="179" spans="1:15" ht="17.25" customHeight="1">
      <c r="A179" s="177" t="s">
        <v>1108</v>
      </c>
      <c r="B179" s="166" t="s">
        <v>494</v>
      </c>
      <c r="C179" s="190" t="s">
        <v>1109</v>
      </c>
      <c r="D179" s="168" t="s">
        <v>890</v>
      </c>
      <c r="E179" s="168" t="s">
        <v>890</v>
      </c>
      <c r="F179" s="168" t="s">
        <v>890</v>
      </c>
      <c r="G179" s="168" t="s">
        <v>890</v>
      </c>
      <c r="H179" s="168">
        <v>-12951283679</v>
      </c>
      <c r="I179" s="168">
        <v>-59562660386</v>
      </c>
      <c r="J179" s="168">
        <v>-21972964074</v>
      </c>
      <c r="K179" s="147" t="s">
        <v>494</v>
      </c>
      <c r="L179" s="148" t="s">
        <v>494</v>
      </c>
      <c r="M179" s="148" t="s">
        <v>494</v>
      </c>
      <c r="N179" s="148" t="s">
        <v>494</v>
      </c>
      <c r="O179" s="147" t="s">
        <v>494</v>
      </c>
    </row>
    <row r="180" spans="1:15" ht="17.25" customHeight="1">
      <c r="A180" s="177" t="s">
        <v>1110</v>
      </c>
      <c r="B180" s="166" t="s">
        <v>494</v>
      </c>
      <c r="C180" s="190" t="s">
        <v>1111</v>
      </c>
      <c r="D180" s="168" t="s">
        <v>494</v>
      </c>
      <c r="E180" s="168" t="s">
        <v>494</v>
      </c>
      <c r="F180" s="168" t="s">
        <v>494</v>
      </c>
      <c r="G180" s="168" t="s">
        <v>494</v>
      </c>
      <c r="H180" s="168" t="s">
        <v>494</v>
      </c>
      <c r="I180" s="168" t="s">
        <v>494</v>
      </c>
      <c r="J180" s="168">
        <v>-2113821839799</v>
      </c>
      <c r="K180" s="147" t="s">
        <v>494</v>
      </c>
      <c r="L180" s="148" t="s">
        <v>494</v>
      </c>
      <c r="M180" s="148" t="s">
        <v>494</v>
      </c>
      <c r="N180" s="148" t="s">
        <v>494</v>
      </c>
      <c r="O180" s="147" t="s">
        <v>494</v>
      </c>
    </row>
    <row r="181" spans="1:15" ht="17.25" customHeight="1">
      <c r="A181" s="177" t="s">
        <v>1112</v>
      </c>
      <c r="B181" s="166" t="s">
        <v>494</v>
      </c>
      <c r="C181" s="190" t="s">
        <v>1113</v>
      </c>
      <c r="D181" s="168" t="s">
        <v>494</v>
      </c>
      <c r="E181" s="168" t="s">
        <v>494</v>
      </c>
      <c r="F181" s="168" t="s">
        <v>494</v>
      </c>
      <c r="G181" s="168" t="s">
        <v>494</v>
      </c>
      <c r="H181" s="168" t="s">
        <v>494</v>
      </c>
      <c r="I181" s="168" t="s">
        <v>494</v>
      </c>
      <c r="J181" s="168">
        <v>-747409415</v>
      </c>
      <c r="K181" s="147" t="s">
        <v>494</v>
      </c>
      <c r="L181" s="148" t="s">
        <v>494</v>
      </c>
      <c r="M181" s="148" t="s">
        <v>494</v>
      </c>
      <c r="N181" s="148" t="s">
        <v>494</v>
      </c>
      <c r="O181" s="147" t="s">
        <v>494</v>
      </c>
    </row>
    <row r="182" spans="1:15" ht="17.25" customHeight="1">
      <c r="A182" s="177" t="s">
        <v>1114</v>
      </c>
      <c r="B182" s="166" t="s">
        <v>494</v>
      </c>
      <c r="C182" s="190" t="s">
        <v>1115</v>
      </c>
      <c r="D182" s="168" t="s">
        <v>890</v>
      </c>
      <c r="E182" s="168" t="s">
        <v>890</v>
      </c>
      <c r="F182" s="168" t="s">
        <v>890</v>
      </c>
      <c r="G182" s="168" t="s">
        <v>890</v>
      </c>
      <c r="H182" s="168" t="s">
        <v>890</v>
      </c>
      <c r="I182" s="168" t="s">
        <v>890</v>
      </c>
      <c r="J182" s="168" t="s">
        <v>494</v>
      </c>
      <c r="K182" s="147" t="s">
        <v>494</v>
      </c>
      <c r="L182" s="148" t="s">
        <v>494</v>
      </c>
      <c r="M182" s="148" t="s">
        <v>494</v>
      </c>
      <c r="N182" s="148" t="s">
        <v>494</v>
      </c>
      <c r="O182" s="147" t="s">
        <v>494</v>
      </c>
    </row>
    <row r="183" spans="1:15" ht="17.25" customHeight="1">
      <c r="A183" s="143" t="s">
        <v>494</v>
      </c>
      <c r="B183" s="166" t="s">
        <v>494</v>
      </c>
      <c r="C183" s="203" t="s">
        <v>1116</v>
      </c>
      <c r="D183" s="204">
        <v>103251519667</v>
      </c>
      <c r="E183" s="204">
        <v>48993535984</v>
      </c>
      <c r="F183" s="204">
        <v>-119729025645</v>
      </c>
      <c r="G183" s="204">
        <v>-118991776662</v>
      </c>
      <c r="H183" s="204">
        <v>137255588642</v>
      </c>
      <c r="I183" s="204">
        <v>88787628359</v>
      </c>
      <c r="J183" s="204">
        <v>170624386723</v>
      </c>
      <c r="K183" s="147" t="s">
        <v>494</v>
      </c>
      <c r="L183" s="148" t="s">
        <v>494</v>
      </c>
      <c r="M183" s="148" t="s">
        <v>494</v>
      </c>
      <c r="N183" s="148" t="s">
        <v>494</v>
      </c>
      <c r="O183" s="147" t="s">
        <v>494</v>
      </c>
    </row>
    <row r="184" spans="1:15" ht="17.25" customHeight="1">
      <c r="A184" s="143" t="s">
        <v>494</v>
      </c>
      <c r="B184" s="166" t="s">
        <v>494</v>
      </c>
      <c r="C184" s="190" t="s">
        <v>494</v>
      </c>
      <c r="D184" s="168" t="s">
        <v>494</v>
      </c>
      <c r="E184" s="168" t="s">
        <v>494</v>
      </c>
      <c r="F184" s="168" t="s">
        <v>494</v>
      </c>
      <c r="G184" s="168" t="s">
        <v>494</v>
      </c>
      <c r="H184" s="168" t="s">
        <v>494</v>
      </c>
      <c r="I184" s="168" t="s">
        <v>494</v>
      </c>
      <c r="J184" s="168" t="s">
        <v>494</v>
      </c>
      <c r="K184" s="147" t="s">
        <v>494</v>
      </c>
      <c r="L184" s="148" t="s">
        <v>494</v>
      </c>
      <c r="M184" s="148" t="s">
        <v>494</v>
      </c>
      <c r="N184" s="148" t="s">
        <v>494</v>
      </c>
      <c r="O184" s="147" t="s">
        <v>494</v>
      </c>
    </row>
    <row r="185" spans="1:15" ht="17.25" customHeight="1">
      <c r="A185" s="177" t="s">
        <v>1117</v>
      </c>
      <c r="B185" s="166" t="s">
        <v>494</v>
      </c>
      <c r="C185" s="190" t="s">
        <v>1118</v>
      </c>
      <c r="D185" s="168">
        <v>88500000000</v>
      </c>
      <c r="E185" s="168" t="s">
        <v>890</v>
      </c>
      <c r="F185" s="168" t="s">
        <v>890</v>
      </c>
      <c r="G185" s="168">
        <v>6000000000</v>
      </c>
      <c r="H185" s="168">
        <v>-11539677364</v>
      </c>
      <c r="I185" s="168">
        <v>11539677364</v>
      </c>
      <c r="J185" s="168">
        <v>-1000000000</v>
      </c>
      <c r="K185" s="147" t="s">
        <v>494</v>
      </c>
      <c r="L185" s="148" t="s">
        <v>494</v>
      </c>
      <c r="M185" s="148" t="s">
        <v>494</v>
      </c>
      <c r="N185" s="148" t="s">
        <v>494</v>
      </c>
      <c r="O185" s="147" t="s">
        <v>494</v>
      </c>
    </row>
    <row r="186" spans="1:15" ht="17.25" customHeight="1">
      <c r="A186" s="177" t="s">
        <v>1119</v>
      </c>
      <c r="B186" s="166" t="s">
        <v>494</v>
      </c>
      <c r="C186" s="190" t="s">
        <v>1120</v>
      </c>
      <c r="D186" s="168" t="s">
        <v>890</v>
      </c>
      <c r="E186" s="168">
        <v>-250000000</v>
      </c>
      <c r="F186" s="168" t="s">
        <v>890</v>
      </c>
      <c r="G186" s="168" t="s">
        <v>890</v>
      </c>
      <c r="H186" s="168" t="s">
        <v>890</v>
      </c>
      <c r="I186" s="168" t="s">
        <v>890</v>
      </c>
      <c r="J186" s="168" t="s">
        <v>494</v>
      </c>
      <c r="K186" s="147" t="s">
        <v>494</v>
      </c>
      <c r="L186" s="148" t="s">
        <v>494</v>
      </c>
      <c r="M186" s="148" t="s">
        <v>494</v>
      </c>
      <c r="N186" s="148" t="s">
        <v>494</v>
      </c>
      <c r="O186" s="147" t="s">
        <v>494</v>
      </c>
    </row>
    <row r="187" spans="1:15" ht="17.25" customHeight="1">
      <c r="A187" s="177" t="s">
        <v>1121</v>
      </c>
      <c r="B187" s="166" t="s">
        <v>494</v>
      </c>
      <c r="C187" s="190" t="s">
        <v>1122</v>
      </c>
      <c r="D187" s="168" t="s">
        <v>890</v>
      </c>
      <c r="E187" s="168" t="s">
        <v>890</v>
      </c>
      <c r="F187" s="168" t="s">
        <v>890</v>
      </c>
      <c r="G187" s="168" t="s">
        <v>890</v>
      </c>
      <c r="H187" s="168" t="s">
        <v>890</v>
      </c>
      <c r="I187" s="168" t="s">
        <v>890</v>
      </c>
      <c r="J187" s="168" t="s">
        <v>494</v>
      </c>
      <c r="K187" s="147" t="s">
        <v>494</v>
      </c>
      <c r="L187" s="148" t="s">
        <v>494</v>
      </c>
      <c r="M187" s="148" t="s">
        <v>494</v>
      </c>
      <c r="N187" s="148" t="s">
        <v>494</v>
      </c>
      <c r="O187" s="147" t="s">
        <v>494</v>
      </c>
    </row>
    <row r="188" spans="1:15" ht="17.25" customHeight="1">
      <c r="A188" s="177" t="s">
        <v>1123</v>
      </c>
      <c r="B188" s="166" t="s">
        <v>494</v>
      </c>
      <c r="C188" s="190" t="s">
        <v>1124</v>
      </c>
      <c r="D188" s="168" t="s">
        <v>890</v>
      </c>
      <c r="E188" s="168">
        <v>-282823245</v>
      </c>
      <c r="F188" s="168" t="s">
        <v>890</v>
      </c>
      <c r="G188" s="168" t="s">
        <v>890</v>
      </c>
      <c r="H188" s="168" t="s">
        <v>890</v>
      </c>
      <c r="I188" s="168" t="s">
        <v>890</v>
      </c>
      <c r="J188" s="168" t="s">
        <v>494</v>
      </c>
      <c r="K188" s="147" t="s">
        <v>494</v>
      </c>
      <c r="L188" s="148" t="s">
        <v>494</v>
      </c>
      <c r="M188" s="148" t="s">
        <v>494</v>
      </c>
      <c r="N188" s="148" t="s">
        <v>494</v>
      </c>
      <c r="O188" s="147" t="s">
        <v>494</v>
      </c>
    </row>
    <row r="189" spans="1:15" ht="17.25" customHeight="1">
      <c r="A189" s="177" t="s">
        <v>1125</v>
      </c>
      <c r="B189" s="166" t="s">
        <v>494</v>
      </c>
      <c r="C189" s="190" t="s">
        <v>1126</v>
      </c>
      <c r="D189" s="168">
        <v>9000000000</v>
      </c>
      <c r="E189" s="168">
        <v>46095254458</v>
      </c>
      <c r="F189" s="168">
        <v>5192546142</v>
      </c>
      <c r="G189" s="168">
        <v>1213601622</v>
      </c>
      <c r="H189" s="168">
        <v>197723500</v>
      </c>
      <c r="I189" s="168" t="s">
        <v>890</v>
      </c>
      <c r="J189" s="168" t="s">
        <v>494</v>
      </c>
      <c r="K189" s="147" t="s">
        <v>494</v>
      </c>
      <c r="L189" s="148" t="s">
        <v>494</v>
      </c>
      <c r="M189" s="148" t="s">
        <v>494</v>
      </c>
      <c r="N189" s="148" t="s">
        <v>494</v>
      </c>
      <c r="O189" s="147" t="s">
        <v>494</v>
      </c>
    </row>
    <row r="190" spans="1:15" ht="17.25" customHeight="1">
      <c r="A190" s="177" t="s">
        <v>1127</v>
      </c>
      <c r="B190" s="166" t="s">
        <v>494</v>
      </c>
      <c r="C190" s="190" t="s">
        <v>1128</v>
      </c>
      <c r="D190" s="168">
        <v>1436419988</v>
      </c>
      <c r="E190" s="168">
        <v>7681746154</v>
      </c>
      <c r="F190" s="168">
        <v>241852500</v>
      </c>
      <c r="G190" s="168" t="s">
        <v>890</v>
      </c>
      <c r="H190" s="168" t="s">
        <v>890</v>
      </c>
      <c r="I190" s="168" t="s">
        <v>890</v>
      </c>
      <c r="J190" s="168" t="s">
        <v>494</v>
      </c>
      <c r="K190" s="147" t="s">
        <v>494</v>
      </c>
      <c r="L190" s="148" t="s">
        <v>494</v>
      </c>
      <c r="M190" s="148" t="s">
        <v>494</v>
      </c>
      <c r="N190" s="148" t="s">
        <v>494</v>
      </c>
      <c r="O190" s="147" t="s">
        <v>494</v>
      </c>
    </row>
    <row r="191" spans="1:15" ht="17.25" customHeight="1">
      <c r="A191" s="177" t="s">
        <v>1129</v>
      </c>
      <c r="B191" s="166" t="s">
        <v>494</v>
      </c>
      <c r="C191" s="190" t="s">
        <v>1130</v>
      </c>
      <c r="D191" s="168">
        <v>-4208010303</v>
      </c>
      <c r="E191" s="168" t="s">
        <v>890</v>
      </c>
      <c r="F191" s="168">
        <v>-317877416659</v>
      </c>
      <c r="G191" s="168">
        <v>-2128577889692</v>
      </c>
      <c r="H191" s="168">
        <v>-876208329493</v>
      </c>
      <c r="I191" s="168">
        <v>-443890839817</v>
      </c>
      <c r="J191" s="168">
        <v>-860718992339</v>
      </c>
      <c r="K191" s="147" t="s">
        <v>494</v>
      </c>
      <c r="L191" s="148" t="s">
        <v>494</v>
      </c>
      <c r="M191" s="148" t="s">
        <v>494</v>
      </c>
      <c r="N191" s="148" t="s">
        <v>494</v>
      </c>
      <c r="O191" s="147" t="s">
        <v>494</v>
      </c>
    </row>
    <row r="192" spans="1:15" ht="17.25" customHeight="1">
      <c r="A192" s="177" t="s">
        <v>1131</v>
      </c>
      <c r="B192" s="166" t="s">
        <v>494</v>
      </c>
      <c r="C192" s="190" t="s">
        <v>1132</v>
      </c>
      <c r="D192" s="168">
        <v>-230588044862</v>
      </c>
      <c r="E192" s="168">
        <v>-167573084049</v>
      </c>
      <c r="F192" s="168">
        <v>-93500000</v>
      </c>
      <c r="G192" s="168">
        <v>1366255161</v>
      </c>
      <c r="H192" s="168">
        <v>-1862910493</v>
      </c>
      <c r="I192" s="168">
        <v>-566817092</v>
      </c>
      <c r="J192" s="168">
        <v>-5835058916</v>
      </c>
      <c r="K192" s="147" t="s">
        <v>494</v>
      </c>
      <c r="L192" s="148" t="s">
        <v>494</v>
      </c>
      <c r="M192" s="148" t="s">
        <v>494</v>
      </c>
      <c r="N192" s="148" t="s">
        <v>494</v>
      </c>
      <c r="O192" s="147" t="s">
        <v>494</v>
      </c>
    </row>
    <row r="193" spans="1:15" ht="17.25" customHeight="1">
      <c r="A193" s="143" t="s">
        <v>494</v>
      </c>
      <c r="B193" s="166" t="s">
        <v>494</v>
      </c>
      <c r="C193" s="203" t="s">
        <v>1133</v>
      </c>
      <c r="D193" s="204">
        <v>-135859635177</v>
      </c>
      <c r="E193" s="204">
        <v>-114328906682</v>
      </c>
      <c r="F193" s="204">
        <v>-312536518017</v>
      </c>
      <c r="G193" s="204">
        <v>-2119998032909</v>
      </c>
      <c r="H193" s="204">
        <v>-889413193850</v>
      </c>
      <c r="I193" s="204">
        <v>-432917979545</v>
      </c>
      <c r="J193" s="204">
        <v>-867554051255</v>
      </c>
      <c r="K193" s="147" t="s">
        <v>494</v>
      </c>
      <c r="L193" s="148" t="s">
        <v>494</v>
      </c>
      <c r="M193" s="148" t="s">
        <v>494</v>
      </c>
      <c r="N193" s="148" t="s">
        <v>494</v>
      </c>
      <c r="O193" s="147" t="s">
        <v>494</v>
      </c>
    </row>
    <row r="194" spans="1:15" ht="17.25" customHeight="1">
      <c r="A194" s="143" t="s">
        <v>494</v>
      </c>
      <c r="B194" s="166" t="s">
        <v>494</v>
      </c>
      <c r="C194" s="190" t="s">
        <v>494</v>
      </c>
      <c r="D194" s="168" t="s">
        <v>494</v>
      </c>
      <c r="E194" s="168" t="s">
        <v>494</v>
      </c>
      <c r="F194" s="168" t="s">
        <v>494</v>
      </c>
      <c r="G194" s="168" t="s">
        <v>494</v>
      </c>
      <c r="H194" s="168" t="s">
        <v>494</v>
      </c>
      <c r="I194" s="168" t="s">
        <v>494</v>
      </c>
      <c r="J194" s="168" t="s">
        <v>494</v>
      </c>
      <c r="K194" s="147" t="s">
        <v>494</v>
      </c>
      <c r="L194" s="148" t="s">
        <v>494</v>
      </c>
      <c r="M194" s="148" t="s">
        <v>494</v>
      </c>
      <c r="N194" s="148" t="s">
        <v>494</v>
      </c>
      <c r="O194" s="147" t="s">
        <v>494</v>
      </c>
    </row>
    <row r="195" spans="1:15" ht="17.25" customHeight="1">
      <c r="A195" s="177" t="s">
        <v>1134</v>
      </c>
      <c r="B195" s="166" t="s">
        <v>494</v>
      </c>
      <c r="C195" s="190" t="s">
        <v>1069</v>
      </c>
      <c r="D195" s="168" t="s">
        <v>890</v>
      </c>
      <c r="E195" s="168" t="s">
        <v>890</v>
      </c>
      <c r="F195" s="168">
        <v>500000000000</v>
      </c>
      <c r="G195" s="168" t="s">
        <v>890</v>
      </c>
      <c r="H195" s="168" t="s">
        <v>890</v>
      </c>
      <c r="I195" s="168" t="s">
        <v>890</v>
      </c>
      <c r="J195" s="168" t="s">
        <v>494</v>
      </c>
      <c r="K195" s="147" t="s">
        <v>494</v>
      </c>
      <c r="L195" s="148" t="s">
        <v>494</v>
      </c>
      <c r="M195" s="148" t="s">
        <v>494</v>
      </c>
      <c r="N195" s="148" t="s">
        <v>494</v>
      </c>
      <c r="O195" s="147" t="s">
        <v>494</v>
      </c>
    </row>
    <row r="196" spans="1:15" ht="17.25" customHeight="1">
      <c r="A196" s="177" t="s">
        <v>1135</v>
      </c>
      <c r="B196" s="166" t="s">
        <v>494</v>
      </c>
      <c r="C196" s="190" t="s">
        <v>1136</v>
      </c>
      <c r="D196" s="168">
        <v>25000000</v>
      </c>
      <c r="E196" s="168">
        <v>150000000</v>
      </c>
      <c r="F196" s="168">
        <v>12000000</v>
      </c>
      <c r="G196" s="168" t="s">
        <v>890</v>
      </c>
      <c r="H196" s="168" t="s">
        <v>890</v>
      </c>
      <c r="I196" s="168" t="s">
        <v>890</v>
      </c>
      <c r="J196" s="168" t="s">
        <v>494</v>
      </c>
      <c r="K196" s="147" t="s">
        <v>494</v>
      </c>
      <c r="L196" s="148" t="s">
        <v>494</v>
      </c>
      <c r="M196" s="148" t="s">
        <v>494</v>
      </c>
      <c r="N196" s="148" t="s">
        <v>494</v>
      </c>
      <c r="O196" s="147" t="s">
        <v>494</v>
      </c>
    </row>
    <row r="197" spans="1:15" ht="17.25" customHeight="1">
      <c r="A197" s="177" t="s">
        <v>1137</v>
      </c>
      <c r="B197" s="166" t="s">
        <v>494</v>
      </c>
      <c r="C197" s="190" t="s">
        <v>1138</v>
      </c>
      <c r="D197" s="168" t="s">
        <v>890</v>
      </c>
      <c r="E197" s="168">
        <v>22471464806</v>
      </c>
      <c r="F197" s="168">
        <v>506146520466</v>
      </c>
      <c r="G197" s="168">
        <v>1953408513522</v>
      </c>
      <c r="H197" s="168">
        <v>608657771634</v>
      </c>
      <c r="I197" s="168" t="s">
        <v>890</v>
      </c>
      <c r="J197" s="168">
        <v>4500000000</v>
      </c>
      <c r="K197" s="147" t="s">
        <v>494</v>
      </c>
      <c r="L197" s="148" t="s">
        <v>494</v>
      </c>
      <c r="M197" s="148" t="s">
        <v>494</v>
      </c>
      <c r="N197" s="148" t="s">
        <v>494</v>
      </c>
      <c r="O197" s="147" t="s">
        <v>494</v>
      </c>
    </row>
    <row r="198" spans="1:15" ht="17.25" customHeight="1">
      <c r="A198" s="177" t="s">
        <v>1139</v>
      </c>
      <c r="B198" s="166" t="s">
        <v>494</v>
      </c>
      <c r="C198" s="190" t="s">
        <v>1140</v>
      </c>
      <c r="D198" s="168" t="s">
        <v>890</v>
      </c>
      <c r="E198" s="168">
        <v>564641717</v>
      </c>
      <c r="F198" s="168">
        <v>1045249887</v>
      </c>
      <c r="G198" s="168" t="s">
        <v>890</v>
      </c>
      <c r="H198" s="168">
        <v>-22997781820</v>
      </c>
      <c r="I198" s="168">
        <v>232233834447</v>
      </c>
      <c r="J198" s="168">
        <v>-150329818721</v>
      </c>
      <c r="K198" s="147" t="s">
        <v>494</v>
      </c>
      <c r="L198" s="148" t="s">
        <v>494</v>
      </c>
      <c r="M198" s="148" t="s">
        <v>494</v>
      </c>
      <c r="N198" s="148" t="s">
        <v>494</v>
      </c>
      <c r="O198" s="147" t="s">
        <v>494</v>
      </c>
    </row>
    <row r="199" spans="1:15" ht="17.25" customHeight="1">
      <c r="A199" s="177" t="s">
        <v>1141</v>
      </c>
      <c r="B199" s="166" t="s">
        <v>494</v>
      </c>
      <c r="C199" s="190" t="s">
        <v>1142</v>
      </c>
      <c r="D199" s="168">
        <v>-6319177264</v>
      </c>
      <c r="E199" s="168">
        <v>-7304060000</v>
      </c>
      <c r="F199" s="168" t="s">
        <v>890</v>
      </c>
      <c r="G199" s="168" t="s">
        <v>890</v>
      </c>
      <c r="H199" s="168" t="s">
        <v>890</v>
      </c>
      <c r="I199" s="168" t="s">
        <v>890</v>
      </c>
      <c r="J199" s="168" t="s">
        <v>494</v>
      </c>
      <c r="K199" s="147" t="s">
        <v>494</v>
      </c>
      <c r="L199" s="148" t="s">
        <v>494</v>
      </c>
      <c r="M199" s="148" t="s">
        <v>494</v>
      </c>
      <c r="N199" s="148" t="s">
        <v>494</v>
      </c>
      <c r="O199" s="147" t="s">
        <v>494</v>
      </c>
    </row>
    <row r="200" spans="1:15" ht="17.25" customHeight="1">
      <c r="A200" s="177" t="s">
        <v>1141</v>
      </c>
      <c r="B200" s="166" t="s">
        <v>494</v>
      </c>
      <c r="C200" s="190" t="s">
        <v>1143</v>
      </c>
      <c r="D200" s="168" t="s">
        <v>890</v>
      </c>
      <c r="E200" s="168" t="s">
        <v>890</v>
      </c>
      <c r="F200" s="168" t="s">
        <v>890</v>
      </c>
      <c r="G200" s="168" t="s">
        <v>890</v>
      </c>
      <c r="H200" s="168" t="s">
        <v>890</v>
      </c>
      <c r="I200" s="168" t="s">
        <v>890</v>
      </c>
      <c r="J200" s="168" t="s">
        <v>494</v>
      </c>
      <c r="K200" s="147" t="s">
        <v>494</v>
      </c>
      <c r="L200" s="148" t="s">
        <v>494</v>
      </c>
      <c r="M200" s="148" t="s">
        <v>494</v>
      </c>
      <c r="N200" s="148" t="s">
        <v>494</v>
      </c>
      <c r="O200" s="147" t="s">
        <v>494</v>
      </c>
    </row>
    <row r="201" spans="1:15" ht="17.25" customHeight="1">
      <c r="A201" s="177" t="s">
        <v>1144</v>
      </c>
      <c r="B201" s="166" t="s">
        <v>494</v>
      </c>
      <c r="C201" s="190" t="s">
        <v>1145</v>
      </c>
      <c r="D201" s="168" t="s">
        <v>890</v>
      </c>
      <c r="E201" s="168" t="s">
        <v>890</v>
      </c>
      <c r="F201" s="168" t="s">
        <v>890</v>
      </c>
      <c r="G201" s="168" t="s">
        <v>890</v>
      </c>
      <c r="H201" s="168" t="s">
        <v>890</v>
      </c>
      <c r="I201" s="168" t="s">
        <v>890</v>
      </c>
      <c r="J201" s="168" t="s">
        <v>494</v>
      </c>
      <c r="K201" s="147" t="s">
        <v>494</v>
      </c>
      <c r="L201" s="148" t="s">
        <v>494</v>
      </c>
      <c r="M201" s="148" t="s">
        <v>494</v>
      </c>
      <c r="N201" s="148" t="s">
        <v>494</v>
      </c>
      <c r="O201" s="147" t="s">
        <v>494</v>
      </c>
    </row>
    <row r="202" spans="1:15" ht="17.25" customHeight="1">
      <c r="A202" s="177" t="s">
        <v>494</v>
      </c>
      <c r="B202" s="166" t="s">
        <v>494</v>
      </c>
      <c r="C202" s="190" t="s">
        <v>1146</v>
      </c>
      <c r="D202" s="168" t="s">
        <v>890</v>
      </c>
      <c r="E202" s="168" t="s">
        <v>890</v>
      </c>
      <c r="F202" s="168" t="s">
        <v>890</v>
      </c>
      <c r="G202" s="168" t="s">
        <v>890</v>
      </c>
      <c r="H202" s="168" t="s">
        <v>890</v>
      </c>
      <c r="I202" s="168" t="s">
        <v>890</v>
      </c>
      <c r="J202" s="168" t="s">
        <v>890</v>
      </c>
      <c r="K202" s="147" t="s">
        <v>494</v>
      </c>
      <c r="L202" s="148" t="s">
        <v>494</v>
      </c>
      <c r="M202" s="148" t="s">
        <v>494</v>
      </c>
      <c r="N202" s="148" t="s">
        <v>494</v>
      </c>
      <c r="O202" s="147" t="s">
        <v>494</v>
      </c>
    </row>
    <row r="203" spans="1:15" ht="17.25" customHeight="1">
      <c r="A203" s="177" t="s">
        <v>1147</v>
      </c>
      <c r="B203" s="166" t="s">
        <v>494</v>
      </c>
      <c r="C203" s="190" t="s">
        <v>1148</v>
      </c>
      <c r="D203" s="168" t="s">
        <v>890</v>
      </c>
      <c r="E203" s="168" t="s">
        <v>890</v>
      </c>
      <c r="F203" s="168" t="s">
        <v>890</v>
      </c>
      <c r="G203" s="168" t="s">
        <v>890</v>
      </c>
      <c r="H203" s="168" t="s">
        <v>890</v>
      </c>
      <c r="I203" s="168" t="s">
        <v>890</v>
      </c>
      <c r="J203" s="168" t="s">
        <v>494</v>
      </c>
      <c r="K203" s="147" t="s">
        <v>494</v>
      </c>
      <c r="L203" s="148" t="s">
        <v>494</v>
      </c>
      <c r="M203" s="148" t="s">
        <v>494</v>
      </c>
      <c r="N203" s="148" t="s">
        <v>494</v>
      </c>
      <c r="O203" s="147" t="s">
        <v>494</v>
      </c>
    </row>
    <row r="204" spans="1:15" ht="17.25" customHeight="1">
      <c r="A204" s="177" t="s">
        <v>1149</v>
      </c>
      <c r="B204" s="166" t="s">
        <v>494</v>
      </c>
      <c r="C204" s="190" t="s">
        <v>1150</v>
      </c>
      <c r="D204" s="168" t="s">
        <v>890</v>
      </c>
      <c r="E204" s="168" t="s">
        <v>890</v>
      </c>
      <c r="F204" s="168" t="s">
        <v>890</v>
      </c>
      <c r="G204" s="168">
        <v>470000000000</v>
      </c>
      <c r="H204" s="168" t="s">
        <v>890</v>
      </c>
      <c r="I204" s="168" t="s">
        <v>890</v>
      </c>
      <c r="J204" s="168">
        <v>872090000000</v>
      </c>
      <c r="K204" s="147" t="s">
        <v>494</v>
      </c>
      <c r="L204" s="148" t="s">
        <v>494</v>
      </c>
      <c r="M204" s="148" t="s">
        <v>494</v>
      </c>
      <c r="N204" s="148" t="s">
        <v>494</v>
      </c>
      <c r="O204" s="147" t="s">
        <v>494</v>
      </c>
    </row>
    <row r="205" spans="1:15" ht="17.25" customHeight="1">
      <c r="A205" s="205" t="s">
        <v>1151</v>
      </c>
      <c r="B205" s="166" t="s">
        <v>494</v>
      </c>
      <c r="C205" s="190" t="s">
        <v>1152</v>
      </c>
      <c r="D205" s="168" t="s">
        <v>890</v>
      </c>
      <c r="E205" s="168" t="s">
        <v>890</v>
      </c>
      <c r="F205" s="168" t="s">
        <v>890</v>
      </c>
      <c r="G205" s="168">
        <v>-59664845455</v>
      </c>
      <c r="H205" s="168">
        <v>-25143146815</v>
      </c>
      <c r="I205" s="168">
        <v>-7290513402</v>
      </c>
      <c r="J205" s="168">
        <v>-187009068563</v>
      </c>
      <c r="K205" s="147" t="s">
        <v>494</v>
      </c>
      <c r="L205" s="148" t="s">
        <v>494</v>
      </c>
      <c r="M205" s="148" t="s">
        <v>494</v>
      </c>
      <c r="N205" s="148" t="s">
        <v>494</v>
      </c>
      <c r="O205" s="147" t="s">
        <v>494</v>
      </c>
    </row>
    <row r="206" spans="1:15" ht="17.25" customHeight="1">
      <c r="A206" s="177" t="s">
        <v>1153</v>
      </c>
      <c r="B206" s="166" t="s">
        <v>494</v>
      </c>
      <c r="C206" s="190" t="s">
        <v>1154</v>
      </c>
      <c r="D206" s="168" t="s">
        <v>890</v>
      </c>
      <c r="E206" s="168" t="s">
        <v>890</v>
      </c>
      <c r="F206" s="168" t="s">
        <v>890</v>
      </c>
      <c r="G206" s="168">
        <v>-833431750174</v>
      </c>
      <c r="H206" s="168">
        <v>205627425472</v>
      </c>
      <c r="I206" s="168">
        <v>273058817576</v>
      </c>
      <c r="J206" s="168">
        <v>150204888161</v>
      </c>
      <c r="K206" s="147" t="s">
        <v>494</v>
      </c>
      <c r="L206" s="148" t="s">
        <v>494</v>
      </c>
      <c r="M206" s="148" t="s">
        <v>494</v>
      </c>
      <c r="N206" s="148" t="s">
        <v>494</v>
      </c>
      <c r="O206" s="147" t="s">
        <v>494</v>
      </c>
    </row>
    <row r="207" spans="1:15" ht="17.25" customHeight="1">
      <c r="A207" s="206" t="s">
        <v>494</v>
      </c>
      <c r="B207" s="207" t="s">
        <v>494</v>
      </c>
      <c r="C207" s="208" t="s">
        <v>1155</v>
      </c>
      <c r="D207" s="209">
        <v>-6294177264</v>
      </c>
      <c r="E207" s="209">
        <v>15882046523</v>
      </c>
      <c r="F207" s="209">
        <v>1007203770353</v>
      </c>
      <c r="G207" s="209">
        <v>1530311917893</v>
      </c>
      <c r="H207" s="209">
        <v>766144268471</v>
      </c>
      <c r="I207" s="209">
        <v>498002138621</v>
      </c>
      <c r="J207" s="209">
        <v>689456000877</v>
      </c>
      <c r="K207" s="210" t="s">
        <v>494</v>
      </c>
      <c r="L207" s="211" t="s">
        <v>494</v>
      </c>
      <c r="M207" s="211" t="s">
        <v>494</v>
      </c>
      <c r="N207" s="211" t="s">
        <v>494</v>
      </c>
      <c r="O207" s="210" t="s">
        <v>494</v>
      </c>
    </row>
    <row r="208" spans="1:15" ht="17.25" customHeight="1">
      <c r="A208" s="143" t="s">
        <v>494</v>
      </c>
      <c r="B208" s="166" t="s">
        <v>494</v>
      </c>
      <c r="C208" s="212" t="s">
        <v>1156</v>
      </c>
      <c r="D208" s="213">
        <v>-38902292774</v>
      </c>
      <c r="E208" s="213">
        <v>-49453324175</v>
      </c>
      <c r="F208" s="213">
        <v>574938226691</v>
      </c>
      <c r="G208" s="213">
        <v>-708677891678</v>
      </c>
      <c r="H208" s="213">
        <v>13986663263</v>
      </c>
      <c r="I208" s="213">
        <v>153871787435</v>
      </c>
      <c r="J208" s="213">
        <v>-7473663655</v>
      </c>
      <c r="K208" s="147" t="s">
        <v>494</v>
      </c>
      <c r="L208" s="148" t="s">
        <v>494</v>
      </c>
      <c r="M208" s="148" t="s">
        <v>494</v>
      </c>
      <c r="N208" s="148" t="s">
        <v>494</v>
      </c>
      <c r="O208" s="147" t="s">
        <v>494</v>
      </c>
    </row>
    <row r="209" spans="1:15" ht="17.25" customHeight="1">
      <c r="A209" s="177" t="s">
        <v>1157</v>
      </c>
      <c r="B209" s="214" t="s">
        <v>494</v>
      </c>
      <c r="C209" s="191" t="s">
        <v>1158</v>
      </c>
      <c r="D209" s="161">
        <v>273354924533</v>
      </c>
      <c r="E209" s="161">
        <v>235316909778</v>
      </c>
      <c r="F209" s="161">
        <v>184514151223</v>
      </c>
      <c r="G209" s="161">
        <v>759932945203</v>
      </c>
      <c r="H209" s="161">
        <v>53235956225</v>
      </c>
      <c r="I209" s="161">
        <v>64564577024</v>
      </c>
      <c r="J209" s="168">
        <v>219006550776</v>
      </c>
      <c r="K209" s="215" t="s">
        <v>494</v>
      </c>
      <c r="L209" s="216" t="s">
        <v>494</v>
      </c>
      <c r="M209" s="216" t="s">
        <v>494</v>
      </c>
      <c r="N209" s="216" t="s">
        <v>494</v>
      </c>
      <c r="O209" s="215" t="s">
        <v>494</v>
      </c>
    </row>
    <row r="210" spans="1:15" ht="17.25" customHeight="1">
      <c r="A210" s="205" t="s">
        <v>1159</v>
      </c>
      <c r="B210" s="214" t="s">
        <v>494</v>
      </c>
      <c r="C210" s="191" t="s">
        <v>1160</v>
      </c>
      <c r="D210" s="217">
        <v>864278019</v>
      </c>
      <c r="E210" s="217">
        <v>-1349434380</v>
      </c>
      <c r="F210" s="217">
        <v>480567288</v>
      </c>
      <c r="G210" s="217">
        <v>1980902700</v>
      </c>
      <c r="H210" s="217">
        <v>-2658042464</v>
      </c>
      <c r="I210" s="217">
        <v>570186317</v>
      </c>
      <c r="J210" s="168">
        <v>7419599769</v>
      </c>
      <c r="K210" s="215" t="s">
        <v>494</v>
      </c>
      <c r="L210" s="216" t="s">
        <v>494</v>
      </c>
      <c r="M210" s="216" t="s">
        <v>494</v>
      </c>
      <c r="N210" s="216" t="s">
        <v>494</v>
      </c>
      <c r="O210" s="215" t="s">
        <v>494</v>
      </c>
    </row>
    <row r="211" spans="1:15" ht="17.25" customHeight="1">
      <c r="A211" s="143" t="s">
        <v>494</v>
      </c>
      <c r="B211" s="166" t="s">
        <v>494</v>
      </c>
      <c r="C211" s="212" t="s">
        <v>1161</v>
      </c>
      <c r="D211" s="218">
        <v>235316909778</v>
      </c>
      <c r="E211" s="218">
        <v>184514151223</v>
      </c>
      <c r="F211" s="218">
        <v>759932945202</v>
      </c>
      <c r="G211" s="218">
        <v>53235956225</v>
      </c>
      <c r="H211" s="218">
        <v>64564577024</v>
      </c>
      <c r="I211" s="218">
        <v>219006550776</v>
      </c>
      <c r="J211" s="218">
        <v>218952486890</v>
      </c>
      <c r="K211" s="147" t="s">
        <v>494</v>
      </c>
      <c r="L211" s="148" t="s">
        <v>494</v>
      </c>
      <c r="M211" s="148" t="s">
        <v>494</v>
      </c>
      <c r="N211" s="148" t="s">
        <v>494</v>
      </c>
      <c r="O211" s="147" t="s">
        <v>494</v>
      </c>
    </row>
    <row r="212" spans="1:15" ht="17.25" customHeight="1">
      <c r="A212" s="143" t="s">
        <v>494</v>
      </c>
      <c r="B212" s="219" t="s">
        <v>494</v>
      </c>
      <c r="C212" s="220" t="s">
        <v>494</v>
      </c>
      <c r="D212" s="221" t="s">
        <v>494</v>
      </c>
      <c r="E212" s="221" t="s">
        <v>494</v>
      </c>
      <c r="F212" s="221" t="s">
        <v>494</v>
      </c>
      <c r="G212" s="221" t="s">
        <v>494</v>
      </c>
      <c r="H212" s="221" t="s">
        <v>494</v>
      </c>
      <c r="I212" s="221" t="s">
        <v>494</v>
      </c>
      <c r="J212" s="221" t="s">
        <v>494</v>
      </c>
      <c r="K212" s="147" t="s">
        <v>494</v>
      </c>
      <c r="L212" s="148" t="s">
        <v>494</v>
      </c>
      <c r="M212" s="148" t="s">
        <v>494</v>
      </c>
      <c r="N212" s="148" t="s">
        <v>494</v>
      </c>
      <c r="O212" s="147" t="s">
        <v>494</v>
      </c>
    </row>
    <row r="213" spans="1:15" ht="17.25" customHeight="1">
      <c r="A213" s="143" t="s">
        <v>494</v>
      </c>
      <c r="B213" s="144" t="s">
        <v>494</v>
      </c>
      <c r="C213" s="145" t="s">
        <v>494</v>
      </c>
      <c r="D213" s="146" t="s">
        <v>494</v>
      </c>
      <c r="E213" s="146" t="s">
        <v>494</v>
      </c>
      <c r="F213" s="146" t="s">
        <v>494</v>
      </c>
      <c r="G213" s="146" t="s">
        <v>494</v>
      </c>
      <c r="H213" s="146" t="s">
        <v>494</v>
      </c>
      <c r="I213" s="146" t="s">
        <v>494</v>
      </c>
      <c r="J213" s="146" t="s">
        <v>494</v>
      </c>
      <c r="K213" s="147" t="s">
        <v>494</v>
      </c>
      <c r="L213" s="148" t="s">
        <v>494</v>
      </c>
      <c r="M213" s="148" t="s">
        <v>494</v>
      </c>
      <c r="N213" s="148" t="s">
        <v>494</v>
      </c>
      <c r="O213" s="147" t="s">
        <v>494</v>
      </c>
    </row>
    <row r="214" spans="1:15" ht="17.25" customHeight="1">
      <c r="A214" s="143" t="s">
        <v>494</v>
      </c>
      <c r="B214" s="144" t="s">
        <v>494</v>
      </c>
      <c r="C214" s="145" t="s">
        <v>494</v>
      </c>
      <c r="D214" s="146" t="s">
        <v>494</v>
      </c>
      <c r="E214" s="146" t="s">
        <v>494</v>
      </c>
      <c r="F214" s="146" t="s">
        <v>494</v>
      </c>
      <c r="G214" s="146" t="s">
        <v>494</v>
      </c>
      <c r="H214" s="146" t="s">
        <v>494</v>
      </c>
      <c r="I214" s="146" t="s">
        <v>494</v>
      </c>
      <c r="J214" s="146" t="s">
        <v>494</v>
      </c>
      <c r="K214" s="147" t="s">
        <v>494</v>
      </c>
      <c r="L214" s="148" t="s">
        <v>494</v>
      </c>
      <c r="M214" s="148" t="s">
        <v>494</v>
      </c>
      <c r="N214" s="148" t="s">
        <v>494</v>
      </c>
      <c r="O214" s="147" t="s">
        <v>494</v>
      </c>
    </row>
    <row r="215" spans="1:15" ht="17.25" customHeight="1">
      <c r="A215" s="222" t="s">
        <v>494</v>
      </c>
      <c r="B215" s="223" t="s">
        <v>494</v>
      </c>
      <c r="C215" s="223" t="s">
        <v>1162</v>
      </c>
      <c r="D215" s="224" t="s">
        <v>494</v>
      </c>
      <c r="E215" s="224" t="s">
        <v>494</v>
      </c>
      <c r="F215" s="224" t="s">
        <v>494</v>
      </c>
      <c r="G215" s="224" t="s">
        <v>494</v>
      </c>
      <c r="H215" s="224" t="s">
        <v>494</v>
      </c>
      <c r="I215" s="224" t="s">
        <v>494</v>
      </c>
      <c r="J215" s="224" t="s">
        <v>494</v>
      </c>
      <c r="K215" s="225" t="s">
        <v>494</v>
      </c>
      <c r="L215" s="226" t="s">
        <v>494</v>
      </c>
      <c r="M215" s="226" t="s">
        <v>494</v>
      </c>
      <c r="N215" s="226" t="s">
        <v>494</v>
      </c>
      <c r="O215" s="225" t="s">
        <v>494</v>
      </c>
    </row>
    <row r="216" spans="1:15" ht="17.25" customHeight="1">
      <c r="A216" s="222" t="s">
        <v>494</v>
      </c>
      <c r="B216" s="227" t="s">
        <v>494</v>
      </c>
      <c r="C216" s="228" t="s">
        <v>1163</v>
      </c>
      <c r="D216" s="224" t="s">
        <v>890</v>
      </c>
      <c r="E216" s="224" t="s">
        <v>890</v>
      </c>
      <c r="F216" s="224" t="s">
        <v>890</v>
      </c>
      <c r="G216" s="224" t="s">
        <v>890</v>
      </c>
      <c r="H216" s="224" t="s">
        <v>890</v>
      </c>
      <c r="I216" s="224" t="s">
        <v>890</v>
      </c>
      <c r="J216" s="224" t="s">
        <v>890</v>
      </c>
      <c r="K216" s="225" t="s">
        <v>494</v>
      </c>
      <c r="L216" s="226" t="s">
        <v>494</v>
      </c>
      <c r="M216" s="226" t="s">
        <v>494</v>
      </c>
      <c r="N216" s="226" t="s">
        <v>494</v>
      </c>
      <c r="O216" s="225" t="s">
        <v>494</v>
      </c>
    </row>
    <row r="217" spans="1:15" ht="17.25" customHeight="1">
      <c r="A217" s="222" t="s">
        <v>494</v>
      </c>
      <c r="B217" s="227" t="s">
        <v>494</v>
      </c>
      <c r="C217" s="228" t="s">
        <v>1164</v>
      </c>
      <c r="D217" s="224" t="s">
        <v>890</v>
      </c>
      <c r="E217" s="224" t="s">
        <v>890</v>
      </c>
      <c r="F217" s="224" t="s">
        <v>890</v>
      </c>
      <c r="G217" s="224" t="s">
        <v>890</v>
      </c>
      <c r="H217" s="224" t="s">
        <v>890</v>
      </c>
      <c r="I217" s="224" t="s">
        <v>890</v>
      </c>
      <c r="J217" s="224" t="s">
        <v>890</v>
      </c>
      <c r="K217" s="225" t="s">
        <v>494</v>
      </c>
      <c r="L217" s="226" t="s">
        <v>494</v>
      </c>
      <c r="M217" s="226" t="s">
        <v>494</v>
      </c>
      <c r="N217" s="226" t="s">
        <v>494</v>
      </c>
      <c r="O217" s="225" t="s">
        <v>494</v>
      </c>
    </row>
    <row r="218" spans="1:15" ht="17.25" customHeight="1">
      <c r="A218" s="222" t="s">
        <v>494</v>
      </c>
      <c r="B218" s="227" t="s">
        <v>494</v>
      </c>
      <c r="C218" s="229" t="s">
        <v>1165</v>
      </c>
      <c r="D218" s="224" t="s">
        <v>494</v>
      </c>
      <c r="E218" s="224" t="s">
        <v>494</v>
      </c>
      <c r="F218" s="224" t="s">
        <v>494</v>
      </c>
      <c r="G218" s="224" t="s">
        <v>494</v>
      </c>
      <c r="H218" s="224" t="s">
        <v>494</v>
      </c>
      <c r="I218" s="224" t="s">
        <v>494</v>
      </c>
      <c r="J218" s="224" t="s">
        <v>494</v>
      </c>
      <c r="K218" s="225" t="s">
        <v>494</v>
      </c>
      <c r="L218" s="226" t="s">
        <v>494</v>
      </c>
      <c r="M218" s="226" t="s">
        <v>494</v>
      </c>
      <c r="N218" s="226" t="s">
        <v>494</v>
      </c>
      <c r="O218" s="225" t="s">
        <v>494</v>
      </c>
    </row>
    <row r="219" spans="1:15" ht="17.25" customHeight="1">
      <c r="A219" s="222" t="s">
        <v>494</v>
      </c>
      <c r="B219" s="227" t="s">
        <v>494</v>
      </c>
      <c r="C219" s="228" t="s">
        <v>1166</v>
      </c>
      <c r="D219" s="224" t="s">
        <v>494</v>
      </c>
      <c r="E219" s="224" t="s">
        <v>494</v>
      </c>
      <c r="F219" s="224" t="s">
        <v>494</v>
      </c>
      <c r="G219" s="224" t="s">
        <v>494</v>
      </c>
      <c r="H219" s="224" t="s">
        <v>494</v>
      </c>
      <c r="I219" s="224" t="s">
        <v>494</v>
      </c>
      <c r="J219" s="224" t="s">
        <v>494</v>
      </c>
      <c r="K219" s="225" t="s">
        <v>494</v>
      </c>
      <c r="L219" s="226" t="s">
        <v>494</v>
      </c>
      <c r="M219" s="226" t="s">
        <v>494</v>
      </c>
      <c r="N219" s="226" t="s">
        <v>494</v>
      </c>
      <c r="O219" s="225" t="s">
        <v>494</v>
      </c>
    </row>
    <row r="220" spans="1:15" ht="17.25" customHeight="1">
      <c r="A220" s="222" t="s">
        <v>494</v>
      </c>
      <c r="B220" s="227" t="s">
        <v>494</v>
      </c>
      <c r="C220" s="228" t="s">
        <v>1167</v>
      </c>
      <c r="D220" s="224" t="s">
        <v>494</v>
      </c>
      <c r="E220" s="224" t="s">
        <v>494</v>
      </c>
      <c r="F220" s="224" t="s">
        <v>494</v>
      </c>
      <c r="G220" s="224" t="s">
        <v>494</v>
      </c>
      <c r="H220" s="224" t="s">
        <v>494</v>
      </c>
      <c r="I220" s="224" t="s">
        <v>494</v>
      </c>
      <c r="J220" s="224" t="s">
        <v>494</v>
      </c>
      <c r="K220" s="225" t="s">
        <v>494</v>
      </c>
      <c r="L220" s="226" t="s">
        <v>494</v>
      </c>
      <c r="M220" s="226" t="s">
        <v>494</v>
      </c>
      <c r="N220" s="226" t="s">
        <v>494</v>
      </c>
      <c r="O220" s="225" t="s">
        <v>494</v>
      </c>
    </row>
    <row r="221" spans="1:15" ht="17.25" customHeight="1">
      <c r="A221" s="222" t="s">
        <v>494</v>
      </c>
      <c r="B221" s="227" t="s">
        <v>494</v>
      </c>
      <c r="C221" s="228" t="s">
        <v>1168</v>
      </c>
      <c r="D221" s="224" t="s">
        <v>494</v>
      </c>
      <c r="E221" s="224" t="s">
        <v>494</v>
      </c>
      <c r="F221" s="224" t="s">
        <v>494</v>
      </c>
      <c r="G221" s="224" t="s">
        <v>494</v>
      </c>
      <c r="H221" s="224" t="s">
        <v>494</v>
      </c>
      <c r="I221" s="224" t="s">
        <v>494</v>
      </c>
      <c r="J221" s="224" t="s">
        <v>494</v>
      </c>
      <c r="K221" s="225" t="s">
        <v>494</v>
      </c>
      <c r="L221" s="226" t="s">
        <v>494</v>
      </c>
      <c r="M221" s="226" t="s">
        <v>494</v>
      </c>
      <c r="N221" s="226" t="s">
        <v>494</v>
      </c>
      <c r="O221" s="225" t="s">
        <v>494</v>
      </c>
    </row>
    <row r="222" spans="1:15" ht="17.25" customHeight="1">
      <c r="A222" s="222" t="s">
        <v>494</v>
      </c>
      <c r="B222" s="230" t="s">
        <v>494</v>
      </c>
      <c r="C222" s="231" t="s">
        <v>494</v>
      </c>
      <c r="D222" s="232" t="s">
        <v>494</v>
      </c>
      <c r="E222" s="232" t="s">
        <v>494</v>
      </c>
      <c r="F222" s="232" t="s">
        <v>494</v>
      </c>
      <c r="G222" s="232" t="s">
        <v>494</v>
      </c>
      <c r="H222" s="232" t="s">
        <v>494</v>
      </c>
      <c r="I222" s="232" t="s">
        <v>494</v>
      </c>
      <c r="J222" s="232" t="s">
        <v>494</v>
      </c>
      <c r="K222" s="225" t="s">
        <v>494</v>
      </c>
      <c r="L222" s="226" t="s">
        <v>494</v>
      </c>
      <c r="M222" s="226" t="s">
        <v>494</v>
      </c>
      <c r="N222" s="226" t="s">
        <v>494</v>
      </c>
      <c r="O222" s="225" t="s">
        <v>494</v>
      </c>
    </row>
    <row r="223" spans="1:15" ht="17.25" customHeight="1">
      <c r="A223" s="222" t="s">
        <v>494</v>
      </c>
      <c r="B223" s="233" t="s">
        <v>494</v>
      </c>
      <c r="C223" s="234" t="s">
        <v>494</v>
      </c>
      <c r="D223" s="235" t="s">
        <v>857</v>
      </c>
      <c r="E223" s="235" t="s">
        <v>857</v>
      </c>
      <c r="F223" s="235" t="s">
        <v>857</v>
      </c>
      <c r="G223" s="235" t="s">
        <v>857</v>
      </c>
      <c r="H223" s="235" t="s">
        <v>857</v>
      </c>
      <c r="I223" s="235" t="s">
        <v>857</v>
      </c>
      <c r="J223" s="235" t="s">
        <v>857</v>
      </c>
      <c r="K223" s="225" t="s">
        <v>494</v>
      </c>
      <c r="L223" s="226" t="s">
        <v>494</v>
      </c>
      <c r="M223" s="226" t="s">
        <v>494</v>
      </c>
      <c r="N223" s="226" t="s">
        <v>494</v>
      </c>
      <c r="O223" s="225" t="s">
        <v>494</v>
      </c>
    </row>
    <row r="224" spans="1:15" ht="17.25" customHeight="1">
      <c r="A224" s="222" t="s">
        <v>494</v>
      </c>
      <c r="B224" s="233" t="s">
        <v>494</v>
      </c>
      <c r="C224" s="236" t="s">
        <v>494</v>
      </c>
      <c r="D224" s="237" t="s">
        <v>858</v>
      </c>
      <c r="E224" s="237" t="s">
        <v>859</v>
      </c>
      <c r="F224" s="237" t="s">
        <v>860</v>
      </c>
      <c r="G224" s="237" t="s">
        <v>861</v>
      </c>
      <c r="H224" s="237" t="s">
        <v>862</v>
      </c>
      <c r="I224" s="237" t="s">
        <v>863</v>
      </c>
      <c r="J224" s="237" t="s">
        <v>864</v>
      </c>
      <c r="K224" s="225" t="s">
        <v>494</v>
      </c>
      <c r="L224" s="226" t="s">
        <v>494</v>
      </c>
      <c r="M224" s="226" t="s">
        <v>494</v>
      </c>
      <c r="N224" s="226" t="s">
        <v>494</v>
      </c>
      <c r="O224" s="225" t="s">
        <v>494</v>
      </c>
    </row>
    <row r="225" spans="1:15" ht="17.25" customHeight="1">
      <c r="A225" s="222" t="s">
        <v>494</v>
      </c>
      <c r="B225" s="230" t="s">
        <v>494</v>
      </c>
      <c r="C225" s="231" t="s">
        <v>1169</v>
      </c>
      <c r="D225" s="232">
        <v>88052488539</v>
      </c>
      <c r="E225" s="232">
        <v>83468024171</v>
      </c>
      <c r="F225" s="232">
        <v>23811877635</v>
      </c>
      <c r="G225" s="232">
        <v>-153931958591</v>
      </c>
      <c r="H225" s="232">
        <v>-19627244646</v>
      </c>
      <c r="I225" s="232">
        <v>-81265764628</v>
      </c>
      <c r="J225" s="232">
        <v>2063000293077</v>
      </c>
      <c r="K225" s="225" t="s">
        <v>494</v>
      </c>
      <c r="L225" s="226" t="s">
        <v>494</v>
      </c>
      <c r="M225" s="226" t="s">
        <v>494</v>
      </c>
      <c r="N225" s="226" t="s">
        <v>494</v>
      </c>
      <c r="O225" s="225" t="s">
        <v>494</v>
      </c>
    </row>
    <row r="226" spans="1:15" ht="17.25" customHeight="1">
      <c r="A226" s="222" t="s">
        <v>494</v>
      </c>
      <c r="B226" s="230" t="s">
        <v>494</v>
      </c>
      <c r="C226" s="231" t="s">
        <v>1170</v>
      </c>
      <c r="D226" s="232">
        <v>4493438791</v>
      </c>
      <c r="E226" s="232" t="s">
        <v>890</v>
      </c>
      <c r="F226" s="232">
        <v>1670718</v>
      </c>
      <c r="G226" s="232">
        <v>8054341184</v>
      </c>
      <c r="H226" s="232" t="s">
        <v>890</v>
      </c>
      <c r="I226" s="232">
        <v>10082495934</v>
      </c>
      <c r="J226" s="232" t="s">
        <v>890</v>
      </c>
      <c r="K226" s="225" t="s">
        <v>494</v>
      </c>
      <c r="L226" s="226" t="s">
        <v>494</v>
      </c>
      <c r="M226" s="226" t="s">
        <v>494</v>
      </c>
      <c r="N226" s="226" t="s">
        <v>494</v>
      </c>
      <c r="O226" s="225" t="s">
        <v>494</v>
      </c>
    </row>
    <row r="227" spans="1:15" ht="17.25" customHeight="1">
      <c r="A227" s="222" t="s">
        <v>494</v>
      </c>
      <c r="B227" s="230" t="s">
        <v>494</v>
      </c>
      <c r="C227" s="231" t="s">
        <v>1171</v>
      </c>
      <c r="D227" s="232" t="s">
        <v>890</v>
      </c>
      <c r="E227" s="232">
        <v>-3707171211</v>
      </c>
      <c r="F227" s="232">
        <v>-5450223166</v>
      </c>
      <c r="G227" s="232" t="s">
        <v>890</v>
      </c>
      <c r="H227" s="232">
        <v>-64632473420</v>
      </c>
      <c r="I227" s="232" t="s">
        <v>890</v>
      </c>
      <c r="J227" s="232">
        <v>-61097010513</v>
      </c>
      <c r="K227" s="225" t="s">
        <v>494</v>
      </c>
      <c r="L227" s="226" t="s">
        <v>494</v>
      </c>
      <c r="M227" s="226" t="s">
        <v>494</v>
      </c>
      <c r="N227" s="226" t="s">
        <v>494</v>
      </c>
      <c r="O227" s="225" t="s">
        <v>494</v>
      </c>
    </row>
    <row r="228" spans="1:15" ht="17.25" customHeight="1">
      <c r="A228" s="222" t="s">
        <v>494</v>
      </c>
      <c r="B228" s="230" t="s">
        <v>494</v>
      </c>
      <c r="C228" s="231" t="s">
        <v>1172</v>
      </c>
      <c r="D228" s="232">
        <v>15192402127</v>
      </c>
      <c r="E228" s="232">
        <v>22266166605</v>
      </c>
      <c r="F228" s="232">
        <v>29544553395</v>
      </c>
      <c r="G228" s="232">
        <v>68780578235</v>
      </c>
      <c r="H228" s="232">
        <v>128553821554</v>
      </c>
      <c r="I228" s="232">
        <v>35377482821</v>
      </c>
      <c r="J228" s="232">
        <v>37583293770</v>
      </c>
      <c r="K228" s="225" t="s">
        <v>494</v>
      </c>
      <c r="L228" s="226" t="s">
        <v>494</v>
      </c>
      <c r="M228" s="226" t="s">
        <v>494</v>
      </c>
      <c r="N228" s="226" t="s">
        <v>494</v>
      </c>
      <c r="O228" s="225" t="s">
        <v>494</v>
      </c>
    </row>
    <row r="229" spans="1:15" ht="17.25" customHeight="1">
      <c r="A229" s="222" t="s">
        <v>494</v>
      </c>
      <c r="B229" s="230" t="s">
        <v>494</v>
      </c>
      <c r="C229" s="238" t="s">
        <v>1173</v>
      </c>
      <c r="D229" s="239">
        <v>107738329457</v>
      </c>
      <c r="E229" s="239">
        <v>102027019565</v>
      </c>
      <c r="F229" s="239">
        <v>47907878582</v>
      </c>
      <c r="G229" s="239">
        <v>-77097039171</v>
      </c>
      <c r="H229" s="239">
        <v>44294103487</v>
      </c>
      <c r="I229" s="239">
        <v>-35805785873</v>
      </c>
      <c r="J229" s="239">
        <v>2039486576334</v>
      </c>
      <c r="K229" s="225" t="s">
        <v>494</v>
      </c>
      <c r="L229" s="226" t="s">
        <v>494</v>
      </c>
      <c r="M229" s="226" t="s">
        <v>494</v>
      </c>
      <c r="N229" s="226" t="s">
        <v>494</v>
      </c>
      <c r="O229" s="225" t="s">
        <v>494</v>
      </c>
    </row>
    <row r="230" spans="1:15" ht="17.25" customHeight="1">
      <c r="A230" s="222" t="s">
        <v>494</v>
      </c>
      <c r="B230" s="230" t="s">
        <v>494</v>
      </c>
      <c r="C230" s="231" t="s">
        <v>1174</v>
      </c>
      <c r="D230" s="232">
        <v>289816443459</v>
      </c>
      <c r="E230" s="232">
        <v>316026282173</v>
      </c>
      <c r="F230" s="232">
        <v>241675465159</v>
      </c>
      <c r="G230" s="232">
        <v>322782948252</v>
      </c>
      <c r="H230" s="232">
        <v>657487651938</v>
      </c>
      <c r="I230" s="232">
        <v>885213811783</v>
      </c>
      <c r="J230" s="232">
        <v>3565117154694</v>
      </c>
      <c r="K230" s="225" t="s">
        <v>494</v>
      </c>
      <c r="L230" s="226" t="s">
        <v>494</v>
      </c>
      <c r="M230" s="226" t="s">
        <v>494</v>
      </c>
      <c r="N230" s="226" t="s">
        <v>494</v>
      </c>
      <c r="O230" s="225" t="s">
        <v>494</v>
      </c>
    </row>
    <row r="231" spans="1:15" ht="17.25" customHeight="1">
      <c r="A231" s="222" t="s">
        <v>494</v>
      </c>
      <c r="B231" s="230" t="s">
        <v>494</v>
      </c>
      <c r="C231" s="238" t="s">
        <v>1175</v>
      </c>
      <c r="D231" s="240">
        <v>0.37</v>
      </c>
      <c r="E231" s="240">
        <v>0.32</v>
      </c>
      <c r="F231" s="240">
        <v>0.2</v>
      </c>
      <c r="G231" s="240">
        <v>-0.24</v>
      </c>
      <c r="H231" s="240">
        <v>7.0000000000000007E-2</v>
      </c>
      <c r="I231" s="240">
        <v>-0.04</v>
      </c>
      <c r="J231" s="240">
        <v>0.56999999999999995</v>
      </c>
      <c r="K231" s="225" t="s">
        <v>494</v>
      </c>
      <c r="L231" s="226" t="s">
        <v>494</v>
      </c>
      <c r="M231" s="226" t="s">
        <v>494</v>
      </c>
      <c r="N231" s="226" t="s">
        <v>494</v>
      </c>
      <c r="O231" s="225" t="s">
        <v>494</v>
      </c>
    </row>
    <row r="232" spans="1:15" ht="17.25" customHeight="1">
      <c r="A232" s="222" t="s">
        <v>494</v>
      </c>
      <c r="B232" s="230" t="s">
        <v>494</v>
      </c>
      <c r="C232" s="231" t="s">
        <v>494</v>
      </c>
      <c r="D232" s="232" t="s">
        <v>494</v>
      </c>
      <c r="E232" s="232" t="s">
        <v>494</v>
      </c>
      <c r="F232" s="232" t="s">
        <v>494</v>
      </c>
      <c r="G232" s="232" t="s">
        <v>494</v>
      </c>
      <c r="H232" s="232" t="s">
        <v>494</v>
      </c>
      <c r="I232" s="232" t="s">
        <v>494</v>
      </c>
      <c r="J232" s="232" t="s">
        <v>494</v>
      </c>
      <c r="K232" s="225" t="s">
        <v>494</v>
      </c>
      <c r="L232" s="226" t="s">
        <v>494</v>
      </c>
      <c r="M232" s="226" t="s">
        <v>494</v>
      </c>
      <c r="N232" s="226" t="s">
        <v>494</v>
      </c>
      <c r="O232" s="225" t="s">
        <v>494</v>
      </c>
    </row>
    <row r="233" spans="1:15" ht="17.25" customHeight="1">
      <c r="A233" s="222" t="s">
        <v>494</v>
      </c>
      <c r="B233" s="230" t="s">
        <v>494</v>
      </c>
      <c r="C233" s="238" t="s">
        <v>1176</v>
      </c>
      <c r="D233" s="232" t="s">
        <v>494</v>
      </c>
      <c r="E233" s="232" t="s">
        <v>494</v>
      </c>
      <c r="F233" s="232" t="s">
        <v>494</v>
      </c>
      <c r="G233" s="232" t="s">
        <v>494</v>
      </c>
      <c r="H233" s="232" t="s">
        <v>494</v>
      </c>
      <c r="I233" s="232" t="s">
        <v>494</v>
      </c>
      <c r="J233" s="232" t="s">
        <v>494</v>
      </c>
      <c r="K233" s="225" t="s">
        <v>494</v>
      </c>
      <c r="L233" s="226" t="s">
        <v>494</v>
      </c>
      <c r="M233" s="226" t="s">
        <v>494</v>
      </c>
      <c r="N233" s="226" t="s">
        <v>494</v>
      </c>
      <c r="O233" s="225" t="s">
        <v>494</v>
      </c>
    </row>
    <row r="234" spans="1:15" ht="17.25" customHeight="1">
      <c r="A234" s="222" t="s">
        <v>494</v>
      </c>
      <c r="B234" s="230" t="s">
        <v>494</v>
      </c>
      <c r="C234" s="231" t="s">
        <v>1177</v>
      </c>
      <c r="D234" s="232">
        <v>201763954920</v>
      </c>
      <c r="E234" s="232">
        <v>232558258002</v>
      </c>
      <c r="F234" s="232">
        <v>217863587524</v>
      </c>
      <c r="G234" s="232">
        <v>476714906843</v>
      </c>
      <c r="H234" s="232">
        <v>677114896584</v>
      </c>
      <c r="I234" s="232">
        <v>966479576411</v>
      </c>
      <c r="J234" s="232">
        <v>1502116861617</v>
      </c>
      <c r="K234" s="225" t="s">
        <v>494</v>
      </c>
      <c r="L234" s="226" t="s">
        <v>494</v>
      </c>
      <c r="M234" s="226" t="s">
        <v>494</v>
      </c>
      <c r="N234" s="226" t="s">
        <v>494</v>
      </c>
      <c r="O234" s="225" t="s">
        <v>494</v>
      </c>
    </row>
    <row r="235" spans="1:15" ht="17.25" customHeight="1">
      <c r="A235" s="222" t="s">
        <v>494</v>
      </c>
      <c r="B235" s="230" t="s">
        <v>494</v>
      </c>
      <c r="C235" s="231" t="s">
        <v>1174</v>
      </c>
      <c r="D235" s="232">
        <v>289816443459</v>
      </c>
      <c r="E235" s="232">
        <v>316026282173</v>
      </c>
      <c r="F235" s="232">
        <v>241675465159</v>
      </c>
      <c r="G235" s="232">
        <v>322782948252</v>
      </c>
      <c r="H235" s="232">
        <v>657487651938</v>
      </c>
      <c r="I235" s="232">
        <v>885213811783</v>
      </c>
      <c r="J235" s="232">
        <v>3565117154694</v>
      </c>
      <c r="K235" s="225" t="s">
        <v>494</v>
      </c>
      <c r="L235" s="226" t="s">
        <v>494</v>
      </c>
      <c r="M235" s="226" t="s">
        <v>494</v>
      </c>
      <c r="N235" s="226" t="s">
        <v>494</v>
      </c>
      <c r="O235" s="225" t="s">
        <v>494</v>
      </c>
    </row>
    <row r="236" spans="1:15" ht="17.25" customHeight="1">
      <c r="A236" s="222" t="s">
        <v>494</v>
      </c>
      <c r="B236" s="230" t="s">
        <v>494</v>
      </c>
      <c r="C236" s="238" t="s">
        <v>1176</v>
      </c>
      <c r="D236" s="240">
        <v>0.7</v>
      </c>
      <c r="E236" s="240">
        <v>0.74</v>
      </c>
      <c r="F236" s="240">
        <v>0.9</v>
      </c>
      <c r="G236" s="240">
        <v>1.48</v>
      </c>
      <c r="H236" s="240">
        <v>1.03</v>
      </c>
      <c r="I236" s="240">
        <v>1.0900000000000001</v>
      </c>
      <c r="J236" s="240">
        <v>0.42</v>
      </c>
      <c r="K236" s="225" t="s">
        <v>494</v>
      </c>
      <c r="L236" s="226" t="s">
        <v>494</v>
      </c>
      <c r="M236" s="226" t="s">
        <v>494</v>
      </c>
      <c r="N236" s="226" t="s">
        <v>494</v>
      </c>
      <c r="O236" s="225" t="s">
        <v>494</v>
      </c>
    </row>
    <row r="237" spans="1:15" ht="17.25" customHeight="1">
      <c r="A237" s="222" t="s">
        <v>494</v>
      </c>
      <c r="B237" s="230" t="s">
        <v>494</v>
      </c>
      <c r="C237" s="231" t="s">
        <v>494</v>
      </c>
      <c r="D237" s="232" t="s">
        <v>494</v>
      </c>
      <c r="E237" s="232" t="s">
        <v>494</v>
      </c>
      <c r="F237" s="232" t="s">
        <v>494</v>
      </c>
      <c r="G237" s="232" t="s">
        <v>494</v>
      </c>
      <c r="H237" s="232" t="s">
        <v>494</v>
      </c>
      <c r="I237" s="232" t="s">
        <v>494</v>
      </c>
      <c r="J237" s="232" t="s">
        <v>494</v>
      </c>
      <c r="K237" s="225" t="s">
        <v>494</v>
      </c>
      <c r="L237" s="226" t="s">
        <v>494</v>
      </c>
      <c r="M237" s="226" t="s">
        <v>494</v>
      </c>
      <c r="N237" s="226" t="s">
        <v>494</v>
      </c>
      <c r="O237" s="225" t="s">
        <v>494</v>
      </c>
    </row>
    <row r="238" spans="1:15" ht="17.25" customHeight="1">
      <c r="A238" s="222" t="s">
        <v>494</v>
      </c>
      <c r="B238" s="230" t="s">
        <v>494</v>
      </c>
      <c r="C238" s="238" t="s">
        <v>1178</v>
      </c>
      <c r="D238" s="232" t="s">
        <v>494</v>
      </c>
      <c r="E238" s="232" t="s">
        <v>494</v>
      </c>
      <c r="F238" s="232" t="s">
        <v>494</v>
      </c>
      <c r="G238" s="232" t="s">
        <v>494</v>
      </c>
      <c r="H238" s="232" t="s">
        <v>494</v>
      </c>
      <c r="I238" s="232" t="s">
        <v>494</v>
      </c>
      <c r="J238" s="232" t="s">
        <v>494</v>
      </c>
      <c r="K238" s="225" t="s">
        <v>494</v>
      </c>
      <c r="L238" s="226" t="s">
        <v>494</v>
      </c>
      <c r="M238" s="226" t="s">
        <v>494</v>
      </c>
      <c r="N238" s="226" t="s">
        <v>494</v>
      </c>
      <c r="O238" s="225" t="s">
        <v>494</v>
      </c>
    </row>
    <row r="239" spans="1:15" ht="17.25" customHeight="1">
      <c r="A239" s="222" t="s">
        <v>494</v>
      </c>
      <c r="B239" s="230" t="s">
        <v>494</v>
      </c>
      <c r="C239" s="231" t="s">
        <v>1179</v>
      </c>
      <c r="D239" s="232">
        <v>73041075962</v>
      </c>
      <c r="E239" s="232">
        <v>43375736892</v>
      </c>
      <c r="F239" s="232">
        <v>22964662860</v>
      </c>
      <c r="G239" s="232">
        <v>-179424188662</v>
      </c>
      <c r="H239" s="232">
        <v>-209966367242</v>
      </c>
      <c r="I239" s="232">
        <v>-278417472312</v>
      </c>
      <c r="J239" s="232">
        <v>1676571529031</v>
      </c>
      <c r="K239" s="225" t="s">
        <v>494</v>
      </c>
      <c r="L239" s="226" t="s">
        <v>494</v>
      </c>
      <c r="M239" s="226" t="s">
        <v>494</v>
      </c>
      <c r="N239" s="226" t="s">
        <v>494</v>
      </c>
      <c r="O239" s="225" t="s">
        <v>494</v>
      </c>
    </row>
    <row r="240" spans="1:15" ht="17.25" customHeight="1">
      <c r="A240" s="222" t="s">
        <v>494</v>
      </c>
      <c r="B240" s="230" t="s">
        <v>494</v>
      </c>
      <c r="C240" s="231" t="s">
        <v>1174</v>
      </c>
      <c r="D240" s="232">
        <v>289816443459</v>
      </c>
      <c r="E240" s="232">
        <v>316026282173</v>
      </c>
      <c r="F240" s="232">
        <v>241675465159</v>
      </c>
      <c r="G240" s="232">
        <v>322782948252</v>
      </c>
      <c r="H240" s="232">
        <v>657487651938</v>
      </c>
      <c r="I240" s="232">
        <v>885213811783</v>
      </c>
      <c r="J240" s="232">
        <v>3565117154694</v>
      </c>
      <c r="K240" s="225" t="s">
        <v>494</v>
      </c>
      <c r="L240" s="226" t="s">
        <v>494</v>
      </c>
      <c r="M240" s="226" t="s">
        <v>494</v>
      </c>
      <c r="N240" s="226" t="s">
        <v>494</v>
      </c>
      <c r="O240" s="225" t="s">
        <v>494</v>
      </c>
    </row>
    <row r="241" spans="1:15" ht="17.25" customHeight="1">
      <c r="A241" s="222" t="s">
        <v>494</v>
      </c>
      <c r="B241" s="230" t="s">
        <v>494</v>
      </c>
      <c r="C241" s="238" t="s">
        <v>1178</v>
      </c>
      <c r="D241" s="240">
        <v>0.25</v>
      </c>
      <c r="E241" s="240">
        <v>0.14000000000000001</v>
      </c>
      <c r="F241" s="240">
        <v>0.1</v>
      </c>
      <c r="G241" s="240">
        <v>-0.56000000000000005</v>
      </c>
      <c r="H241" s="240">
        <v>-0.32</v>
      </c>
      <c r="I241" s="240">
        <v>-0.31</v>
      </c>
      <c r="J241" s="240">
        <v>0.47</v>
      </c>
      <c r="K241" s="225" t="s">
        <v>494</v>
      </c>
      <c r="L241" s="226" t="s">
        <v>494</v>
      </c>
      <c r="M241" s="226" t="s">
        <v>494</v>
      </c>
      <c r="N241" s="226" t="s">
        <v>494</v>
      </c>
      <c r="O241" s="225" t="s">
        <v>494</v>
      </c>
    </row>
    <row r="242" spans="1:15" ht="17.25" customHeight="1">
      <c r="A242" s="222" t="s">
        <v>494</v>
      </c>
      <c r="B242" s="230" t="s">
        <v>494</v>
      </c>
      <c r="C242" s="231" t="s">
        <v>494</v>
      </c>
      <c r="D242" s="232" t="s">
        <v>494</v>
      </c>
      <c r="E242" s="232" t="s">
        <v>494</v>
      </c>
      <c r="F242" s="232" t="s">
        <v>494</v>
      </c>
      <c r="G242" s="232" t="s">
        <v>494</v>
      </c>
      <c r="H242" s="232" t="s">
        <v>494</v>
      </c>
      <c r="I242" s="232" t="s">
        <v>494</v>
      </c>
      <c r="J242" s="232" t="s">
        <v>494</v>
      </c>
      <c r="K242" s="225" t="s">
        <v>494</v>
      </c>
      <c r="L242" s="226" t="s">
        <v>494</v>
      </c>
      <c r="M242" s="226" t="s">
        <v>494</v>
      </c>
      <c r="N242" s="226" t="s">
        <v>494</v>
      </c>
      <c r="O242" s="225" t="s">
        <v>494</v>
      </c>
    </row>
    <row r="243" spans="1:15" ht="17.25" customHeight="1">
      <c r="A243" s="222" t="s">
        <v>494</v>
      </c>
      <c r="B243" s="230" t="s">
        <v>494</v>
      </c>
      <c r="C243" s="238" t="s">
        <v>1180</v>
      </c>
      <c r="D243" s="232" t="s">
        <v>494</v>
      </c>
      <c r="E243" s="232" t="s">
        <v>494</v>
      </c>
      <c r="F243" s="232" t="s">
        <v>494</v>
      </c>
      <c r="G243" s="232" t="s">
        <v>494</v>
      </c>
      <c r="H243" s="232" t="s">
        <v>494</v>
      </c>
      <c r="I243" s="232" t="s">
        <v>494</v>
      </c>
      <c r="J243" s="232" t="s">
        <v>494</v>
      </c>
      <c r="K243" s="225" t="s">
        <v>494</v>
      </c>
      <c r="L243" s="226" t="s">
        <v>494</v>
      </c>
      <c r="M243" s="226" t="s">
        <v>494</v>
      </c>
      <c r="N243" s="226" t="s">
        <v>494</v>
      </c>
      <c r="O243" s="225" t="s">
        <v>494</v>
      </c>
    </row>
    <row r="244" spans="1:15" ht="17.25" customHeight="1">
      <c r="A244" s="222" t="s">
        <v>494</v>
      </c>
      <c r="B244" s="230" t="s">
        <v>494</v>
      </c>
      <c r="C244" s="231" t="s">
        <v>1181</v>
      </c>
      <c r="D244" s="232">
        <v>260272649587</v>
      </c>
      <c r="E244" s="232">
        <v>289183653857</v>
      </c>
      <c r="F244" s="232">
        <v>234453994883</v>
      </c>
      <c r="G244" s="232">
        <v>213062117521</v>
      </c>
      <c r="H244" s="232">
        <v>286222591194</v>
      </c>
      <c r="I244" s="232">
        <v>386950647921</v>
      </c>
      <c r="J244" s="232">
        <v>429151882737</v>
      </c>
      <c r="K244" s="225" t="s">
        <v>494</v>
      </c>
      <c r="L244" s="226" t="s">
        <v>494</v>
      </c>
      <c r="M244" s="226" t="s">
        <v>494</v>
      </c>
      <c r="N244" s="226" t="s">
        <v>494</v>
      </c>
      <c r="O244" s="225" t="s">
        <v>494</v>
      </c>
    </row>
    <row r="245" spans="1:15" ht="17.25" customHeight="1">
      <c r="A245" s="222" t="s">
        <v>494</v>
      </c>
      <c r="B245" s="230" t="s">
        <v>494</v>
      </c>
      <c r="C245" s="231" t="s">
        <v>1182</v>
      </c>
      <c r="D245" s="232" t="s">
        <v>890</v>
      </c>
      <c r="E245" s="232" t="s">
        <v>890</v>
      </c>
      <c r="F245" s="232" t="s">
        <v>890</v>
      </c>
      <c r="G245" s="232">
        <v>69862253476</v>
      </c>
      <c r="H245" s="232">
        <v>263272232534</v>
      </c>
      <c r="I245" s="232">
        <v>385527995724</v>
      </c>
      <c r="J245" s="232">
        <v>325272687613</v>
      </c>
      <c r="K245" s="225" t="s">
        <v>494</v>
      </c>
      <c r="L245" s="226" t="s">
        <v>494</v>
      </c>
      <c r="M245" s="226" t="s">
        <v>494</v>
      </c>
      <c r="N245" s="226" t="s">
        <v>494</v>
      </c>
      <c r="O245" s="225" t="s">
        <v>494</v>
      </c>
    </row>
    <row r="246" spans="1:15" ht="17.25" customHeight="1">
      <c r="A246" s="222" t="s">
        <v>494</v>
      </c>
      <c r="B246" s="230" t="s">
        <v>494</v>
      </c>
      <c r="C246" s="231" t="s">
        <v>1183</v>
      </c>
      <c r="D246" s="232">
        <v>744420000</v>
      </c>
      <c r="E246" s="232">
        <v>744420000</v>
      </c>
      <c r="F246" s="232">
        <v>744420000</v>
      </c>
      <c r="G246" s="232">
        <v>744420000</v>
      </c>
      <c r="H246" s="232">
        <v>744420000</v>
      </c>
      <c r="I246" s="232">
        <v>744420000</v>
      </c>
      <c r="J246" s="232" t="s">
        <v>890</v>
      </c>
      <c r="K246" s="225" t="s">
        <v>494</v>
      </c>
      <c r="L246" s="226" t="s">
        <v>494</v>
      </c>
      <c r="M246" s="226" t="s">
        <v>494</v>
      </c>
      <c r="N246" s="226" t="s">
        <v>494</v>
      </c>
      <c r="O246" s="225" t="s">
        <v>494</v>
      </c>
    </row>
    <row r="247" spans="1:15" ht="17.25" customHeight="1">
      <c r="A247" s="222" t="s">
        <v>494</v>
      </c>
      <c r="B247" s="230" t="s">
        <v>494</v>
      </c>
      <c r="C247" s="231" t="s">
        <v>1184</v>
      </c>
      <c r="D247" s="232">
        <v>28799373872</v>
      </c>
      <c r="E247" s="232">
        <v>26098208316</v>
      </c>
      <c r="F247" s="232">
        <v>6477050276</v>
      </c>
      <c r="G247" s="232">
        <v>39114157255</v>
      </c>
      <c r="H247" s="232">
        <v>107248408210</v>
      </c>
      <c r="I247" s="232">
        <v>111990748138</v>
      </c>
      <c r="J247" s="232">
        <v>2810692584344</v>
      </c>
      <c r="K247" s="225" t="s">
        <v>494</v>
      </c>
      <c r="L247" s="226" t="s">
        <v>494</v>
      </c>
      <c r="M247" s="226" t="s">
        <v>494</v>
      </c>
      <c r="N247" s="226" t="s">
        <v>494</v>
      </c>
      <c r="O247" s="225" t="s">
        <v>494</v>
      </c>
    </row>
    <row r="248" spans="1:15" ht="17.25" customHeight="1">
      <c r="A248" s="222" t="s">
        <v>494</v>
      </c>
      <c r="B248" s="230" t="s">
        <v>494</v>
      </c>
      <c r="C248" s="238" t="s">
        <v>1185</v>
      </c>
      <c r="D248" s="239">
        <v>289816443459</v>
      </c>
      <c r="E248" s="239">
        <v>316026282173</v>
      </c>
      <c r="F248" s="239">
        <v>241675465159</v>
      </c>
      <c r="G248" s="239">
        <v>322782948252</v>
      </c>
      <c r="H248" s="239">
        <v>657487651938</v>
      </c>
      <c r="I248" s="239">
        <v>885213811783</v>
      </c>
      <c r="J248" s="239">
        <v>3565117154694</v>
      </c>
      <c r="K248" s="225" t="s">
        <v>494</v>
      </c>
      <c r="L248" s="226" t="s">
        <v>494</v>
      </c>
      <c r="M248" s="226" t="s">
        <v>494</v>
      </c>
      <c r="N248" s="226" t="s">
        <v>494</v>
      </c>
      <c r="O248" s="225" t="s">
        <v>494</v>
      </c>
    </row>
    <row r="249" spans="1:15" ht="17.25" customHeight="1">
      <c r="A249" s="222" t="s">
        <v>494</v>
      </c>
      <c r="B249" s="230" t="s">
        <v>494</v>
      </c>
      <c r="C249" s="231" t="s">
        <v>494</v>
      </c>
      <c r="D249" s="232" t="s">
        <v>494</v>
      </c>
      <c r="E249" s="232" t="s">
        <v>494</v>
      </c>
      <c r="F249" s="232" t="s">
        <v>494</v>
      </c>
      <c r="G249" s="232" t="s">
        <v>494</v>
      </c>
      <c r="H249" s="232" t="s">
        <v>494</v>
      </c>
      <c r="I249" s="232" t="s">
        <v>494</v>
      </c>
      <c r="J249" s="232" t="s">
        <v>494</v>
      </c>
      <c r="K249" s="225" t="s">
        <v>494</v>
      </c>
      <c r="L249" s="226" t="s">
        <v>494</v>
      </c>
      <c r="M249" s="226" t="s">
        <v>494</v>
      </c>
      <c r="N249" s="226" t="s">
        <v>494</v>
      </c>
      <c r="O249" s="225" t="s">
        <v>494</v>
      </c>
    </row>
    <row r="250" spans="1:15" ht="17.25" customHeight="1">
      <c r="A250" s="222" t="s">
        <v>494</v>
      </c>
      <c r="B250" s="230" t="s">
        <v>494</v>
      </c>
      <c r="C250" s="238" t="s">
        <v>1186</v>
      </c>
      <c r="D250" s="240">
        <v>0.23</v>
      </c>
      <c r="E250" s="240">
        <v>0.31</v>
      </c>
      <c r="F250" s="240">
        <v>0.45</v>
      </c>
      <c r="G250" s="240">
        <v>1.45</v>
      </c>
      <c r="H250" s="240">
        <v>2.2000000000000002</v>
      </c>
      <c r="I250" s="240">
        <v>2.91</v>
      </c>
      <c r="J250" s="240">
        <v>1.1399999999999999</v>
      </c>
      <c r="K250" s="225" t="s">
        <v>494</v>
      </c>
      <c r="L250" s="226" t="s">
        <v>494</v>
      </c>
      <c r="M250" s="226" t="s">
        <v>494</v>
      </c>
      <c r="N250" s="226" t="s">
        <v>494</v>
      </c>
      <c r="O250" s="225" t="s">
        <v>494</v>
      </c>
    </row>
    <row r="251" spans="1:15" ht="17.25" customHeight="1">
      <c r="A251" s="222" t="s">
        <v>494</v>
      </c>
      <c r="B251" s="230" t="s">
        <v>494</v>
      </c>
      <c r="C251" s="238" t="s">
        <v>494</v>
      </c>
      <c r="D251" s="232" t="s">
        <v>494</v>
      </c>
      <c r="E251" s="232" t="s">
        <v>494</v>
      </c>
      <c r="F251" s="232" t="s">
        <v>494</v>
      </c>
      <c r="G251" s="232" t="s">
        <v>494</v>
      </c>
      <c r="H251" s="232" t="s">
        <v>494</v>
      </c>
      <c r="I251" s="232" t="s">
        <v>494</v>
      </c>
      <c r="J251" s="232" t="s">
        <v>494</v>
      </c>
      <c r="K251" s="225" t="s">
        <v>494</v>
      </c>
      <c r="L251" s="226" t="s">
        <v>494</v>
      </c>
      <c r="M251" s="226" t="s">
        <v>494</v>
      </c>
      <c r="N251" s="226" t="s">
        <v>494</v>
      </c>
      <c r="O251" s="225" t="s">
        <v>494</v>
      </c>
    </row>
    <row r="252" spans="1:15" ht="17.25" customHeight="1">
      <c r="A252" s="222" t="s">
        <v>494</v>
      </c>
      <c r="B252" s="230" t="s">
        <v>494</v>
      </c>
      <c r="C252" s="238" t="s">
        <v>1187</v>
      </c>
      <c r="D252" s="232" t="s">
        <v>494</v>
      </c>
      <c r="E252" s="232" t="s">
        <v>494</v>
      </c>
      <c r="F252" s="232" t="s">
        <v>494</v>
      </c>
      <c r="G252" s="232" t="s">
        <v>494</v>
      </c>
      <c r="H252" s="232" t="s">
        <v>494</v>
      </c>
      <c r="I252" s="232" t="s">
        <v>494</v>
      </c>
      <c r="J252" s="232" t="s">
        <v>494</v>
      </c>
      <c r="K252" s="225" t="s">
        <v>494</v>
      </c>
      <c r="L252" s="226" t="s">
        <v>494</v>
      </c>
      <c r="M252" s="226" t="s">
        <v>494</v>
      </c>
      <c r="N252" s="226" t="s">
        <v>494</v>
      </c>
      <c r="O252" s="225" t="s">
        <v>494</v>
      </c>
    </row>
    <row r="253" spans="1:15" ht="17.25" customHeight="1">
      <c r="A253" s="222" t="s">
        <v>494</v>
      </c>
      <c r="B253" s="230" t="s">
        <v>494</v>
      </c>
      <c r="C253" s="231" t="s">
        <v>1188</v>
      </c>
      <c r="D253" s="232">
        <v>349233870693</v>
      </c>
      <c r="E253" s="232">
        <v>479458723863</v>
      </c>
      <c r="F253" s="232">
        <v>926963487103</v>
      </c>
      <c r="G253" s="232">
        <v>3393389718387</v>
      </c>
      <c r="H253" s="232">
        <v>4718162150542</v>
      </c>
      <c r="I253" s="232">
        <v>5431902670892</v>
      </c>
      <c r="J253" s="232">
        <v>5073036590609</v>
      </c>
      <c r="K253" s="225" t="s">
        <v>494</v>
      </c>
      <c r="L253" s="226" t="s">
        <v>494</v>
      </c>
      <c r="M253" s="226" t="s">
        <v>494</v>
      </c>
      <c r="N253" s="226" t="s">
        <v>494</v>
      </c>
      <c r="O253" s="225" t="s">
        <v>494</v>
      </c>
    </row>
    <row r="254" spans="1:15" ht="17.25" customHeight="1">
      <c r="A254" s="143" t="s">
        <v>494</v>
      </c>
      <c r="B254" s="144" t="s">
        <v>494</v>
      </c>
      <c r="C254" s="231" t="s">
        <v>1173</v>
      </c>
      <c r="D254" s="146">
        <v>107738329457</v>
      </c>
      <c r="E254" s="146">
        <v>102027019565</v>
      </c>
      <c r="F254" s="146">
        <v>47907878582</v>
      </c>
      <c r="G254" s="146">
        <v>-77097039171</v>
      </c>
      <c r="H254" s="146">
        <v>44294103487</v>
      </c>
      <c r="I254" s="146">
        <v>-35805785873</v>
      </c>
      <c r="J254" s="146">
        <v>2039486576334</v>
      </c>
      <c r="K254" s="147" t="s">
        <v>494</v>
      </c>
      <c r="L254" s="148" t="s">
        <v>494</v>
      </c>
      <c r="M254" s="148" t="s">
        <v>494</v>
      </c>
      <c r="N254" s="148" t="s">
        <v>494</v>
      </c>
      <c r="O254" s="147" t="s">
        <v>494</v>
      </c>
    </row>
    <row r="255" spans="1:15" ht="17.25" customHeight="1">
      <c r="A255" s="143" t="s">
        <v>494</v>
      </c>
      <c r="B255" s="144" t="s">
        <v>494</v>
      </c>
      <c r="C255" s="238" t="s">
        <v>1187</v>
      </c>
      <c r="D255" s="241">
        <v>3.24</v>
      </c>
      <c r="E255" s="241">
        <v>4.7</v>
      </c>
      <c r="F255" s="241">
        <v>19.350000000000001</v>
      </c>
      <c r="G255" s="241">
        <v>-44.01</v>
      </c>
      <c r="H255" s="241">
        <v>106.52</v>
      </c>
      <c r="I255" s="241">
        <v>-151.69999999999999</v>
      </c>
      <c r="J255" s="241">
        <v>2.4900000000000002</v>
      </c>
      <c r="K255" s="147" t="s">
        <v>494</v>
      </c>
      <c r="L255" s="148" t="s">
        <v>494</v>
      </c>
      <c r="M255" s="148" t="s">
        <v>494</v>
      </c>
      <c r="N255" s="148" t="s">
        <v>494</v>
      </c>
      <c r="O255" s="147" t="s">
        <v>494</v>
      </c>
    </row>
    <row r="256" spans="1:15" ht="17.25" customHeight="1">
      <c r="A256" s="143" t="s">
        <v>494</v>
      </c>
      <c r="B256" s="144" t="s">
        <v>494</v>
      </c>
      <c r="C256" s="238" t="s">
        <v>494</v>
      </c>
      <c r="D256" s="241" t="s">
        <v>494</v>
      </c>
      <c r="E256" s="241" t="s">
        <v>494</v>
      </c>
      <c r="F256" s="241" t="s">
        <v>494</v>
      </c>
      <c r="G256" s="241" t="s">
        <v>494</v>
      </c>
      <c r="H256" s="241" t="s">
        <v>494</v>
      </c>
      <c r="I256" s="241" t="s">
        <v>494</v>
      </c>
      <c r="J256" s="241" t="s">
        <v>494</v>
      </c>
      <c r="K256" s="147" t="s">
        <v>494</v>
      </c>
      <c r="L256" s="148" t="s">
        <v>494</v>
      </c>
      <c r="M256" s="148" t="s">
        <v>494</v>
      </c>
      <c r="N256" s="148" t="s">
        <v>494</v>
      </c>
      <c r="O256" s="147" t="s">
        <v>494</v>
      </c>
    </row>
    <row r="257" spans="1:15" ht="17.25" customHeight="1">
      <c r="A257" s="143" t="s">
        <v>494</v>
      </c>
      <c r="B257" s="144" t="s">
        <v>494</v>
      </c>
      <c r="C257" s="238" t="s">
        <v>1189</v>
      </c>
      <c r="D257" s="241" t="s">
        <v>494</v>
      </c>
      <c r="E257" s="241" t="s">
        <v>494</v>
      </c>
      <c r="F257" s="241" t="s">
        <v>494</v>
      </c>
      <c r="G257" s="241" t="s">
        <v>494</v>
      </c>
      <c r="H257" s="241" t="s">
        <v>494</v>
      </c>
      <c r="I257" s="241" t="s">
        <v>494</v>
      </c>
      <c r="J257" s="241" t="s">
        <v>494</v>
      </c>
      <c r="K257" s="147" t="s">
        <v>494</v>
      </c>
      <c r="L257" s="148" t="s">
        <v>494</v>
      </c>
      <c r="M257" s="148" t="s">
        <v>494</v>
      </c>
      <c r="N257" s="148" t="s">
        <v>494</v>
      </c>
      <c r="O257" s="147" t="s">
        <v>494</v>
      </c>
    </row>
    <row r="258" spans="1:15" ht="17.25" customHeight="1">
      <c r="A258" s="143" t="s">
        <v>494</v>
      </c>
      <c r="B258" s="144" t="s">
        <v>494</v>
      </c>
      <c r="C258" s="231" t="s">
        <v>1190</v>
      </c>
      <c r="D258" s="146">
        <v>73041075962</v>
      </c>
      <c r="E258" s="146">
        <v>43375736892</v>
      </c>
      <c r="F258" s="146">
        <v>22964662860</v>
      </c>
      <c r="G258" s="146">
        <v>-179424188662</v>
      </c>
      <c r="H258" s="146">
        <v>-209966367242</v>
      </c>
      <c r="I258" s="146">
        <v>-278417472312</v>
      </c>
      <c r="J258" s="146">
        <v>1676571529031</v>
      </c>
      <c r="K258" s="147" t="s">
        <v>494</v>
      </c>
      <c r="L258" s="148" t="s">
        <v>494</v>
      </c>
      <c r="M258" s="148" t="s">
        <v>494</v>
      </c>
      <c r="N258" s="148" t="s">
        <v>494</v>
      </c>
      <c r="O258" s="147" t="s">
        <v>494</v>
      </c>
    </row>
    <row r="259" spans="1:15" ht="17.25" customHeight="1">
      <c r="A259" s="143" t="s">
        <v>494</v>
      </c>
      <c r="B259" s="144" t="s">
        <v>494</v>
      </c>
      <c r="C259" s="231" t="s">
        <v>1191</v>
      </c>
      <c r="D259" s="146">
        <v>1846873018885</v>
      </c>
      <c r="E259" s="146">
        <v>2007116032332</v>
      </c>
      <c r="F259" s="146">
        <v>2981877883370</v>
      </c>
      <c r="G259" s="146">
        <v>5731043641166</v>
      </c>
      <c r="H259" s="146">
        <v>6859408475163</v>
      </c>
      <c r="I259" s="146">
        <v>7296356344093</v>
      </c>
      <c r="J259" s="146">
        <v>9506685186929</v>
      </c>
      <c r="K259" s="147" t="s">
        <v>494</v>
      </c>
      <c r="L259" s="148" t="s">
        <v>494</v>
      </c>
      <c r="M259" s="148" t="s">
        <v>494</v>
      </c>
      <c r="N259" s="148" t="s">
        <v>494</v>
      </c>
      <c r="O259" s="147" t="s">
        <v>494</v>
      </c>
    </row>
    <row r="260" spans="1:15" ht="17.25" customHeight="1">
      <c r="A260" s="143" t="s">
        <v>494</v>
      </c>
      <c r="B260" s="144" t="s">
        <v>494</v>
      </c>
      <c r="C260" s="238" t="s">
        <v>1189</v>
      </c>
      <c r="D260" s="241">
        <v>0.04</v>
      </c>
      <c r="E260" s="241">
        <v>0.02</v>
      </c>
      <c r="F260" s="241">
        <v>0.01</v>
      </c>
      <c r="G260" s="241">
        <v>-0.03</v>
      </c>
      <c r="H260" s="241">
        <v>-0.03</v>
      </c>
      <c r="I260" s="241">
        <v>-0.04</v>
      </c>
      <c r="J260" s="241">
        <v>0.18</v>
      </c>
      <c r="K260" s="147" t="s">
        <v>494</v>
      </c>
      <c r="L260" s="148" t="s">
        <v>494</v>
      </c>
      <c r="M260" s="148" t="s">
        <v>494</v>
      </c>
      <c r="N260" s="148" t="s">
        <v>494</v>
      </c>
      <c r="O260" s="147" t="s">
        <v>494</v>
      </c>
    </row>
    <row r="261" spans="1:15" ht="17.25" customHeight="1">
      <c r="A261" s="143" t="s">
        <v>494</v>
      </c>
      <c r="B261" s="144" t="s">
        <v>494</v>
      </c>
      <c r="C261" s="238" t="s">
        <v>494</v>
      </c>
      <c r="D261" s="241" t="s">
        <v>494</v>
      </c>
      <c r="E261" s="241" t="s">
        <v>494</v>
      </c>
      <c r="F261" s="241" t="s">
        <v>494</v>
      </c>
      <c r="G261" s="241" t="s">
        <v>494</v>
      </c>
      <c r="H261" s="241" t="s">
        <v>494</v>
      </c>
      <c r="I261" s="241" t="s">
        <v>494</v>
      </c>
      <c r="J261" s="241" t="s">
        <v>494</v>
      </c>
      <c r="K261" s="147" t="s">
        <v>494</v>
      </c>
      <c r="L261" s="148" t="s">
        <v>494</v>
      </c>
      <c r="M261" s="148" t="s">
        <v>494</v>
      </c>
      <c r="N261" s="148" t="s">
        <v>494</v>
      </c>
      <c r="O261" s="147" t="s">
        <v>494</v>
      </c>
    </row>
    <row r="262" spans="1:15" ht="17.25" customHeight="1">
      <c r="A262" s="143" t="s">
        <v>494</v>
      </c>
      <c r="B262" s="144" t="s">
        <v>494</v>
      </c>
      <c r="C262" s="238" t="s">
        <v>1192</v>
      </c>
      <c r="D262" s="241" t="s">
        <v>494</v>
      </c>
      <c r="E262" s="241" t="s">
        <v>494</v>
      </c>
      <c r="F262" s="241" t="s">
        <v>494</v>
      </c>
      <c r="G262" s="241" t="s">
        <v>494</v>
      </c>
      <c r="H262" s="241" t="s">
        <v>494</v>
      </c>
      <c r="I262" s="241" t="s">
        <v>494</v>
      </c>
      <c r="J262" s="241" t="s">
        <v>494</v>
      </c>
      <c r="K262" s="147" t="s">
        <v>494</v>
      </c>
      <c r="L262" s="148" t="s">
        <v>494</v>
      </c>
      <c r="M262" s="148" t="s">
        <v>494</v>
      </c>
      <c r="N262" s="148" t="s">
        <v>494</v>
      </c>
      <c r="O262" s="147" t="s">
        <v>494</v>
      </c>
    </row>
    <row r="263" spans="1:15" ht="17.25" customHeight="1">
      <c r="A263" s="143" t="s">
        <v>494</v>
      </c>
      <c r="B263" s="144" t="s">
        <v>494</v>
      </c>
      <c r="C263" s="231" t="s">
        <v>1190</v>
      </c>
      <c r="D263" s="146">
        <v>73041075962</v>
      </c>
      <c r="E263" s="146">
        <v>43375736892</v>
      </c>
      <c r="F263" s="146">
        <v>22964662860</v>
      </c>
      <c r="G263" s="146">
        <v>-179424188662</v>
      </c>
      <c r="H263" s="146">
        <v>-209966367242</v>
      </c>
      <c r="I263" s="146">
        <v>-278417472312</v>
      </c>
      <c r="J263" s="146">
        <v>1676571529031</v>
      </c>
      <c r="K263" s="147" t="s">
        <v>494</v>
      </c>
      <c r="L263" s="148" t="s">
        <v>494</v>
      </c>
      <c r="M263" s="148" t="s">
        <v>494</v>
      </c>
      <c r="N263" s="148" t="s">
        <v>494</v>
      </c>
      <c r="O263" s="147" t="s">
        <v>494</v>
      </c>
    </row>
    <row r="264" spans="1:15" ht="17.25" customHeight="1">
      <c r="A264" s="143" t="s">
        <v>494</v>
      </c>
      <c r="B264" s="144" t="s">
        <v>494</v>
      </c>
      <c r="C264" s="231" t="s">
        <v>1077</v>
      </c>
      <c r="D264" s="146">
        <v>1497639148192</v>
      </c>
      <c r="E264" s="146">
        <v>1527657308469</v>
      </c>
      <c r="F264" s="146">
        <v>2054914396267</v>
      </c>
      <c r="G264" s="146">
        <v>2337653922779</v>
      </c>
      <c r="H264" s="146">
        <v>2141246324621</v>
      </c>
      <c r="I264" s="146">
        <v>1864453673201</v>
      </c>
      <c r="J264" s="146">
        <v>4433648596320</v>
      </c>
      <c r="K264" s="147" t="s">
        <v>494</v>
      </c>
      <c r="L264" s="148" t="s">
        <v>494</v>
      </c>
      <c r="M264" s="148" t="s">
        <v>494</v>
      </c>
      <c r="N264" s="148" t="s">
        <v>494</v>
      </c>
      <c r="O264" s="147" t="s">
        <v>494</v>
      </c>
    </row>
    <row r="265" spans="1:15" ht="17.25" customHeight="1">
      <c r="A265" s="143" t="s">
        <v>494</v>
      </c>
      <c r="B265" s="144" t="s">
        <v>494</v>
      </c>
      <c r="C265" s="238" t="s">
        <v>1192</v>
      </c>
      <c r="D265" s="241">
        <v>0.05</v>
      </c>
      <c r="E265" s="241">
        <v>0.03</v>
      </c>
      <c r="F265" s="241">
        <v>0.01</v>
      </c>
      <c r="G265" s="241">
        <v>-0.08</v>
      </c>
      <c r="H265" s="241">
        <v>-0.1</v>
      </c>
      <c r="I265" s="241">
        <v>-0.15</v>
      </c>
      <c r="J265" s="241">
        <v>0.38</v>
      </c>
      <c r="K265" s="147" t="s">
        <v>494</v>
      </c>
      <c r="L265" s="148" t="s">
        <v>494</v>
      </c>
      <c r="M265" s="148" t="s">
        <v>494</v>
      </c>
      <c r="N265" s="148" t="s">
        <v>494</v>
      </c>
      <c r="O265" s="147" t="s">
        <v>494</v>
      </c>
    </row>
    <row r="266" spans="1:15" ht="17.25" customHeight="1">
      <c r="A266" s="143" t="s">
        <v>494</v>
      </c>
      <c r="B266" s="144" t="s">
        <v>494</v>
      </c>
      <c r="C266" s="238" t="s">
        <v>494</v>
      </c>
      <c r="D266" s="241" t="s">
        <v>494</v>
      </c>
      <c r="E266" s="241" t="s">
        <v>494</v>
      </c>
      <c r="F266" s="241" t="s">
        <v>494</v>
      </c>
      <c r="G266" s="241" t="s">
        <v>494</v>
      </c>
      <c r="H266" s="241" t="s">
        <v>494</v>
      </c>
      <c r="I266" s="241" t="s">
        <v>494</v>
      </c>
      <c r="J266" s="241" t="s">
        <v>494</v>
      </c>
      <c r="K266" s="147" t="s">
        <v>494</v>
      </c>
      <c r="L266" s="148" t="s">
        <v>494</v>
      </c>
      <c r="M266" s="148" t="s">
        <v>494</v>
      </c>
      <c r="N266" s="148" t="s">
        <v>494</v>
      </c>
      <c r="O266" s="147" t="s">
        <v>494</v>
      </c>
    </row>
    <row r="267" spans="1:15" ht="17.25" customHeight="1">
      <c r="A267" s="143" t="s">
        <v>494</v>
      </c>
      <c r="B267" s="144" t="s">
        <v>494</v>
      </c>
      <c r="C267" s="238" t="s">
        <v>1193</v>
      </c>
      <c r="D267" s="241" t="s">
        <v>494</v>
      </c>
      <c r="E267" s="241" t="s">
        <v>494</v>
      </c>
      <c r="F267" s="241" t="s">
        <v>494</v>
      </c>
      <c r="G267" s="241" t="s">
        <v>494</v>
      </c>
      <c r="H267" s="241" t="s">
        <v>494</v>
      </c>
      <c r="I267" s="241" t="s">
        <v>494</v>
      </c>
      <c r="J267" s="241" t="s">
        <v>494</v>
      </c>
      <c r="K267" s="147" t="s">
        <v>494</v>
      </c>
      <c r="L267" s="148" t="s">
        <v>494</v>
      </c>
      <c r="M267" s="148" t="s">
        <v>494</v>
      </c>
      <c r="N267" s="148" t="s">
        <v>494</v>
      </c>
      <c r="O267" s="147" t="s">
        <v>494</v>
      </c>
    </row>
    <row r="268" spans="1:15" ht="17.25" customHeight="1">
      <c r="A268" s="143" t="s">
        <v>494</v>
      </c>
      <c r="B268" s="144" t="s">
        <v>494</v>
      </c>
      <c r="C268" s="231" t="s">
        <v>1194</v>
      </c>
      <c r="D268" s="146">
        <v>383742146744</v>
      </c>
      <c r="E268" s="146">
        <v>288231254130</v>
      </c>
      <c r="F268" s="146">
        <v>911647412471</v>
      </c>
      <c r="G268" s="146">
        <v>1166481162701</v>
      </c>
      <c r="H268" s="146">
        <v>1012162546480</v>
      </c>
      <c r="I268" s="146">
        <v>947119548338</v>
      </c>
      <c r="J268" s="146">
        <v>2800786113862</v>
      </c>
      <c r="K268" s="147" t="s">
        <v>494</v>
      </c>
      <c r="L268" s="148" t="s">
        <v>494</v>
      </c>
      <c r="M268" s="148" t="s">
        <v>494</v>
      </c>
      <c r="N268" s="148" t="s">
        <v>494</v>
      </c>
      <c r="O268" s="147" t="s">
        <v>494</v>
      </c>
    </row>
    <row r="269" spans="1:15" ht="17.25" customHeight="1">
      <c r="A269" s="143" t="s">
        <v>494</v>
      </c>
      <c r="B269" s="144" t="s">
        <v>494</v>
      </c>
      <c r="C269" s="231" t="s">
        <v>1195</v>
      </c>
      <c r="D269" s="146">
        <v>206112381599</v>
      </c>
      <c r="E269" s="146">
        <v>287673204303</v>
      </c>
      <c r="F269" s="146">
        <v>224383713363</v>
      </c>
      <c r="G269" s="146">
        <v>2197864875249</v>
      </c>
      <c r="H269" s="146">
        <v>2545096323262</v>
      </c>
      <c r="I269" s="146">
        <v>1984796850393</v>
      </c>
      <c r="J269" s="146">
        <v>1530007638055</v>
      </c>
      <c r="K269" s="147" t="s">
        <v>494</v>
      </c>
      <c r="L269" s="148" t="s">
        <v>494</v>
      </c>
      <c r="M269" s="148" t="s">
        <v>494</v>
      </c>
      <c r="N269" s="148" t="s">
        <v>494</v>
      </c>
      <c r="O269" s="147" t="s">
        <v>494</v>
      </c>
    </row>
    <row r="270" spans="1:15" ht="17.25" customHeight="1">
      <c r="A270" s="143" t="s">
        <v>494</v>
      </c>
      <c r="B270" s="144" t="s">
        <v>494</v>
      </c>
      <c r="C270" s="238" t="s">
        <v>1193</v>
      </c>
      <c r="D270" s="241">
        <v>1.86</v>
      </c>
      <c r="E270" s="241">
        <v>1</v>
      </c>
      <c r="F270" s="241">
        <v>4.0599999999999996</v>
      </c>
      <c r="G270" s="241">
        <v>0.53</v>
      </c>
      <c r="H270" s="241">
        <v>0.4</v>
      </c>
      <c r="I270" s="241">
        <v>0.48</v>
      </c>
      <c r="J270" s="241">
        <v>1.83</v>
      </c>
      <c r="K270" s="147" t="s">
        <v>494</v>
      </c>
      <c r="L270" s="148" t="s">
        <v>494</v>
      </c>
      <c r="M270" s="148" t="s">
        <v>494</v>
      </c>
      <c r="N270" s="148" t="s">
        <v>494</v>
      </c>
      <c r="O270" s="147" t="s">
        <v>494</v>
      </c>
    </row>
    <row r="271" spans="1:15" ht="17.25" customHeight="1">
      <c r="A271" s="143" t="s">
        <v>494</v>
      </c>
      <c r="B271" s="144" t="s">
        <v>494</v>
      </c>
      <c r="C271" s="238" t="s">
        <v>494</v>
      </c>
      <c r="D271" s="241" t="s">
        <v>494</v>
      </c>
      <c r="E271" s="241" t="s">
        <v>494</v>
      </c>
      <c r="F271" s="241" t="s">
        <v>494</v>
      </c>
      <c r="G271" s="241" t="s">
        <v>494</v>
      </c>
      <c r="H271" s="241" t="s">
        <v>494</v>
      </c>
      <c r="I271" s="241" t="s">
        <v>494</v>
      </c>
      <c r="J271" s="241" t="s">
        <v>494</v>
      </c>
      <c r="K271" s="147" t="s">
        <v>494</v>
      </c>
      <c r="L271" s="148" t="s">
        <v>494</v>
      </c>
      <c r="M271" s="148" t="s">
        <v>494</v>
      </c>
      <c r="N271" s="148" t="s">
        <v>494</v>
      </c>
      <c r="O271" s="147" t="s">
        <v>494</v>
      </c>
    </row>
    <row r="272" spans="1:15" ht="17.25" customHeight="1">
      <c r="A272" s="143" t="s">
        <v>494</v>
      </c>
      <c r="B272" s="144" t="s">
        <v>494</v>
      </c>
      <c r="C272" s="238" t="s">
        <v>1196</v>
      </c>
      <c r="D272" s="241" t="s">
        <v>494</v>
      </c>
      <c r="E272" s="241" t="s">
        <v>494</v>
      </c>
      <c r="F272" s="241" t="s">
        <v>494</v>
      </c>
      <c r="G272" s="241" t="s">
        <v>494</v>
      </c>
      <c r="H272" s="241" t="s">
        <v>494</v>
      </c>
      <c r="I272" s="241" t="s">
        <v>494</v>
      </c>
      <c r="J272" s="241" t="s">
        <v>494</v>
      </c>
      <c r="K272" s="147" t="s">
        <v>494</v>
      </c>
      <c r="L272" s="148" t="s">
        <v>494</v>
      </c>
      <c r="M272" s="148" t="s">
        <v>494</v>
      </c>
      <c r="N272" s="148" t="s">
        <v>494</v>
      </c>
      <c r="O272" s="147" t="s">
        <v>494</v>
      </c>
    </row>
    <row r="273" spans="1:15" ht="17.25" customHeight="1">
      <c r="A273" s="143" t="s">
        <v>494</v>
      </c>
      <c r="B273" s="144" t="s">
        <v>494</v>
      </c>
      <c r="C273" s="231" t="s">
        <v>1197</v>
      </c>
      <c r="D273" s="146">
        <v>235316909778</v>
      </c>
      <c r="E273" s="146">
        <v>184514151223</v>
      </c>
      <c r="F273" s="146">
        <v>759932945202</v>
      </c>
      <c r="G273" s="146">
        <v>53235956225</v>
      </c>
      <c r="H273" s="146">
        <v>64564577024</v>
      </c>
      <c r="I273" s="146">
        <v>219006550776</v>
      </c>
      <c r="J273" s="146">
        <v>218952486889</v>
      </c>
      <c r="K273" s="147" t="s">
        <v>494</v>
      </c>
      <c r="L273" s="148" t="s">
        <v>494</v>
      </c>
      <c r="M273" s="148" t="s">
        <v>494</v>
      </c>
      <c r="N273" s="148" t="s">
        <v>494</v>
      </c>
      <c r="O273" s="147" t="s">
        <v>494</v>
      </c>
    </row>
    <row r="274" spans="1:15" ht="17.25" customHeight="1">
      <c r="A274" s="143" t="s">
        <v>494</v>
      </c>
      <c r="B274" s="144" t="s">
        <v>494</v>
      </c>
      <c r="C274" s="231" t="s">
        <v>1195</v>
      </c>
      <c r="D274" s="146">
        <v>206112381599</v>
      </c>
      <c r="E274" s="146">
        <v>287673204303</v>
      </c>
      <c r="F274" s="146">
        <v>224383713363</v>
      </c>
      <c r="G274" s="146">
        <v>2197864875249</v>
      </c>
      <c r="H274" s="146">
        <v>2545096323262</v>
      </c>
      <c r="I274" s="146">
        <v>1984796850393</v>
      </c>
      <c r="J274" s="146">
        <v>1530007638055</v>
      </c>
      <c r="K274" s="147" t="s">
        <v>494</v>
      </c>
      <c r="L274" s="148" t="s">
        <v>494</v>
      </c>
      <c r="M274" s="148" t="s">
        <v>494</v>
      </c>
      <c r="N274" s="148" t="s">
        <v>494</v>
      </c>
      <c r="O274" s="147" t="s">
        <v>494</v>
      </c>
    </row>
    <row r="275" spans="1:15" ht="17.25" customHeight="1">
      <c r="A275" s="143" t="s">
        <v>494</v>
      </c>
      <c r="B275" s="144" t="s">
        <v>494</v>
      </c>
      <c r="C275" s="238" t="s">
        <v>1193</v>
      </c>
      <c r="D275" s="241">
        <v>1.1399999999999999</v>
      </c>
      <c r="E275" s="241">
        <v>0.64</v>
      </c>
      <c r="F275" s="241">
        <v>3.39</v>
      </c>
      <c r="G275" s="241">
        <v>0.02</v>
      </c>
      <c r="H275" s="241">
        <v>0.03</v>
      </c>
      <c r="I275" s="241">
        <v>0.11</v>
      </c>
      <c r="J275" s="241">
        <v>0.14000000000000001</v>
      </c>
      <c r="K275" s="147" t="s">
        <v>494</v>
      </c>
      <c r="L275" s="148" t="s">
        <v>494</v>
      </c>
      <c r="M275" s="148" t="s">
        <v>494</v>
      </c>
      <c r="N275" s="148" t="s">
        <v>494</v>
      </c>
      <c r="O275" s="147" t="s">
        <v>494</v>
      </c>
    </row>
    <row r="276" spans="1:15" ht="17.25" customHeight="1">
      <c r="A276" s="143" t="s">
        <v>494</v>
      </c>
      <c r="B276" s="144" t="s">
        <v>494</v>
      </c>
      <c r="C276" s="238" t="s">
        <v>494</v>
      </c>
      <c r="D276" s="241" t="s">
        <v>494</v>
      </c>
      <c r="E276" s="241" t="s">
        <v>494</v>
      </c>
      <c r="F276" s="241" t="s">
        <v>494</v>
      </c>
      <c r="G276" s="241" t="s">
        <v>494</v>
      </c>
      <c r="H276" s="241" t="s">
        <v>494</v>
      </c>
      <c r="I276" s="241" t="s">
        <v>494</v>
      </c>
      <c r="J276" s="241" t="s">
        <v>494</v>
      </c>
      <c r="K276" s="147" t="s">
        <v>494</v>
      </c>
      <c r="L276" s="148" t="s">
        <v>494</v>
      </c>
      <c r="M276" s="148" t="s">
        <v>494</v>
      </c>
      <c r="N276" s="148" t="s">
        <v>494</v>
      </c>
      <c r="O276" s="147" t="s">
        <v>494</v>
      </c>
    </row>
    <row r="277" spans="1:15" ht="17.25" customHeight="1">
      <c r="A277" s="143" t="s">
        <v>494</v>
      </c>
      <c r="B277" s="144" t="s">
        <v>494</v>
      </c>
      <c r="C277" s="238" t="s">
        <v>1198</v>
      </c>
      <c r="D277" s="241" t="s">
        <v>494</v>
      </c>
      <c r="E277" s="241" t="s">
        <v>494</v>
      </c>
      <c r="F277" s="241" t="s">
        <v>494</v>
      </c>
      <c r="G277" s="241" t="s">
        <v>494</v>
      </c>
      <c r="H277" s="241" t="s">
        <v>494</v>
      </c>
      <c r="I277" s="241" t="s">
        <v>494</v>
      </c>
      <c r="J277" s="241" t="s">
        <v>494</v>
      </c>
      <c r="K277" s="147" t="s">
        <v>494</v>
      </c>
      <c r="L277" s="148" t="s">
        <v>494</v>
      </c>
      <c r="M277" s="148" t="s">
        <v>494</v>
      </c>
      <c r="N277" s="148" t="s">
        <v>494</v>
      </c>
      <c r="O277" s="147" t="s">
        <v>494</v>
      </c>
    </row>
    <row r="278" spans="1:15" ht="17.25" customHeight="1">
      <c r="A278" s="143" t="s">
        <v>494</v>
      </c>
      <c r="B278" s="144" t="s">
        <v>494</v>
      </c>
      <c r="C278" s="231" t="s">
        <v>1199</v>
      </c>
      <c r="D278" s="146" t="s">
        <v>890</v>
      </c>
      <c r="E278" s="146">
        <v>38639709471</v>
      </c>
      <c r="F278" s="146">
        <v>551330473347</v>
      </c>
      <c r="G278" s="146">
        <v>2552314691184</v>
      </c>
      <c r="H278" s="146">
        <v>3318260028291</v>
      </c>
      <c r="I278" s="146">
        <v>3660463698499</v>
      </c>
      <c r="J278" s="146">
        <v>3747199584257</v>
      </c>
      <c r="K278" s="147" t="s">
        <v>494</v>
      </c>
      <c r="L278" s="148" t="s">
        <v>494</v>
      </c>
      <c r="M278" s="148" t="s">
        <v>494</v>
      </c>
      <c r="N278" s="148" t="s">
        <v>494</v>
      </c>
      <c r="O278" s="147" t="s">
        <v>494</v>
      </c>
    </row>
    <row r="279" spans="1:15" ht="17.25" customHeight="1">
      <c r="A279" s="143" t="s">
        <v>494</v>
      </c>
      <c r="B279" s="144" t="s">
        <v>494</v>
      </c>
      <c r="C279" s="231" t="s">
        <v>1173</v>
      </c>
      <c r="D279" s="146">
        <v>107738329457</v>
      </c>
      <c r="E279" s="146">
        <v>102027019565</v>
      </c>
      <c r="F279" s="146">
        <v>47907878582</v>
      </c>
      <c r="G279" s="146">
        <v>-77097039171</v>
      </c>
      <c r="H279" s="146">
        <v>44294103487</v>
      </c>
      <c r="I279" s="146">
        <v>-35805785873</v>
      </c>
      <c r="J279" s="146">
        <v>2039486576334</v>
      </c>
      <c r="K279" s="147" t="s">
        <v>494</v>
      </c>
      <c r="L279" s="148" t="s">
        <v>494</v>
      </c>
      <c r="M279" s="148" t="s">
        <v>494</v>
      </c>
      <c r="N279" s="148" t="s">
        <v>494</v>
      </c>
      <c r="O279" s="147" t="s">
        <v>494</v>
      </c>
    </row>
    <row r="280" spans="1:15" ht="17.25" customHeight="1">
      <c r="A280" s="143" t="s">
        <v>494</v>
      </c>
      <c r="B280" s="144" t="s">
        <v>494</v>
      </c>
      <c r="C280" s="238" t="s">
        <v>1193</v>
      </c>
      <c r="D280" s="241" t="s">
        <v>890</v>
      </c>
      <c r="E280" s="241">
        <v>0.38</v>
      </c>
      <c r="F280" s="241">
        <v>11.51</v>
      </c>
      <c r="G280" s="241">
        <v>-33.11</v>
      </c>
      <c r="H280" s="241">
        <v>74.91</v>
      </c>
      <c r="I280" s="241">
        <v>-102.23</v>
      </c>
      <c r="J280" s="241">
        <v>1.84</v>
      </c>
      <c r="K280" s="147" t="s">
        <v>494</v>
      </c>
      <c r="L280" s="148" t="s">
        <v>494</v>
      </c>
      <c r="M280" s="148" t="s">
        <v>494</v>
      </c>
      <c r="N280" s="148" t="s">
        <v>494</v>
      </c>
      <c r="O280" s="147" t="s">
        <v>494</v>
      </c>
    </row>
    <row r="281" spans="1:15" ht="17.25" customHeight="1">
      <c r="A281" s="143" t="s">
        <v>494</v>
      </c>
      <c r="B281" s="144" t="s">
        <v>494</v>
      </c>
      <c r="C281" s="238" t="s">
        <v>494</v>
      </c>
      <c r="D281" s="241" t="s">
        <v>494</v>
      </c>
      <c r="E281" s="241" t="s">
        <v>494</v>
      </c>
      <c r="F281" s="241" t="s">
        <v>494</v>
      </c>
      <c r="G281" s="241" t="s">
        <v>494</v>
      </c>
      <c r="H281" s="241" t="s">
        <v>494</v>
      </c>
      <c r="I281" s="241" t="s">
        <v>494</v>
      </c>
      <c r="J281" s="241" t="s">
        <v>494</v>
      </c>
      <c r="K281" s="147" t="s">
        <v>494</v>
      </c>
      <c r="L281" s="148" t="s">
        <v>494</v>
      </c>
      <c r="M281" s="148" t="s">
        <v>494</v>
      </c>
      <c r="N281" s="148" t="s">
        <v>494</v>
      </c>
      <c r="O281" s="147" t="s">
        <v>494</v>
      </c>
    </row>
    <row r="282" spans="1:15" ht="17.25" customHeight="1">
      <c r="A282" s="143" t="s">
        <v>494</v>
      </c>
      <c r="B282" s="144" t="s">
        <v>494</v>
      </c>
      <c r="C282" s="238" t="s">
        <v>1200</v>
      </c>
      <c r="D282" s="241" t="s">
        <v>494</v>
      </c>
      <c r="E282" s="241" t="s">
        <v>494</v>
      </c>
      <c r="F282" s="241" t="s">
        <v>494</v>
      </c>
      <c r="G282" s="241" t="s">
        <v>494</v>
      </c>
      <c r="H282" s="241" t="s">
        <v>494</v>
      </c>
      <c r="I282" s="241" t="s">
        <v>494</v>
      </c>
      <c r="J282" s="241" t="s">
        <v>494</v>
      </c>
      <c r="K282" s="147" t="s">
        <v>494</v>
      </c>
      <c r="L282" s="148" t="s">
        <v>494</v>
      </c>
      <c r="M282" s="148" t="s">
        <v>494</v>
      </c>
      <c r="N282" s="148" t="s">
        <v>494</v>
      </c>
      <c r="O282" s="147" t="s">
        <v>494</v>
      </c>
    </row>
    <row r="283" spans="1:15" ht="17.25" customHeight="1">
      <c r="A283" s="143" t="s">
        <v>494</v>
      </c>
      <c r="B283" s="144" t="s">
        <v>494</v>
      </c>
      <c r="C283" s="231" t="s">
        <v>1174</v>
      </c>
      <c r="D283" s="146">
        <v>289816443459</v>
      </c>
      <c r="E283" s="146">
        <v>316026282173</v>
      </c>
      <c r="F283" s="146">
        <v>241675465159</v>
      </c>
      <c r="G283" s="146">
        <v>322782948252</v>
      </c>
      <c r="H283" s="146">
        <v>657487651938</v>
      </c>
      <c r="I283" s="146">
        <v>885213811783</v>
      </c>
      <c r="J283" s="146">
        <v>3565117154694</v>
      </c>
      <c r="K283" s="147" t="s">
        <v>494</v>
      </c>
      <c r="L283" s="148" t="s">
        <v>494</v>
      </c>
      <c r="M283" s="148" t="s">
        <v>494</v>
      </c>
      <c r="N283" s="148" t="s">
        <v>494</v>
      </c>
      <c r="O283" s="147" t="s">
        <v>494</v>
      </c>
    </row>
    <row r="284" spans="1:15" ht="17.25" customHeight="1">
      <c r="A284" s="143" t="s">
        <v>494</v>
      </c>
      <c r="B284" s="144" t="s">
        <v>494</v>
      </c>
      <c r="C284" s="231" t="s">
        <v>1191</v>
      </c>
      <c r="D284" s="146">
        <v>1846873018885</v>
      </c>
      <c r="E284" s="146">
        <v>2007116032332</v>
      </c>
      <c r="F284" s="146">
        <v>2981877883370</v>
      </c>
      <c r="G284" s="146">
        <v>5731043641166</v>
      </c>
      <c r="H284" s="146">
        <v>6859408475163</v>
      </c>
      <c r="I284" s="146">
        <v>7296356344093</v>
      </c>
      <c r="J284" s="146">
        <v>9506685186929</v>
      </c>
      <c r="K284" s="147" t="s">
        <v>494</v>
      </c>
      <c r="L284" s="148" t="s">
        <v>494</v>
      </c>
      <c r="M284" s="148" t="s">
        <v>494</v>
      </c>
      <c r="N284" s="148" t="s">
        <v>494</v>
      </c>
      <c r="O284" s="147" t="s">
        <v>494</v>
      </c>
    </row>
    <row r="285" spans="1:15" ht="17.25" customHeight="1">
      <c r="A285" s="143" t="s">
        <v>494</v>
      </c>
      <c r="B285" s="144" t="s">
        <v>494</v>
      </c>
      <c r="C285" s="238" t="s">
        <v>1200</v>
      </c>
      <c r="D285" s="241">
        <v>0.16</v>
      </c>
      <c r="E285" s="241">
        <v>0.16</v>
      </c>
      <c r="F285" s="241">
        <v>0.08</v>
      </c>
      <c r="G285" s="241">
        <v>0.06</v>
      </c>
      <c r="H285" s="241">
        <v>0.1</v>
      </c>
      <c r="I285" s="241">
        <v>0.12</v>
      </c>
      <c r="J285" s="241">
        <v>0.38</v>
      </c>
      <c r="K285" s="147" t="s">
        <v>494</v>
      </c>
      <c r="L285" s="148" t="s">
        <v>494</v>
      </c>
      <c r="M285" s="148" t="s">
        <v>494</v>
      </c>
      <c r="N285" s="148" t="s">
        <v>494</v>
      </c>
      <c r="O285" s="147" t="s">
        <v>494</v>
      </c>
    </row>
    <row r="286" spans="1:15" ht="17.25" customHeight="1">
      <c r="A286" s="143" t="s">
        <v>494</v>
      </c>
      <c r="B286" s="144" t="s">
        <v>494</v>
      </c>
      <c r="C286" s="238" t="s">
        <v>494</v>
      </c>
      <c r="D286" s="241" t="s">
        <v>494</v>
      </c>
      <c r="E286" s="241" t="s">
        <v>494</v>
      </c>
      <c r="F286" s="241" t="s">
        <v>494</v>
      </c>
      <c r="G286" s="241" t="s">
        <v>494</v>
      </c>
      <c r="H286" s="241" t="s">
        <v>494</v>
      </c>
      <c r="I286" s="241" t="s">
        <v>494</v>
      </c>
      <c r="J286" s="241" t="s">
        <v>494</v>
      </c>
      <c r="K286" s="147" t="s">
        <v>494</v>
      </c>
      <c r="L286" s="148" t="s">
        <v>494</v>
      </c>
      <c r="M286" s="148" t="s">
        <v>494</v>
      </c>
      <c r="N286" s="148" t="s">
        <v>494</v>
      </c>
      <c r="O286" s="147" t="s">
        <v>494</v>
      </c>
    </row>
    <row r="287" spans="1:15" ht="17.25" customHeight="1">
      <c r="A287" s="143" t="s">
        <v>494</v>
      </c>
      <c r="B287" s="144" t="s">
        <v>494</v>
      </c>
      <c r="C287" s="145" t="s">
        <v>494</v>
      </c>
      <c r="D287" s="146" t="s">
        <v>494</v>
      </c>
      <c r="E287" s="146" t="s">
        <v>494</v>
      </c>
      <c r="F287" s="146" t="s">
        <v>494</v>
      </c>
      <c r="G287" s="146" t="s">
        <v>494</v>
      </c>
      <c r="H287" s="146" t="s">
        <v>494</v>
      </c>
      <c r="I287" s="146" t="s">
        <v>494</v>
      </c>
      <c r="J287" s="146" t="s">
        <v>494</v>
      </c>
      <c r="K287" s="147" t="s">
        <v>494</v>
      </c>
      <c r="L287" s="148" t="s">
        <v>494</v>
      </c>
      <c r="M287" s="148" t="s">
        <v>494</v>
      </c>
      <c r="N287" s="148" t="s">
        <v>494</v>
      </c>
      <c r="O287" s="147" t="s">
        <v>494</v>
      </c>
    </row>
    <row r="288" spans="1:15" ht="17.25" customHeight="1">
      <c r="A288" s="143" t="s">
        <v>494</v>
      </c>
      <c r="B288" s="144" t="s">
        <v>494</v>
      </c>
      <c r="C288" s="145" t="s">
        <v>1201</v>
      </c>
      <c r="D288" s="146" t="s">
        <v>890</v>
      </c>
      <c r="E288" s="146">
        <v>38639709471</v>
      </c>
      <c r="F288" s="146">
        <v>551330473347</v>
      </c>
      <c r="G288" s="146">
        <v>2552314691184</v>
      </c>
      <c r="H288" s="146">
        <v>3318260028291</v>
      </c>
      <c r="I288" s="146">
        <v>3660463698499</v>
      </c>
      <c r="J288" s="146">
        <v>3747199584257</v>
      </c>
      <c r="K288" s="147" t="s">
        <v>494</v>
      </c>
      <c r="L288" s="148" t="s">
        <v>494</v>
      </c>
      <c r="M288" s="148" t="s">
        <v>494</v>
      </c>
      <c r="N288" s="148" t="s">
        <v>494</v>
      </c>
      <c r="O288" s="147" t="s">
        <v>494</v>
      </c>
    </row>
    <row r="289" spans="1:15" ht="17.25" customHeight="1">
      <c r="A289" s="242" t="s">
        <v>494</v>
      </c>
      <c r="B289" s="242" t="s">
        <v>494</v>
      </c>
      <c r="C289" s="145" t="s">
        <v>1077</v>
      </c>
      <c r="D289" s="232">
        <v>1497639148192</v>
      </c>
      <c r="E289" s="232">
        <v>1527657308469</v>
      </c>
      <c r="F289" s="232">
        <v>2054914396267</v>
      </c>
      <c r="G289" s="232">
        <v>2337653922779</v>
      </c>
      <c r="H289" s="232">
        <v>2141246324621</v>
      </c>
      <c r="I289" s="232">
        <v>1864453673201</v>
      </c>
      <c r="J289" s="232">
        <v>4433648596320</v>
      </c>
      <c r="K289" s="147" t="s">
        <v>494</v>
      </c>
      <c r="L289" s="148" t="s">
        <v>494</v>
      </c>
      <c r="M289" s="148" t="s">
        <v>494</v>
      </c>
      <c r="N289" s="148" t="s">
        <v>494</v>
      </c>
      <c r="O289" s="147" t="s">
        <v>494</v>
      </c>
    </row>
    <row r="290" spans="1:15" ht="17.25" customHeight="1">
      <c r="A290" s="143" t="s">
        <v>494</v>
      </c>
      <c r="B290" s="144" t="s">
        <v>494</v>
      </c>
      <c r="C290" s="154" t="s">
        <v>1202</v>
      </c>
      <c r="D290" s="155">
        <v>1497639148192</v>
      </c>
      <c r="E290" s="155">
        <v>1566297017940</v>
      </c>
      <c r="F290" s="155">
        <v>2606244869614</v>
      </c>
      <c r="G290" s="155">
        <v>4889968613963</v>
      </c>
      <c r="H290" s="155">
        <v>5459506352912</v>
      </c>
      <c r="I290" s="155">
        <v>5524917371700</v>
      </c>
      <c r="J290" s="155">
        <v>8180848180577</v>
      </c>
      <c r="K290" s="147" t="s">
        <v>494</v>
      </c>
      <c r="L290" s="148" t="s">
        <v>494</v>
      </c>
      <c r="M290" s="148" t="s">
        <v>494</v>
      </c>
      <c r="N290" s="148" t="s">
        <v>494</v>
      </c>
      <c r="O290" s="147" t="s">
        <v>494</v>
      </c>
    </row>
    <row r="291" spans="1:15" ht="17.25" customHeight="1">
      <c r="A291" s="143" t="s">
        <v>494</v>
      </c>
      <c r="B291" s="144" t="s">
        <v>494</v>
      </c>
      <c r="C291" s="154" t="s">
        <v>1203</v>
      </c>
      <c r="D291" s="241" t="s">
        <v>890</v>
      </c>
      <c r="E291" s="241">
        <v>2.4700000000000002</v>
      </c>
      <c r="F291" s="241">
        <v>21.15</v>
      </c>
      <c r="G291" s="241">
        <v>52.19</v>
      </c>
      <c r="H291" s="241">
        <v>60.78</v>
      </c>
      <c r="I291" s="241">
        <v>66.25</v>
      </c>
      <c r="J291" s="241">
        <v>45.8</v>
      </c>
      <c r="K291" s="147" t="s">
        <v>494</v>
      </c>
      <c r="L291" s="148" t="s">
        <v>494</v>
      </c>
      <c r="M291" s="148" t="s">
        <v>494</v>
      </c>
      <c r="N291" s="148" t="s">
        <v>494</v>
      </c>
      <c r="O291" s="147" t="s">
        <v>494</v>
      </c>
    </row>
    <row r="292" spans="1:15" ht="17.25" customHeight="1">
      <c r="A292" s="143" t="s">
        <v>494</v>
      </c>
      <c r="B292" s="144" t="s">
        <v>494</v>
      </c>
      <c r="C292" s="145" t="s">
        <v>494</v>
      </c>
      <c r="D292" s="146" t="s">
        <v>494</v>
      </c>
      <c r="E292" s="146" t="s">
        <v>494</v>
      </c>
      <c r="F292" s="146" t="s">
        <v>494</v>
      </c>
      <c r="G292" s="146" t="s">
        <v>494</v>
      </c>
      <c r="H292" s="146" t="s">
        <v>494</v>
      </c>
      <c r="I292" s="146" t="s">
        <v>494</v>
      </c>
      <c r="J292" s="146" t="s">
        <v>494</v>
      </c>
      <c r="K292" s="193" t="s">
        <v>494</v>
      </c>
      <c r="L292" s="243" t="s">
        <v>494</v>
      </c>
      <c r="M292" s="243" t="s">
        <v>494</v>
      </c>
      <c r="N292" s="243" t="s">
        <v>494</v>
      </c>
      <c r="O292" s="193" t="s">
        <v>494</v>
      </c>
    </row>
    <row r="293" spans="1:15" ht="17.25" customHeight="1">
      <c r="A293" s="143" t="s">
        <v>494</v>
      </c>
      <c r="B293" s="144" t="s">
        <v>494</v>
      </c>
      <c r="C293" s="145" t="s">
        <v>494</v>
      </c>
      <c r="D293" s="146" t="s">
        <v>494</v>
      </c>
      <c r="E293" s="146" t="s">
        <v>494</v>
      </c>
      <c r="F293" s="146" t="s">
        <v>494</v>
      </c>
      <c r="G293" s="146" t="s">
        <v>494</v>
      </c>
      <c r="H293" s="146" t="s">
        <v>494</v>
      </c>
      <c r="I293" s="146" t="s">
        <v>494</v>
      </c>
      <c r="J293" s="146" t="s">
        <v>494</v>
      </c>
      <c r="K293" s="193" t="s">
        <v>494</v>
      </c>
      <c r="L293" s="243" t="s">
        <v>494</v>
      </c>
      <c r="M293" s="243" t="s">
        <v>494</v>
      </c>
      <c r="N293" s="243" t="s">
        <v>494</v>
      </c>
      <c r="O293" s="193" t="s">
        <v>494</v>
      </c>
    </row>
    <row r="294" spans="1:15" ht="17.25" customHeight="1">
      <c r="A294" s="143" t="s">
        <v>494</v>
      </c>
      <c r="B294" s="144" t="s">
        <v>494</v>
      </c>
      <c r="C294" s="145" t="s">
        <v>494</v>
      </c>
      <c r="D294" s="146" t="s">
        <v>494</v>
      </c>
      <c r="E294" s="146" t="s">
        <v>494</v>
      </c>
      <c r="F294" s="146" t="s">
        <v>494</v>
      </c>
      <c r="G294" s="146" t="s">
        <v>494</v>
      </c>
      <c r="H294" s="146" t="s">
        <v>494</v>
      </c>
      <c r="I294" s="146" t="s">
        <v>494</v>
      </c>
      <c r="J294" s="146" t="s">
        <v>494</v>
      </c>
      <c r="K294" s="193" t="s">
        <v>494</v>
      </c>
      <c r="L294" s="243" t="s">
        <v>494</v>
      </c>
      <c r="M294" s="243" t="s">
        <v>494</v>
      </c>
      <c r="N294" s="243" t="s">
        <v>494</v>
      </c>
      <c r="O294" s="193" t="s">
        <v>494</v>
      </c>
    </row>
    <row r="295" spans="1:15" ht="17.25" customHeight="1">
      <c r="A295" s="143" t="s">
        <v>494</v>
      </c>
      <c r="B295" s="144" t="s">
        <v>494</v>
      </c>
      <c r="C295" s="145" t="s">
        <v>494</v>
      </c>
      <c r="D295" s="146" t="s">
        <v>494</v>
      </c>
      <c r="E295" s="146" t="s">
        <v>494</v>
      </c>
      <c r="F295" s="146" t="s">
        <v>494</v>
      </c>
      <c r="G295" s="146" t="s">
        <v>494</v>
      </c>
      <c r="H295" s="146" t="s">
        <v>494</v>
      </c>
      <c r="I295" s="146" t="s">
        <v>494</v>
      </c>
      <c r="J295" s="146" t="s">
        <v>494</v>
      </c>
      <c r="K295" s="193" t="s">
        <v>494</v>
      </c>
      <c r="L295" s="243" t="s">
        <v>494</v>
      </c>
      <c r="M295" s="243" t="s">
        <v>494</v>
      </c>
      <c r="N295" s="243" t="s">
        <v>494</v>
      </c>
      <c r="O295" s="193" t="s">
        <v>494</v>
      </c>
    </row>
    <row r="296" spans="1:15" ht="17.25" customHeight="1">
      <c r="A296" s="143" t="s">
        <v>494</v>
      </c>
      <c r="B296" s="144" t="s">
        <v>494</v>
      </c>
      <c r="C296" s="145" t="s">
        <v>494</v>
      </c>
      <c r="D296" s="146" t="s">
        <v>494</v>
      </c>
      <c r="E296" s="146" t="s">
        <v>494</v>
      </c>
      <c r="F296" s="146" t="s">
        <v>494</v>
      </c>
      <c r="G296" s="146" t="s">
        <v>494</v>
      </c>
      <c r="H296" s="146" t="s">
        <v>494</v>
      </c>
      <c r="I296" s="146" t="s">
        <v>494</v>
      </c>
      <c r="J296" s="146" t="s">
        <v>494</v>
      </c>
      <c r="K296" s="193" t="s">
        <v>494</v>
      </c>
      <c r="L296" s="243" t="s">
        <v>494</v>
      </c>
      <c r="M296" s="243" t="s">
        <v>494</v>
      </c>
      <c r="N296" s="243" t="s">
        <v>494</v>
      </c>
      <c r="O296" s="193" t="s">
        <v>494</v>
      </c>
    </row>
    <row r="297" spans="1:15" ht="17.25" customHeight="1">
      <c r="A297" s="143" t="s">
        <v>494</v>
      </c>
      <c r="B297" s="144" t="s">
        <v>494</v>
      </c>
      <c r="C297" s="145" t="s">
        <v>494</v>
      </c>
      <c r="D297" s="146" t="s">
        <v>494</v>
      </c>
      <c r="E297" s="146" t="s">
        <v>494</v>
      </c>
      <c r="F297" s="146" t="s">
        <v>494</v>
      </c>
      <c r="G297" s="146" t="s">
        <v>494</v>
      </c>
      <c r="H297" s="146" t="s">
        <v>494</v>
      </c>
      <c r="I297" s="146" t="s">
        <v>494</v>
      </c>
      <c r="J297" s="146" t="s">
        <v>494</v>
      </c>
      <c r="K297" s="193" t="s">
        <v>494</v>
      </c>
      <c r="L297" s="243" t="s">
        <v>494</v>
      </c>
      <c r="M297" s="243" t="s">
        <v>494</v>
      </c>
      <c r="N297" s="243" t="s">
        <v>494</v>
      </c>
      <c r="O297" s="193" t="s">
        <v>494</v>
      </c>
    </row>
    <row r="298" spans="1:15" ht="17.25" customHeight="1">
      <c r="A298" s="143" t="s">
        <v>494</v>
      </c>
      <c r="B298" s="144" t="s">
        <v>494</v>
      </c>
      <c r="C298" s="145" t="s">
        <v>494</v>
      </c>
      <c r="D298" s="146" t="s">
        <v>494</v>
      </c>
      <c r="E298" s="146" t="s">
        <v>494</v>
      </c>
      <c r="F298" s="146" t="s">
        <v>494</v>
      </c>
      <c r="G298" s="146" t="s">
        <v>494</v>
      </c>
      <c r="H298" s="146" t="s">
        <v>494</v>
      </c>
      <c r="I298" s="146" t="s">
        <v>494</v>
      </c>
      <c r="J298" s="146" t="s">
        <v>494</v>
      </c>
      <c r="K298" s="193" t="s">
        <v>494</v>
      </c>
      <c r="L298" s="243" t="s">
        <v>494</v>
      </c>
      <c r="M298" s="243" t="s">
        <v>494</v>
      </c>
      <c r="N298" s="243" t="s">
        <v>494</v>
      </c>
      <c r="O298" s="193" t="s">
        <v>494</v>
      </c>
    </row>
    <row r="299" spans="1:15" ht="17.25" customHeight="1">
      <c r="A299" s="143" t="s">
        <v>494</v>
      </c>
      <c r="B299" s="144" t="s">
        <v>494</v>
      </c>
      <c r="C299" s="145" t="s">
        <v>494</v>
      </c>
      <c r="D299" s="146" t="s">
        <v>494</v>
      </c>
      <c r="E299" s="146" t="s">
        <v>494</v>
      </c>
      <c r="F299" s="146" t="s">
        <v>494</v>
      </c>
      <c r="G299" s="146" t="s">
        <v>494</v>
      </c>
      <c r="H299" s="146" t="s">
        <v>494</v>
      </c>
      <c r="I299" s="146" t="s">
        <v>494</v>
      </c>
      <c r="J299" s="146" t="s">
        <v>494</v>
      </c>
      <c r="K299" s="193" t="s">
        <v>494</v>
      </c>
      <c r="L299" s="243" t="s">
        <v>494</v>
      </c>
      <c r="M299" s="243" t="s">
        <v>494</v>
      </c>
      <c r="N299" s="243" t="s">
        <v>494</v>
      </c>
      <c r="O299" s="193" t="s">
        <v>494</v>
      </c>
    </row>
    <row r="300" spans="1:15" ht="17.25" customHeight="1">
      <c r="A300" s="143" t="s">
        <v>494</v>
      </c>
      <c r="B300" s="144" t="s">
        <v>494</v>
      </c>
      <c r="C300" s="145" t="s">
        <v>494</v>
      </c>
      <c r="D300" s="146" t="s">
        <v>494</v>
      </c>
      <c r="E300" s="146" t="s">
        <v>494</v>
      </c>
      <c r="F300" s="146" t="s">
        <v>494</v>
      </c>
      <c r="G300" s="146" t="s">
        <v>494</v>
      </c>
      <c r="H300" s="146" t="s">
        <v>494</v>
      </c>
      <c r="I300" s="146" t="s">
        <v>494</v>
      </c>
      <c r="J300" s="146" t="s">
        <v>494</v>
      </c>
      <c r="K300" s="147" t="s">
        <v>494</v>
      </c>
      <c r="L300" s="148" t="s">
        <v>494</v>
      </c>
      <c r="M300" s="148" t="s">
        <v>494</v>
      </c>
      <c r="N300" s="148" t="s">
        <v>494</v>
      </c>
      <c r="O300" s="147" t="s">
        <v>494</v>
      </c>
    </row>
    <row r="301" spans="1:15" ht="17.25" customHeight="1">
      <c r="A301" s="143" t="s">
        <v>494</v>
      </c>
      <c r="B301" s="144" t="s">
        <v>494</v>
      </c>
      <c r="C301" s="145" t="s">
        <v>494</v>
      </c>
      <c r="D301" s="146" t="s">
        <v>494</v>
      </c>
      <c r="E301" s="146" t="s">
        <v>494</v>
      </c>
      <c r="F301" s="146" t="s">
        <v>494</v>
      </c>
      <c r="G301" s="146" t="s">
        <v>494</v>
      </c>
      <c r="H301" s="146" t="s">
        <v>494</v>
      </c>
      <c r="I301" s="146" t="s">
        <v>494</v>
      </c>
      <c r="J301" s="146" t="s">
        <v>494</v>
      </c>
      <c r="K301" s="147" t="s">
        <v>494</v>
      </c>
      <c r="L301" s="148" t="s">
        <v>494</v>
      </c>
      <c r="M301" s="148" t="s">
        <v>494</v>
      </c>
      <c r="N301" s="148" t="s">
        <v>494</v>
      </c>
      <c r="O301" s="147" t="s">
        <v>494</v>
      </c>
    </row>
  </sheetData>
  <mergeCells count="2">
    <mergeCell ref="B6:B7"/>
    <mergeCell ref="C6:C7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873F-2CB8-11F8-EF28-C5CFF221203E}">
  <dimension ref="A2:GR96"/>
  <sheetViews>
    <sheetView showGridLines="0" zoomScale="115" workbookViewId="0">
      <selection activeCell="D20" sqref="D20"/>
    </sheetView>
  </sheetViews>
  <sheetFormatPr defaultColWidth="7.796875" defaultRowHeight="15" customHeight="1"/>
  <cols>
    <col min="1" max="1" width="7.796875" style="270" customWidth="1"/>
    <col min="2" max="2" width="28.8984375" style="270" customWidth="1"/>
    <col min="3" max="3" width="17.19921875" style="270" bestFit="1" customWidth="1"/>
    <col min="4" max="6" width="25" style="270" customWidth="1"/>
    <col min="7" max="7" width="31.296875" style="270" customWidth="1"/>
    <col min="8" max="8" width="43.796875" style="270" customWidth="1"/>
    <col min="9" max="9" width="15" style="270" customWidth="1"/>
    <col min="10" max="11" width="18.796875" style="270" customWidth="1"/>
    <col min="12" max="12" width="15" style="270" customWidth="1"/>
    <col min="13" max="200" width="7.796875" style="270" customWidth="1"/>
  </cols>
  <sheetData>
    <row r="2" spans="2:12" ht="21.75" customHeight="1">
      <c r="B2" s="294" t="s">
        <v>1262</v>
      </c>
      <c r="C2" s="245"/>
      <c r="D2" s="245"/>
      <c r="E2" s="245"/>
      <c r="F2" s="245"/>
      <c r="G2" s="245"/>
      <c r="H2" s="245"/>
      <c r="I2" s="245"/>
      <c r="J2" s="245"/>
      <c r="K2" s="245"/>
      <c r="L2" s="245"/>
    </row>
    <row r="4" spans="2:12" ht="16.5" customHeight="1">
      <c r="B4" s="344" t="s">
        <v>1204</v>
      </c>
      <c r="C4" s="343"/>
      <c r="D4" s="343"/>
      <c r="E4" s="343"/>
    </row>
    <row r="6" spans="2:12" ht="14.25" customHeight="1">
      <c r="B6" s="247" t="s">
        <v>1205</v>
      </c>
      <c r="D6" s="248" cm="1">
        <f t="array" ref="D6">Inputs!C7</f>
        <v>4.0599999999999997E-2</v>
      </c>
      <c r="E6" s="247" t="s">
        <v>1206</v>
      </c>
    </row>
    <row r="7" spans="2:12" ht="14.25" customHeight="1">
      <c r="B7" s="247" t="s">
        <v>1207</v>
      </c>
      <c r="D7" s="248" cm="1">
        <f t="array" ref="D7">Inputs!C8</f>
        <v>0.9</v>
      </c>
      <c r="E7" s="247" t="s">
        <v>1208</v>
      </c>
    </row>
    <row r="8" spans="2:12" ht="14.25" customHeight="1">
      <c r="B8" s="247" t="s">
        <v>1209</v>
      </c>
      <c r="D8" s="248" cm="1">
        <f t="array" ref="D8">Inputs!C7</f>
        <v>4.0599999999999997E-2</v>
      </c>
      <c r="E8" s="247"/>
    </row>
    <row r="9" spans="2:12" ht="14.25" customHeight="1">
      <c r="B9" s="247" t="s">
        <v>1210</v>
      </c>
      <c r="D9" s="249">
        <v>2024</v>
      </c>
    </row>
    <row r="11" spans="2:12" ht="16.5" customHeight="1">
      <c r="B11" s="342" t="s">
        <v>1211</v>
      </c>
      <c r="C11" s="343"/>
      <c r="D11" s="343"/>
      <c r="E11" s="343"/>
    </row>
    <row r="13" spans="2:12" ht="14.25" customHeight="1">
      <c r="B13" s="250" t="s">
        <v>1212</v>
      </c>
      <c r="C13" s="250" t="s">
        <v>1213</v>
      </c>
      <c r="D13" s="250" t="s">
        <v>120</v>
      </c>
      <c r="E13" s="250" t="s">
        <v>1214</v>
      </c>
    </row>
    <row r="14" spans="2:12" ht="14.25" customHeight="1">
      <c r="B14" s="251" t="s">
        <v>1215</v>
      </c>
      <c r="C14" s="252" cm="1">
        <f t="array" ref="C14">'Asset Data Pullman'!G235</f>
        <v>768913758683</v>
      </c>
      <c r="D14" s="253" cm="1">
        <f t="array" ref="D14">SUMPRODUCT('Asset Data Pullman'!G3:G234,'Asset Data Pullman'!H3:H234/12)/SUM('Asset Data Pullman'!G3:G234)</f>
        <v>30.900719114426234</v>
      </c>
      <c r="E14" s="251">
        <v>2021</v>
      </c>
    </row>
    <row r="17" spans="2:8" ht="16.5" customHeight="1">
      <c r="B17" s="342" t="s">
        <v>1216</v>
      </c>
      <c r="C17" s="343"/>
      <c r="D17" s="343"/>
      <c r="E17" s="343"/>
    </row>
    <row r="19" spans="2:8" ht="14.25" customHeight="1">
      <c r="B19" s="247" t="s">
        <v>1217</v>
      </c>
      <c r="D19" s="254">
        <f>COUNT('Maintenance History'!D4:D37)</f>
        <v>34</v>
      </c>
    </row>
    <row r="20" spans="2:8" ht="14.25" customHeight="1">
      <c r="B20" s="247" t="s">
        <v>1218</v>
      </c>
      <c r="D20" s="299">
        <f>Inputs!C27</f>
        <v>43288823.970588237</v>
      </c>
    </row>
    <row r="21" spans="2:8" ht="14.25" customHeight="1">
      <c r="B21" s="247" t="s">
        <v>1219</v>
      </c>
      <c r="D21" s="299">
        <f>_xlfn.STDEV.S('Maintenance History'!D4:D37)</f>
        <v>59501277.300785162</v>
      </c>
    </row>
    <row r="22" spans="2:8" ht="14.25" customHeight="1">
      <c r="B22" s="247" t="s">
        <v>1220</v>
      </c>
      <c r="D22" s="255">
        <f>D21/D20</f>
        <v>1.3745182207123983</v>
      </c>
    </row>
    <row r="23" spans="2:8" ht="14.25" customHeight="1">
      <c r="B23" s="247" t="s">
        <v>1221</v>
      </c>
      <c r="D23" s="299">
        <f>D20+D21</f>
        <v>102790101.27137339</v>
      </c>
    </row>
    <row r="24" spans="2:8" ht="14.25" customHeight="1">
      <c r="B24" s="247" t="s">
        <v>1222</v>
      </c>
      <c r="D24" s="299">
        <f>D20-D21</f>
        <v>-16212453.330196925</v>
      </c>
    </row>
    <row r="26" spans="2:8" ht="16.5" customHeight="1">
      <c r="B26" s="342" t="s">
        <v>1223</v>
      </c>
      <c r="C26" s="343"/>
      <c r="D26" s="343"/>
      <c r="E26" s="343"/>
      <c r="F26" s="343"/>
    </row>
    <row r="28" spans="2:8" ht="16.5" customHeight="1">
      <c r="B28" s="256" t="s">
        <v>64</v>
      </c>
      <c r="C28" s="256" t="s">
        <v>1224</v>
      </c>
      <c r="D28" s="256" t="s">
        <v>1225</v>
      </c>
      <c r="E28" s="256" t="s">
        <v>1226</v>
      </c>
      <c r="F28" s="256" t="s">
        <v>1227</v>
      </c>
      <c r="H28" s="257" t="s">
        <v>1228</v>
      </c>
    </row>
    <row r="29" spans="2:8" ht="16.5" customHeight="1">
      <c r="B29" s="258" cm="1">
        <f t="array" ref="B29">D9</f>
        <v>2024</v>
      </c>
      <c r="C29" s="259">
        <v>1</v>
      </c>
      <c r="D29" s="300">
        <f>C14*(D8*(1+D8)^D14)/((1+D8)^D14-1)</f>
        <v>44115489076.697769</v>
      </c>
      <c r="E29" s="300">
        <f>D20*(1+D6)^(C29-1)*(1+(C29-1)*0.5/D14)</f>
        <v>43288823.970588237</v>
      </c>
      <c r="F29" s="300">
        <f t="shared" ref="F29:F88" si="0">D29+E29</f>
        <v>44158777900.668358</v>
      </c>
      <c r="G29" s="260" t="s">
        <v>1229</v>
      </c>
      <c r="H29" s="257" t="s">
        <v>1230</v>
      </c>
    </row>
    <row r="30" spans="2:8" ht="16.5" customHeight="1">
      <c r="B30" s="261">
        <f t="shared" ref="B30:C88" si="1">B29+1</f>
        <v>2025</v>
      </c>
      <c r="C30" s="262">
        <f t="shared" si="1"/>
        <v>2</v>
      </c>
      <c r="D30" s="300">
        <f>D29*(1+D6)</f>
        <v>45906577933.2117</v>
      </c>
      <c r="E30" s="300">
        <f>D20*(1+D6)^(C30-1)*(1+(C30-1)*0.5/D14)</f>
        <v>45775238.604303747</v>
      </c>
      <c r="F30" s="300">
        <f t="shared" si="0"/>
        <v>45952353171.816002</v>
      </c>
      <c r="H30" s="257" t="s">
        <v>1231</v>
      </c>
    </row>
    <row r="31" spans="2:8" ht="16.5" customHeight="1">
      <c r="B31" s="261">
        <f t="shared" si="1"/>
        <v>2026</v>
      </c>
      <c r="C31" s="262">
        <f t="shared" si="1"/>
        <v>3</v>
      </c>
      <c r="D31" s="300">
        <f t="shared" ref="D31:D88" si="2">D30*(1+$D$6)</f>
        <v>47770384997.300095</v>
      </c>
      <c r="E31" s="300">
        <f t="shared" ref="E31:E88" si="3">$D$20*(1+$D$6)^(C31-1)*(1+(C31-1)*0.5/$D$14)</f>
        <v>48392194.540396787</v>
      </c>
      <c r="F31" s="300">
        <f t="shared" si="0"/>
        <v>47818777191.840492</v>
      </c>
      <c r="H31" s="263" t="s">
        <v>1232</v>
      </c>
    </row>
    <row r="32" spans="2:8" ht="16.5" customHeight="1">
      <c r="B32" s="261">
        <f t="shared" si="1"/>
        <v>2027</v>
      </c>
      <c r="C32" s="262">
        <f t="shared" si="1"/>
        <v>4</v>
      </c>
      <c r="D32" s="300">
        <f t="shared" si="2"/>
        <v>49709862628.190475</v>
      </c>
      <c r="E32" s="300">
        <f t="shared" si="3"/>
        <v>51146193.226194814</v>
      </c>
      <c r="F32" s="300">
        <f t="shared" si="0"/>
        <v>49761008821.416672</v>
      </c>
      <c r="H32" s="263" t="s">
        <v>1233</v>
      </c>
    </row>
    <row r="33" spans="2:12" ht="16.5" customHeight="1">
      <c r="B33" s="261">
        <f t="shared" si="1"/>
        <v>2028</v>
      </c>
      <c r="C33" s="262">
        <f t="shared" si="1"/>
        <v>5</v>
      </c>
      <c r="D33" s="300">
        <f t="shared" si="2"/>
        <v>51728083050.895004</v>
      </c>
      <c r="E33" s="300">
        <f t="shared" si="3"/>
        <v>54044048.847487018</v>
      </c>
      <c r="F33" s="300">
        <f t="shared" si="0"/>
        <v>51782127099.742493</v>
      </c>
    </row>
    <row r="34" spans="2:12" ht="16.5" customHeight="1">
      <c r="B34" s="261">
        <f t="shared" si="1"/>
        <v>2029</v>
      </c>
      <c r="C34" s="262">
        <f t="shared" si="1"/>
        <v>6</v>
      </c>
      <c r="D34" s="300">
        <f t="shared" si="2"/>
        <v>53828243222.761337</v>
      </c>
      <c r="E34" s="300">
        <f t="shared" si="3"/>
        <v>57092903.006161809</v>
      </c>
      <c r="F34" s="300">
        <f t="shared" si="0"/>
        <v>53885336125.767502</v>
      </c>
    </row>
    <row r="35" spans="2:12" ht="16.5" customHeight="1">
      <c r="B35" s="261">
        <f t="shared" si="1"/>
        <v>2030</v>
      </c>
      <c r="C35" s="262">
        <f t="shared" si="1"/>
        <v>7</v>
      </c>
      <c r="D35" s="300">
        <f t="shared" si="2"/>
        <v>56013669897.605446</v>
      </c>
      <c r="E35" s="300">
        <f t="shared" si="3"/>
        <v>60300240.074162759</v>
      </c>
      <c r="F35" s="300">
        <f t="shared" si="0"/>
        <v>56073970137.679611</v>
      </c>
      <c r="H35" s="264" t="s">
        <v>1234</v>
      </c>
    </row>
    <row r="36" spans="2:12" ht="16.5" customHeight="1">
      <c r="B36" s="261">
        <f t="shared" si="1"/>
        <v>2031</v>
      </c>
      <c r="C36" s="262">
        <f t="shared" si="1"/>
        <v>8</v>
      </c>
      <c r="D36" s="300">
        <f t="shared" si="2"/>
        <v>58287824895.448227</v>
      </c>
      <c r="E36" s="300">
        <f t="shared" si="3"/>
        <v>63673903.254486151</v>
      </c>
      <c r="F36" s="300">
        <f t="shared" si="0"/>
        <v>58351498798.702713</v>
      </c>
      <c r="H36" s="263" t="s">
        <v>1235</v>
      </c>
      <c r="J36" s="265">
        <f>MIN(F29:F88)</f>
        <v>44158777900.668358</v>
      </c>
    </row>
    <row r="37" spans="2:12" ht="16.5" customHeight="1">
      <c r="B37" s="261">
        <f t="shared" si="1"/>
        <v>2032</v>
      </c>
      <c r="C37" s="262">
        <f t="shared" si="1"/>
        <v>9</v>
      </c>
      <c r="D37" s="300">
        <f t="shared" si="2"/>
        <v>60654310586.203423</v>
      </c>
      <c r="E37" s="300">
        <f t="shared" si="3"/>
        <v>67222111.381323174</v>
      </c>
      <c r="F37" s="300">
        <f t="shared" si="0"/>
        <v>60721532697.584747</v>
      </c>
      <c r="H37" s="263" t="s">
        <v>1236</v>
      </c>
      <c r="J37" s="257" cm="1">
        <f t="array" ref="J37">INDEX(B29:B88,MATCH(MIN(F29:F88),F29:F88,0))</f>
        <v>2024</v>
      </c>
    </row>
    <row r="38" spans="2:12" ht="16.5" customHeight="1">
      <c r="B38" s="261">
        <f t="shared" si="1"/>
        <v>2033</v>
      </c>
      <c r="C38" s="262">
        <f t="shared" si="1"/>
        <v>10</v>
      </c>
      <c r="D38" s="300">
        <f t="shared" si="2"/>
        <v>63116875596.003281</v>
      </c>
      <c r="E38" s="300">
        <f t="shared" si="3"/>
        <v>70953476.49289076</v>
      </c>
      <c r="F38" s="300">
        <f t="shared" si="0"/>
        <v>63187829072.49617</v>
      </c>
      <c r="H38" s="263" t="s">
        <v>1237</v>
      </c>
      <c r="J38" s="257" cm="1">
        <f t="array" ref="J38">INDEX(C29:C88,MATCH(MIN(F29:F88),F29:F88,0))</f>
        <v>1</v>
      </c>
    </row>
    <row r="39" spans="2:12" ht="16.5" customHeight="1">
      <c r="B39" s="261">
        <f t="shared" si="1"/>
        <v>2034</v>
      </c>
      <c r="C39" s="262">
        <f t="shared" si="1"/>
        <v>11</v>
      </c>
      <c r="D39" s="300">
        <f t="shared" si="2"/>
        <v>65679420745.201012</v>
      </c>
      <c r="E39" s="300">
        <f t="shared" si="3"/>
        <v>74877022.212001145</v>
      </c>
      <c r="F39" s="300">
        <f t="shared" si="0"/>
        <v>65754297767.41301</v>
      </c>
      <c r="H39" s="263" t="s">
        <v>1238</v>
      </c>
      <c r="J39" s="257" cm="1">
        <f t="array" ref="J39">J38</f>
        <v>1</v>
      </c>
      <c r="K39" s="263" t="s">
        <v>1239</v>
      </c>
    </row>
    <row r="40" spans="2:12" ht="16.5" customHeight="1">
      <c r="B40" s="261">
        <f t="shared" si="1"/>
        <v>2035</v>
      </c>
      <c r="C40" s="262">
        <f t="shared" si="1"/>
        <v>12</v>
      </c>
      <c r="D40" s="300">
        <f t="shared" si="2"/>
        <v>68346005227.456169</v>
      </c>
      <c r="E40" s="300">
        <f t="shared" si="3"/>
        <v>79002202.970991462</v>
      </c>
      <c r="F40" s="300">
        <f t="shared" si="0"/>
        <v>68425007430.427162</v>
      </c>
    </row>
    <row r="41" spans="2:12" ht="16.5" customHeight="1">
      <c r="B41" s="261">
        <f t="shared" si="1"/>
        <v>2036</v>
      </c>
      <c r="C41" s="262">
        <f t="shared" si="1"/>
        <v>13</v>
      </c>
      <c r="D41" s="300">
        <f t="shared" si="2"/>
        <v>71120853039.690887</v>
      </c>
      <c r="E41" s="300">
        <f t="shared" si="3"/>
        <v>83338924.119278401</v>
      </c>
      <c r="F41" s="300">
        <f t="shared" si="0"/>
        <v>71204191963.810165</v>
      </c>
      <c r="H41" s="246" t="s">
        <v>1240</v>
      </c>
    </row>
    <row r="42" spans="2:12" ht="16.5" customHeight="1">
      <c r="B42" s="261">
        <f t="shared" si="1"/>
        <v>2037</v>
      </c>
      <c r="C42" s="262">
        <f t="shared" si="1"/>
        <v>14</v>
      </c>
      <c r="D42" s="300">
        <f t="shared" si="2"/>
        <v>74008359673.102341</v>
      </c>
      <c r="E42" s="300">
        <f t="shared" si="3"/>
        <v>87897562.953517005</v>
      </c>
      <c r="F42" s="300">
        <f t="shared" si="0"/>
        <v>74096257236.055862</v>
      </c>
    </row>
    <row r="43" spans="2:12" ht="16.5" customHeight="1">
      <c r="B43" s="261">
        <f t="shared" si="1"/>
        <v>2038</v>
      </c>
      <c r="C43" s="262">
        <f t="shared" si="1"/>
        <v>15</v>
      </c>
      <c r="D43" s="300">
        <f t="shared" si="2"/>
        <v>77013099075.830292</v>
      </c>
      <c r="E43" s="300">
        <f t="shared" si="3"/>
        <v>92688990.71213451</v>
      </c>
      <c r="F43" s="300">
        <f t="shared" si="0"/>
        <v>77105788066.542419</v>
      </c>
      <c r="H43" s="266" t="s">
        <v>1212</v>
      </c>
      <c r="I43" s="266" t="s">
        <v>1241</v>
      </c>
      <c r="J43" s="266" t="s">
        <v>1242</v>
      </c>
      <c r="K43" s="266" t="s">
        <v>1243</v>
      </c>
      <c r="L43" s="266" t="s">
        <v>1244</v>
      </c>
    </row>
    <row r="44" spans="2:12" ht="16.5" customHeight="1">
      <c r="B44" s="261">
        <f t="shared" si="1"/>
        <v>2039</v>
      </c>
      <c r="C44" s="262">
        <f t="shared" si="1"/>
        <v>16</v>
      </c>
      <c r="D44" s="300">
        <f t="shared" si="2"/>
        <v>80139830898.309006</v>
      </c>
      <c r="E44" s="300">
        <f t="shared" si="3"/>
        <v>97724595.577881709</v>
      </c>
      <c r="F44" s="300">
        <f t="shared" si="0"/>
        <v>80237555493.886887</v>
      </c>
      <c r="H44" s="267" t="s">
        <v>1215</v>
      </c>
      <c r="I44" s="267" t="str">
        <f>TEXT(D14,"0.0")&amp;" years"</f>
        <v>30.9 years</v>
      </c>
      <c r="J44" s="267" cm="1">
        <f t="array" ref="J44">J38</f>
        <v>1</v>
      </c>
      <c r="K44" s="267" t="str">
        <f>J37&amp;"-"&amp;(J37+J38)</f>
        <v>2024-2025</v>
      </c>
      <c r="L44" s="267" t="s">
        <v>1245</v>
      </c>
    </row>
    <row r="45" spans="2:12" ht="16.5" customHeight="1">
      <c r="B45" s="261">
        <f t="shared" si="1"/>
        <v>2040</v>
      </c>
      <c r="C45" s="262">
        <f t="shared" si="1"/>
        <v>17</v>
      </c>
      <c r="D45" s="300">
        <f t="shared" si="2"/>
        <v>83393508032.78035</v>
      </c>
      <c r="E45" s="300">
        <f t="shared" si="3"/>
        <v>103016306.73399732</v>
      </c>
      <c r="F45" s="300">
        <f t="shared" si="0"/>
        <v>83496524339.514343</v>
      </c>
    </row>
    <row r="46" spans="2:12" ht="16.5" customHeight="1">
      <c r="B46" s="261">
        <f t="shared" si="1"/>
        <v>2041</v>
      </c>
      <c r="C46" s="262">
        <f t="shared" si="1"/>
        <v>18</v>
      </c>
      <c r="D46" s="300">
        <f t="shared" si="2"/>
        <v>86779284458.911224</v>
      </c>
      <c r="E46" s="300">
        <f t="shared" si="3"/>
        <v>108576619.52162276</v>
      </c>
      <c r="F46" s="300">
        <f t="shared" si="0"/>
        <v>86887861078.432846</v>
      </c>
    </row>
    <row r="47" spans="2:12" ht="16.5" customHeight="1">
      <c r="B47" s="261">
        <f t="shared" si="1"/>
        <v>2042</v>
      </c>
      <c r="C47" s="262">
        <f t="shared" si="1"/>
        <v>19</v>
      </c>
      <c r="D47" s="300">
        <f t="shared" si="2"/>
        <v>90302523407.943024</v>
      </c>
      <c r="E47" s="300">
        <f t="shared" si="3"/>
        <v>114418621.7482353</v>
      </c>
      <c r="F47" s="300">
        <f t="shared" si="0"/>
        <v>90416942029.691254</v>
      </c>
      <c r="H47" s="264" t="s">
        <v>1246</v>
      </c>
    </row>
    <row r="48" spans="2:12" ht="16.5" customHeight="1">
      <c r="B48" s="261">
        <f t="shared" si="1"/>
        <v>2043</v>
      </c>
      <c r="C48" s="262">
        <f t="shared" si="1"/>
        <v>20</v>
      </c>
      <c r="D48" s="300">
        <f t="shared" si="2"/>
        <v>93968805858.305511</v>
      </c>
      <c r="E48" s="300">
        <f t="shared" si="3"/>
        <v>120556021.19909418</v>
      </c>
      <c r="F48" s="300">
        <f t="shared" si="0"/>
        <v>94089361879.504608</v>
      </c>
      <c r="H48" s="263" t="s">
        <v>1247</v>
      </c>
      <c r="I48" s="263" t="s">
        <v>1248</v>
      </c>
      <c r="J48" s="263" t="s">
        <v>1249</v>
      </c>
    </row>
    <row r="49" spans="2:10" ht="16.5" customHeight="1">
      <c r="B49" s="261">
        <f t="shared" si="1"/>
        <v>2044</v>
      </c>
      <c r="C49" s="262">
        <f t="shared" si="1"/>
        <v>21</v>
      </c>
      <c r="D49" s="300">
        <f t="shared" si="2"/>
        <v>97783939376.15271</v>
      </c>
      <c r="E49" s="300">
        <f t="shared" si="3"/>
        <v>127003174.40601788</v>
      </c>
      <c r="F49" s="300">
        <f t="shared" si="0"/>
        <v>97910942550.558731</v>
      </c>
      <c r="H49" s="263" t="s">
        <v>1250</v>
      </c>
      <c r="I49" s="263" t="s">
        <v>1251</v>
      </c>
      <c r="J49" s="263" t="s">
        <v>1252</v>
      </c>
    </row>
    <row r="50" spans="2:10" ht="16.5" customHeight="1">
      <c r="B50" s="261">
        <f t="shared" si="1"/>
        <v>2045</v>
      </c>
      <c r="C50" s="262">
        <f t="shared" si="1"/>
        <v>22</v>
      </c>
      <c r="D50" s="300">
        <f t="shared" si="2"/>
        <v>101753967314.82451</v>
      </c>
      <c r="E50" s="300">
        <f t="shared" si="3"/>
        <v>133775116.73024002</v>
      </c>
      <c r="F50" s="300">
        <f t="shared" si="0"/>
        <v>101887742431.55475</v>
      </c>
    </row>
    <row r="51" spans="2:10" ht="16.5" customHeight="1">
      <c r="B51" s="261">
        <f t="shared" si="1"/>
        <v>2046</v>
      </c>
      <c r="C51" s="262">
        <f t="shared" si="1"/>
        <v>23</v>
      </c>
      <c r="D51" s="300">
        <f t="shared" si="2"/>
        <v>105885178387.80638</v>
      </c>
      <c r="E51" s="300">
        <f t="shared" si="3"/>
        <v>140887593.81862506</v>
      </c>
      <c r="F51" s="300">
        <f t="shared" si="0"/>
        <v>106026065981.625</v>
      </c>
      <c r="H51" s="268" t="s">
        <v>1253</v>
      </c>
    </row>
    <row r="52" spans="2:10" ht="16.5" customHeight="1">
      <c r="B52" s="261">
        <f t="shared" si="1"/>
        <v>2047</v>
      </c>
      <c r="C52" s="262">
        <f t="shared" si="1"/>
        <v>24</v>
      </c>
      <c r="D52" s="300">
        <f t="shared" si="2"/>
        <v>110184116630.35132</v>
      </c>
      <c r="E52" s="300">
        <f t="shared" si="3"/>
        <v>148357094.49517354</v>
      </c>
      <c r="F52" s="300">
        <f t="shared" si="0"/>
        <v>110332473724.8465</v>
      </c>
      <c r="H52" s="263" t="s">
        <v>1254</v>
      </c>
    </row>
    <row r="53" spans="2:10" ht="16.5" customHeight="1">
      <c r="B53" s="261">
        <f t="shared" si="1"/>
        <v>2048</v>
      </c>
      <c r="C53" s="262">
        <f t="shared" si="1"/>
        <v>25</v>
      </c>
      <c r="D53" s="300">
        <f t="shared" si="2"/>
        <v>114657591765.54358</v>
      </c>
      <c r="E53" s="300">
        <f t="shared" si="3"/>
        <v>156200885.15251088</v>
      </c>
      <c r="F53" s="300">
        <f t="shared" si="0"/>
        <v>114813792650.69609</v>
      </c>
      <c r="H53" s="263" t="s">
        <v>1263</v>
      </c>
    </row>
    <row r="54" spans="2:10" ht="16.5" customHeight="1">
      <c r="B54" s="261">
        <f t="shared" si="1"/>
        <v>2049</v>
      </c>
      <c r="C54" s="262">
        <f t="shared" si="1"/>
        <v>26</v>
      </c>
      <c r="D54" s="300">
        <f t="shared" si="2"/>
        <v>119312689991.22464</v>
      </c>
      <c r="E54" s="300">
        <f t="shared" si="3"/>
        <v>164437045.71094197</v>
      </c>
      <c r="F54" s="300">
        <f t="shared" si="0"/>
        <v>119477127036.93558</v>
      </c>
      <c r="H54" s="263" t="s">
        <v>1264</v>
      </c>
    </row>
    <row r="55" spans="2:10" ht="16.5" customHeight="1">
      <c r="B55" s="261">
        <f t="shared" si="1"/>
        <v>2050</v>
      </c>
      <c r="C55" s="262">
        <f t="shared" si="1"/>
        <v>27</v>
      </c>
      <c r="D55" s="300">
        <f t="shared" si="2"/>
        <v>124156785204.86836</v>
      </c>
      <c r="E55" s="300">
        <f t="shared" si="3"/>
        <v>173084507.21566767</v>
      </c>
      <c r="F55" s="300">
        <f t="shared" si="0"/>
        <v>124329869712.08403</v>
      </c>
      <c r="H55" s="263" t="s">
        <v>1265</v>
      </c>
    </row>
    <row r="56" spans="2:10" ht="16.5" customHeight="1">
      <c r="B56" s="261">
        <f t="shared" si="1"/>
        <v>2051</v>
      </c>
      <c r="C56" s="262">
        <f t="shared" si="1"/>
        <v>28</v>
      </c>
      <c r="D56" s="300">
        <f t="shared" si="2"/>
        <v>129197550684.18602</v>
      </c>
      <c r="E56" s="300">
        <f t="shared" si="3"/>
        <v>182163091.14590901</v>
      </c>
      <c r="F56" s="300">
        <f t="shared" si="0"/>
        <v>129379713775.33192</v>
      </c>
    </row>
    <row r="57" spans="2:10" ht="16.5" customHeight="1">
      <c r="B57" s="261">
        <f t="shared" si="1"/>
        <v>2052</v>
      </c>
      <c r="C57" s="262">
        <f t="shared" si="1"/>
        <v>29</v>
      </c>
      <c r="D57" s="300">
        <f t="shared" si="2"/>
        <v>134442971241.96397</v>
      </c>
      <c r="E57" s="300">
        <f t="shared" si="3"/>
        <v>191693550.51297188</v>
      </c>
      <c r="F57" s="300">
        <f t="shared" si="0"/>
        <v>134634664792.47694</v>
      </c>
    </row>
    <row r="58" spans="2:10" ht="16.5" customHeight="1">
      <c r="B58" s="261">
        <f t="shared" si="1"/>
        <v>2053</v>
      </c>
      <c r="C58" s="262">
        <f t="shared" si="1"/>
        <v>30</v>
      </c>
      <c r="D58" s="300">
        <f t="shared" si="2"/>
        <v>139901355874.3877</v>
      </c>
      <c r="E58" s="300">
        <f t="shared" si="3"/>
        <v>201697612.82771903</v>
      </c>
      <c r="F58" s="300">
        <f t="shared" si="0"/>
        <v>140103053487.21542</v>
      </c>
    </row>
    <row r="59" spans="2:10" ht="16.5" customHeight="1">
      <c r="B59" s="261">
        <f t="shared" si="1"/>
        <v>2054</v>
      </c>
      <c r="C59" s="262">
        <f t="shared" si="1"/>
        <v>31</v>
      </c>
      <c r="D59" s="300">
        <f t="shared" si="2"/>
        <v>145581350922.88782</v>
      </c>
      <c r="E59" s="300">
        <f t="shared" si="3"/>
        <v>212198025.02150008</v>
      </c>
      <c r="F59" s="300">
        <f t="shared" si="0"/>
        <v>145793548947.90933</v>
      </c>
    </row>
    <row r="60" spans="2:10" ht="16.5" customHeight="1">
      <c r="B60" s="261">
        <f t="shared" si="1"/>
        <v>2055</v>
      </c>
      <c r="C60" s="262">
        <f t="shared" si="1"/>
        <v>32</v>
      </c>
      <c r="D60" s="300">
        <f t="shared" si="2"/>
        <v>151491953770.35706</v>
      </c>
      <c r="E60" s="300">
        <f t="shared" si="3"/>
        <v>223218600.40833539</v>
      </c>
      <c r="F60" s="300">
        <f t="shared" si="0"/>
        <v>151715172370.76538</v>
      </c>
    </row>
    <row r="61" spans="2:10" ht="16.5" customHeight="1">
      <c r="B61" s="261">
        <f t="shared" si="1"/>
        <v>2056</v>
      </c>
      <c r="C61" s="262">
        <f t="shared" si="1"/>
        <v>33</v>
      </c>
      <c r="D61" s="300">
        <f t="shared" si="2"/>
        <v>157642527093.43353</v>
      </c>
      <c r="E61" s="300">
        <f t="shared" si="3"/>
        <v>234784267.78005737</v>
      </c>
      <c r="F61" s="300">
        <f t="shared" si="0"/>
        <v>157877311361.21359</v>
      </c>
    </row>
    <row r="62" spans="2:10" ht="16.5" customHeight="1">
      <c r="B62" s="261">
        <f t="shared" si="1"/>
        <v>2057</v>
      </c>
      <c r="C62" s="262">
        <f t="shared" si="1"/>
        <v>34</v>
      </c>
      <c r="D62" s="300">
        <f t="shared" si="2"/>
        <v>164042813693.42694</v>
      </c>
      <c r="E62" s="300">
        <f t="shared" si="3"/>
        <v>246921122.73019409</v>
      </c>
      <c r="F62" s="300">
        <f t="shared" si="0"/>
        <v>164289734816.15714</v>
      </c>
    </row>
    <row r="63" spans="2:10" ht="16.5" customHeight="1">
      <c r="B63" s="261">
        <f t="shared" si="1"/>
        <v>2058</v>
      </c>
      <c r="C63" s="262">
        <f t="shared" si="1"/>
        <v>35</v>
      </c>
      <c r="D63" s="300">
        <f t="shared" si="2"/>
        <v>170702951929.38007</v>
      </c>
      <c r="E63" s="300">
        <f t="shared" si="3"/>
        <v>259656481.30664393</v>
      </c>
      <c r="F63" s="300">
        <f t="shared" si="0"/>
        <v>170962608410.68671</v>
      </c>
    </row>
    <row r="64" spans="2:10" ht="16.5" customHeight="1">
      <c r="B64" s="261">
        <f t="shared" si="1"/>
        <v>2059</v>
      </c>
      <c r="C64" s="262">
        <f t="shared" si="1"/>
        <v>36</v>
      </c>
      <c r="D64" s="300">
        <f t="shared" si="2"/>
        <v>177633491777.71289</v>
      </c>
      <c r="E64" s="300">
        <f t="shared" si="3"/>
        <v>273018936.09763801</v>
      </c>
      <c r="F64" s="300">
        <f t="shared" si="0"/>
        <v>177906510713.81052</v>
      </c>
    </row>
    <row r="65" spans="2:6" ht="16.5" customHeight="1">
      <c r="B65" s="261">
        <f t="shared" si="1"/>
        <v>2060</v>
      </c>
      <c r="C65" s="262">
        <f t="shared" si="1"/>
        <v>37</v>
      </c>
      <c r="D65" s="300">
        <f t="shared" si="2"/>
        <v>184845411543.88803</v>
      </c>
      <c r="E65" s="300">
        <f t="shared" si="3"/>
        <v>287038414.86013407</v>
      </c>
      <c r="F65" s="300">
        <f t="shared" si="0"/>
        <v>185132449958.74817</v>
      </c>
    </row>
    <row r="66" spans="2:6" ht="16.5" customHeight="1">
      <c r="B66" s="261">
        <f t="shared" si="1"/>
        <v>2061</v>
      </c>
      <c r="C66" s="262">
        <f t="shared" si="1"/>
        <v>38</v>
      </c>
      <c r="D66" s="300">
        <f t="shared" si="2"/>
        <v>192350135252.56989</v>
      </c>
      <c r="E66" s="300">
        <f t="shared" si="3"/>
        <v>301746241.80463904</v>
      </c>
      <c r="F66" s="300">
        <f t="shared" si="0"/>
        <v>192651881494.37451</v>
      </c>
    </row>
    <row r="67" spans="2:6" ht="16.5" customHeight="1">
      <c r="B67" s="261">
        <f t="shared" si="1"/>
        <v>2062</v>
      </c>
      <c r="C67" s="262">
        <f t="shared" si="1"/>
        <v>39</v>
      </c>
      <c r="D67" s="300">
        <f t="shared" si="2"/>
        <v>200159550743.82422</v>
      </c>
      <c r="E67" s="300">
        <f t="shared" si="3"/>
        <v>317175201.65551889</v>
      </c>
      <c r="F67" s="300">
        <f t="shared" si="0"/>
        <v>200476725945.47974</v>
      </c>
    </row>
    <row r="68" spans="2:6" ht="16.5" customHeight="1">
      <c r="B68" s="261">
        <f t="shared" si="1"/>
        <v>2063</v>
      </c>
      <c r="C68" s="262">
        <f t="shared" si="1"/>
        <v>40</v>
      </c>
      <c r="D68" s="300">
        <f t="shared" si="2"/>
        <v>208286028504.02347</v>
      </c>
      <c r="E68" s="300">
        <f t="shared" si="3"/>
        <v>333359606.61114907</v>
      </c>
      <c r="F68" s="300">
        <f t="shared" si="0"/>
        <v>208619388110.63461</v>
      </c>
    </row>
    <row r="69" spans="2:6" ht="16.5" customHeight="1">
      <c r="B69" s="261">
        <f t="shared" si="1"/>
        <v>2064</v>
      </c>
      <c r="C69" s="262">
        <f t="shared" si="1"/>
        <v>41</v>
      </c>
      <c r="D69" s="300">
        <f t="shared" si="2"/>
        <v>216742441261.2868</v>
      </c>
      <c r="E69" s="300">
        <f t="shared" si="3"/>
        <v>350335366.33377564</v>
      </c>
      <c r="F69" s="300">
        <f t="shared" si="0"/>
        <v>217092776627.62057</v>
      </c>
    </row>
    <row r="70" spans="2:6" ht="16.5" customHeight="1">
      <c r="B70" s="261">
        <f t="shared" si="1"/>
        <v>2065</v>
      </c>
      <c r="C70" s="262">
        <f t="shared" si="1"/>
        <v>42</v>
      </c>
      <c r="D70" s="300">
        <f t="shared" si="2"/>
        <v>225542184376.49506</v>
      </c>
      <c r="E70" s="300">
        <f t="shared" si="3"/>
        <v>368140061.1047259</v>
      </c>
      <c r="F70" s="300">
        <f t="shared" si="0"/>
        <v>225910324437.59979</v>
      </c>
    </row>
    <row r="71" spans="2:6" ht="16.5" customHeight="1">
      <c r="B71" s="261">
        <f t="shared" si="1"/>
        <v>2066</v>
      </c>
      <c r="C71" s="262">
        <f t="shared" si="1"/>
        <v>43</v>
      </c>
      <c r="D71" s="300">
        <f t="shared" si="2"/>
        <v>234699197062.18076</v>
      </c>
      <c r="E71" s="300">
        <f t="shared" si="3"/>
        <v>386813018.28662729</v>
      </c>
      <c r="F71" s="300">
        <f t="shared" si="0"/>
        <v>235086010080.46738</v>
      </c>
    </row>
    <row r="72" spans="2:6" ht="16.5" customHeight="1">
      <c r="B72" s="261">
        <f t="shared" si="1"/>
        <v>2067</v>
      </c>
      <c r="C72" s="262">
        <f t="shared" si="1"/>
        <v>44</v>
      </c>
      <c r="D72" s="300">
        <f t="shared" si="2"/>
        <v>244227984462.90527</v>
      </c>
      <c r="E72" s="300">
        <f t="shared" si="3"/>
        <v>406395392.24057657</v>
      </c>
      <c r="F72" s="300">
        <f t="shared" si="0"/>
        <v>244634379855.14584</v>
      </c>
    </row>
    <row r="73" spans="2:6" ht="16.5" customHeight="1">
      <c r="B73" s="261">
        <f t="shared" si="1"/>
        <v>2068</v>
      </c>
      <c r="C73" s="262">
        <f t="shared" si="1"/>
        <v>45</v>
      </c>
      <c r="D73" s="300">
        <f t="shared" si="2"/>
        <v>254143640632.09921</v>
      </c>
      <c r="E73" s="300">
        <f t="shared" si="3"/>
        <v>426930247.85276353</v>
      </c>
      <c r="F73" s="300">
        <f t="shared" si="0"/>
        <v>254570570879.95197</v>
      </c>
    </row>
    <row r="74" spans="2:6" ht="16.5" customHeight="1">
      <c r="B74" s="261">
        <f t="shared" si="1"/>
        <v>2069</v>
      </c>
      <c r="C74" s="262">
        <f t="shared" si="1"/>
        <v>46</v>
      </c>
      <c r="D74" s="300">
        <f t="shared" si="2"/>
        <v>264461872441.76242</v>
      </c>
      <c r="E74" s="300">
        <f t="shared" si="3"/>
        <v>448462647.83190638</v>
      </c>
      <c r="F74" s="300">
        <f t="shared" si="0"/>
        <v>264910335089.59433</v>
      </c>
    </row>
    <row r="75" spans="2:6" ht="16.5" customHeight="1">
      <c r="B75" s="261">
        <f t="shared" si="1"/>
        <v>2070</v>
      </c>
      <c r="C75" s="262">
        <f t="shared" si="1"/>
        <v>47</v>
      </c>
      <c r="D75" s="300">
        <f t="shared" si="2"/>
        <v>275199024462.89795</v>
      </c>
      <c r="E75" s="300">
        <f t="shared" si="3"/>
        <v>471039743.94600511</v>
      </c>
      <c r="F75" s="300">
        <f t="shared" si="0"/>
        <v>275670064206.84393</v>
      </c>
    </row>
    <row r="76" spans="2:6" ht="16.5" customHeight="1">
      <c r="B76" s="261">
        <f t="shared" si="1"/>
        <v>2071</v>
      </c>
      <c r="C76" s="262">
        <f t="shared" si="1"/>
        <v>48</v>
      </c>
      <c r="D76" s="300">
        <f t="shared" si="2"/>
        <v>286372104856.09161</v>
      </c>
      <c r="E76" s="300">
        <f t="shared" si="3"/>
        <v>494710872.37438846</v>
      </c>
      <c r="F76" s="300">
        <f t="shared" si="0"/>
        <v>286866815728.466</v>
      </c>
    </row>
    <row r="77" spans="2:6" ht="16.5" customHeight="1">
      <c r="B77" s="261">
        <f t="shared" si="1"/>
        <v>2072</v>
      </c>
      <c r="C77" s="262">
        <f t="shared" si="1"/>
        <v>49</v>
      </c>
      <c r="D77" s="300">
        <f t="shared" si="2"/>
        <v>297998812313.2489</v>
      </c>
      <c r="E77" s="300">
        <f t="shared" si="3"/>
        <v>519527653.35882568</v>
      </c>
      <c r="F77" s="300">
        <f t="shared" si="0"/>
        <v>298518339966.60773</v>
      </c>
    </row>
    <row r="78" spans="2:6" ht="16.5" customHeight="1">
      <c r="B78" s="261">
        <f t="shared" si="1"/>
        <v>2073</v>
      </c>
      <c r="C78" s="262">
        <f t="shared" si="1"/>
        <v>50</v>
      </c>
      <c r="D78" s="300">
        <f t="shared" si="2"/>
        <v>310097564093.16681</v>
      </c>
      <c r="E78" s="300">
        <f t="shared" si="3"/>
        <v>545544095.34561205</v>
      </c>
      <c r="F78" s="300">
        <f t="shared" si="0"/>
        <v>310643108188.51245</v>
      </c>
    </row>
    <row r="79" spans="2:6" ht="16.5" customHeight="1">
      <c r="B79" s="261">
        <f t="shared" si="1"/>
        <v>2074</v>
      </c>
      <c r="C79" s="262">
        <f t="shared" si="1"/>
        <v>51</v>
      </c>
      <c r="D79" s="300">
        <f t="shared" si="2"/>
        <v>322687525195.34937</v>
      </c>
      <c r="E79" s="300">
        <f t="shared" si="3"/>
        <v>572816703.81903481</v>
      </c>
      <c r="F79" s="300">
        <f t="shared" si="0"/>
        <v>323260341899.1684</v>
      </c>
    </row>
    <row r="80" spans="2:6" ht="16.5" customHeight="1">
      <c r="B80" s="261">
        <f t="shared" si="1"/>
        <v>2075</v>
      </c>
      <c r="C80" s="262">
        <f t="shared" si="1"/>
        <v>52</v>
      </c>
      <c r="D80" s="300">
        <f t="shared" si="2"/>
        <v>335788638718.28052</v>
      </c>
      <c r="E80" s="300">
        <f t="shared" si="3"/>
        <v>601404595.03549612</v>
      </c>
      <c r="F80" s="300">
        <f t="shared" si="0"/>
        <v>336390043313.31604</v>
      </c>
    </row>
    <row r="81" spans="2:6" ht="16.5" customHeight="1">
      <c r="B81" s="261">
        <f t="shared" si="1"/>
        <v>2076</v>
      </c>
      <c r="C81" s="262">
        <f t="shared" si="1"/>
        <v>53</v>
      </c>
      <c r="D81" s="300">
        <f t="shared" si="2"/>
        <v>349421657450.24268</v>
      </c>
      <c r="E81" s="300">
        <f t="shared" si="3"/>
        <v>631369614.87682652</v>
      </c>
      <c r="F81" s="300">
        <f t="shared" si="0"/>
        <v>350053027065.11951</v>
      </c>
    </row>
    <row r="82" spans="2:6" ht="16.5" customHeight="1">
      <c r="B82" s="261">
        <f t="shared" si="1"/>
        <v>2077</v>
      </c>
      <c r="C82" s="262">
        <f t="shared" si="1"/>
        <v>54</v>
      </c>
      <c r="D82" s="300">
        <f t="shared" si="2"/>
        <v>363608176742.72253</v>
      </c>
      <c r="E82" s="300">
        <f t="shared" si="3"/>
        <v>662776463.05100048</v>
      </c>
      <c r="F82" s="300">
        <f t="shared" si="0"/>
        <v>364270953205.77356</v>
      </c>
    </row>
    <row r="83" spans="2:6" ht="16.5" customHeight="1">
      <c r="B83" s="261">
        <f t="shared" si="1"/>
        <v>2078</v>
      </c>
      <c r="C83" s="262">
        <f t="shared" si="1"/>
        <v>55</v>
      </c>
      <c r="D83" s="300">
        <f t="shared" si="2"/>
        <v>378370668718.47705</v>
      </c>
      <c r="E83" s="300">
        <f t="shared" si="3"/>
        <v>695692822.87853885</v>
      </c>
      <c r="F83" s="300">
        <f t="shared" si="0"/>
        <v>379066361541.35559</v>
      </c>
    </row>
    <row r="84" spans="2:6" ht="16.5" customHeight="1">
      <c r="B84" s="261">
        <f t="shared" si="1"/>
        <v>2079</v>
      </c>
      <c r="C84" s="262">
        <f t="shared" si="1"/>
        <v>56</v>
      </c>
      <c r="D84" s="300">
        <f t="shared" si="2"/>
        <v>393732517868.4472</v>
      </c>
      <c r="E84" s="300">
        <f t="shared" si="3"/>
        <v>730189496.91343832</v>
      </c>
      <c r="F84" s="300">
        <f t="shared" si="0"/>
        <v>394462707365.36066</v>
      </c>
    </row>
    <row r="85" spans="2:6" ht="16.5" customHeight="1">
      <c r="B85" s="261">
        <f t="shared" si="1"/>
        <v>2080</v>
      </c>
      <c r="C85" s="262">
        <f t="shared" si="1"/>
        <v>57</v>
      </c>
      <c r="D85" s="300">
        <f t="shared" si="2"/>
        <v>409718058093.90613</v>
      </c>
      <c r="E85" s="300">
        <f t="shared" si="3"/>
        <v>766340548.65845203</v>
      </c>
      <c r="F85" s="300">
        <f t="shared" si="0"/>
        <v>410484398642.56458</v>
      </c>
    </row>
    <row r="86" spans="2:6" ht="16.5" customHeight="1">
      <c r="B86" s="261">
        <f t="shared" si="1"/>
        <v>2081</v>
      </c>
      <c r="C86" s="262">
        <f t="shared" si="1"/>
        <v>58</v>
      </c>
      <c r="D86" s="300">
        <f t="shared" si="2"/>
        <v>426352611252.51868</v>
      </c>
      <c r="E86" s="300">
        <f t="shared" si="3"/>
        <v>804223450.64602852</v>
      </c>
      <c r="F86" s="300">
        <f t="shared" si="0"/>
        <v>427156834703.16473</v>
      </c>
    </row>
    <row r="87" spans="2:6" ht="16.5" customHeight="1">
      <c r="B87" s="261">
        <f t="shared" si="1"/>
        <v>2082</v>
      </c>
      <c r="C87" s="262">
        <f t="shared" si="1"/>
        <v>59</v>
      </c>
      <c r="D87" s="300">
        <f t="shared" si="2"/>
        <v>443662527269.37091</v>
      </c>
      <c r="E87" s="300">
        <f t="shared" si="3"/>
        <v>843919239.16820955</v>
      </c>
      <c r="F87" s="300">
        <f t="shared" si="0"/>
        <v>444506446508.53912</v>
      </c>
    </row>
    <row r="88" spans="2:6" ht="16.5" customHeight="1">
      <c r="B88" s="261">
        <f t="shared" si="1"/>
        <v>2083</v>
      </c>
      <c r="C88" s="262">
        <f t="shared" si="1"/>
        <v>60</v>
      </c>
      <c r="D88" s="300">
        <f t="shared" si="2"/>
        <v>461675225876.50739</v>
      </c>
      <c r="E88" s="300">
        <f t="shared" si="3"/>
        <v>885512675.95128465</v>
      </c>
      <c r="F88" s="300">
        <f t="shared" si="0"/>
        <v>462560738552.45868</v>
      </c>
    </row>
    <row r="90" spans="2:6" ht="15.75" customHeight="1">
      <c r="B90" s="269" t="s">
        <v>1255</v>
      </c>
    </row>
    <row r="91" spans="2:6" ht="12.75" customHeight="1">
      <c r="B91" s="263" t="s">
        <v>1256</v>
      </c>
    </row>
    <row r="92" spans="2:6" ht="12.75" customHeight="1">
      <c r="B92" s="263" t="s">
        <v>1257</v>
      </c>
    </row>
    <row r="93" spans="2:6" ht="12.75" customHeight="1">
      <c r="B93" s="263" t="s">
        <v>1258</v>
      </c>
    </row>
    <row r="94" spans="2:6" ht="12.75" customHeight="1">
      <c r="B94" s="263" t="s">
        <v>1259</v>
      </c>
    </row>
    <row r="95" spans="2:6" ht="12.75" customHeight="1">
      <c r="B95" s="263" t="s">
        <v>1260</v>
      </c>
    </row>
    <row r="96" spans="2:6" ht="12.75" customHeight="1">
      <c r="B96" s="263" t="s">
        <v>1261</v>
      </c>
    </row>
  </sheetData>
  <sheetProtection algorithmName="SHA-512" hashValue="y/q7k7Jc7z+HJTQibRZ0xBrHkHz5aLO/WxKoVZhcAyGB7DA9ylQ7j8Y/u0buqedcvSZ4N3FlfBJ6U4KZgFLwoA==" saltValue="SsMBS4qus6Q57csnTUthTg==" spinCount="100000" sheet="1" objects="1" scenarios="1"/>
  <mergeCells count="4">
    <mergeCell ref="B26:F26"/>
    <mergeCell ref="B17:E17"/>
    <mergeCell ref="B11:E11"/>
    <mergeCell ref="B4:E4"/>
  </mergeCell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5958-B193-4F68-A758-8D89EB2EBA7F}">
  <dimension ref="B2:L77"/>
  <sheetViews>
    <sheetView showGridLines="0" zoomScale="85" zoomScaleNormal="85" workbookViewId="0">
      <selection activeCell="E11" sqref="E11"/>
    </sheetView>
  </sheetViews>
  <sheetFormatPr defaultColWidth="7.796875" defaultRowHeight="15" customHeight="1"/>
  <cols>
    <col min="1" max="1" width="2.5" customWidth="1"/>
    <col min="2" max="2" width="36.59765625" customWidth="1"/>
    <col min="3" max="3" width="18.796875" customWidth="1"/>
    <col min="4" max="4" width="21.8984375" bestFit="1" customWidth="1"/>
    <col min="5" max="5" width="16.3984375" bestFit="1" customWidth="1"/>
    <col min="6" max="6" width="30.59765625" bestFit="1" customWidth="1"/>
    <col min="7" max="12" width="15" customWidth="1"/>
  </cols>
  <sheetData>
    <row r="2" spans="2:12" ht="18.75" customHeight="1">
      <c r="B2" s="271" t="s">
        <v>1266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</row>
    <row r="3" spans="2:12" ht="15.75" customHeight="1">
      <c r="B3" s="272" t="s">
        <v>1267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</row>
    <row r="4" spans="2:12" ht="14.25" customHeight="1">
      <c r="B4" s="273" t="s">
        <v>1268</v>
      </c>
      <c r="C4" s="273"/>
      <c r="D4" s="273"/>
      <c r="E4" s="273"/>
      <c r="F4" s="273"/>
      <c r="G4" s="273"/>
      <c r="H4" s="273"/>
      <c r="I4" s="273"/>
      <c r="J4" s="273"/>
      <c r="K4" s="273"/>
      <c r="L4" s="273"/>
    </row>
    <row r="5" spans="2:12" ht="14.25" customHeight="1">
      <c r="B5" s="273" t="str">
        <f>"Total Portfolio Value: "&amp;TEXT(D17,"0.0")&amp;" Billion IDR"</f>
        <v>Total Portfolio Value: 644.1 Billion IDR</v>
      </c>
      <c r="C5" s="273"/>
      <c r="D5" s="273"/>
      <c r="E5" s="273"/>
      <c r="F5" s="273"/>
      <c r="G5" s="273"/>
      <c r="H5" s="273"/>
      <c r="I5" s="273"/>
      <c r="J5" s="273"/>
      <c r="K5" s="273"/>
      <c r="L5" s="273"/>
    </row>
    <row r="7" spans="2:12" ht="16.5" customHeight="1">
      <c r="B7" s="274" t="s">
        <v>1269</v>
      </c>
      <c r="C7" s="274"/>
      <c r="D7" s="274"/>
      <c r="E7" s="274"/>
      <c r="F7" s="274"/>
      <c r="G7" s="274"/>
      <c r="H7" s="274"/>
      <c r="I7" s="274"/>
      <c r="J7" s="274"/>
      <c r="K7" s="274"/>
      <c r="L7" s="274"/>
    </row>
    <row r="8" spans="2:12" ht="14.25" customHeight="1">
      <c r="B8" s="275" t="s">
        <v>475</v>
      </c>
      <c r="C8" s="275" t="s">
        <v>1270</v>
      </c>
      <c r="D8" s="275" t="s">
        <v>1271</v>
      </c>
      <c r="E8" s="275" t="s">
        <v>1272</v>
      </c>
      <c r="F8" s="275" t="s">
        <v>1273</v>
      </c>
      <c r="G8" s="275" t="s">
        <v>1274</v>
      </c>
      <c r="H8" s="275" t="s">
        <v>1275</v>
      </c>
      <c r="I8" s="275" t="s">
        <v>1276</v>
      </c>
      <c r="J8" s="275" t="s">
        <v>1277</v>
      </c>
      <c r="K8" s="275" t="s">
        <v>1278</v>
      </c>
      <c r="L8" s="275" t="s">
        <v>1279</v>
      </c>
    </row>
    <row r="9" spans="2:12" ht="16.5" customHeight="1">
      <c r="B9" s="276" t="s">
        <v>776</v>
      </c>
      <c r="C9" s="277">
        <f>COUNTIF('Asset Data Pullman'!$C$3:$C$234,B9)</f>
        <v>10</v>
      </c>
      <c r="D9" s="278">
        <f>SUMIF('Asset Data Pullman'!$C$3:$C$234,B9,'Asset Data Pullman'!$S$3:$S$234)/1000000000</f>
        <v>507.38318494399999</v>
      </c>
      <c r="E9" s="278">
        <f>SUMIF('Asset Data Pullman'!$C$3:$C$234,B9,'Asset Data Pullman'!$G$3:$G$234)/1000000000</f>
        <v>548.30331526299994</v>
      </c>
      <c r="F9" s="279">
        <v>475.83082238117873</v>
      </c>
      <c r="G9" s="279">
        <f t="shared" ref="G9:L17" si="0">F9/12</f>
        <v>39.652568531764892</v>
      </c>
      <c r="H9" s="280">
        <f t="shared" ref="H9:H16" si="1">IF(E9&gt;0,(E9-D9)/E9,0)</f>
        <v>7.4630463066545832E-2</v>
      </c>
      <c r="I9" s="279">
        <f t="shared" ref="I9:I16" si="2">F9*(1-H9)</f>
        <v>440.31934776553601</v>
      </c>
      <c r="J9" s="279">
        <f t="shared" si="0"/>
        <v>36.693278980461336</v>
      </c>
      <c r="K9" s="278">
        <f t="shared" ref="K9:K16" si="3">IF(J9&gt;0,D9/J9,0)</f>
        <v>13.82768722343333</v>
      </c>
      <c r="L9" s="278">
        <f t="shared" si="0"/>
        <v>1.1523072686194442</v>
      </c>
    </row>
    <row r="10" spans="2:12" ht="16.5" customHeight="1">
      <c r="B10" s="276" t="s">
        <v>772</v>
      </c>
      <c r="C10" s="277">
        <f>COUNTIF('Asset Data Pullman'!$C$3:$C$234,B10)</f>
        <v>1</v>
      </c>
      <c r="D10" s="278">
        <f>SUMIF('Asset Data Pullman'!$C$3:$C$234,B10,'Asset Data Pullman'!$S$3:$S$234)/1000000000</f>
        <v>121.875954881</v>
      </c>
      <c r="E10" s="278">
        <f>SUMIF('Asset Data Pullman'!$C$3:$C$234,B10,'Asset Data Pullman'!$G$3:$G$234)/1000000000</f>
        <v>195.00152780900001</v>
      </c>
      <c r="F10" s="279">
        <v>96</v>
      </c>
      <c r="G10" s="279">
        <f t="shared" si="0"/>
        <v>8</v>
      </c>
      <c r="H10" s="280">
        <f t="shared" si="1"/>
        <v>0.37499999999807698</v>
      </c>
      <c r="I10" s="279">
        <f t="shared" si="2"/>
        <v>60.000000000184613</v>
      </c>
      <c r="J10" s="279">
        <f t="shared" si="0"/>
        <v>5.0000000000153841</v>
      </c>
      <c r="K10" s="278">
        <f t="shared" si="3"/>
        <v>24.375190976125001</v>
      </c>
      <c r="L10" s="278">
        <f t="shared" si="0"/>
        <v>2.0312659146770833</v>
      </c>
    </row>
    <row r="11" spans="2:12" ht="16.5" customHeight="1">
      <c r="B11" s="276" t="s">
        <v>774</v>
      </c>
      <c r="C11" s="277">
        <f>COUNTIF('Asset Data Pullman'!$C$3:$C$234,B11)</f>
        <v>1</v>
      </c>
      <c r="D11" s="278">
        <f>SUMIF('Asset Data Pullman'!$C$3:$C$234,B11,'Asset Data Pullman'!$S$3:$S$234)/1000000000</f>
        <v>9.1371862480000008</v>
      </c>
      <c r="E11" s="278">
        <f>SUMIF('Asset Data Pullman'!$C$3:$C$234,B11,'Asset Data Pullman'!$G$3:$G$234)/1000000000</f>
        <v>9.8780391870000006</v>
      </c>
      <c r="F11" s="279">
        <v>480</v>
      </c>
      <c r="G11" s="279">
        <f t="shared" si="0"/>
        <v>40</v>
      </c>
      <c r="H11" s="280">
        <f t="shared" si="1"/>
        <v>7.4999999997469105E-2</v>
      </c>
      <c r="I11" s="279">
        <f t="shared" si="2"/>
        <v>444.00000000121486</v>
      </c>
      <c r="J11" s="279">
        <f t="shared" si="0"/>
        <v>37.000000000101238</v>
      </c>
      <c r="K11" s="278">
        <f t="shared" si="3"/>
        <v>0.24695097967499999</v>
      </c>
      <c r="L11" s="278">
        <f t="shared" si="0"/>
        <v>2.0579248306249999E-2</v>
      </c>
    </row>
    <row r="12" spans="2:12" ht="16.5" customHeight="1">
      <c r="B12" s="276" t="s">
        <v>600</v>
      </c>
      <c r="C12" s="277">
        <f>COUNTIF('Asset Data Pullman'!$C$3:$C$234,B12)</f>
        <v>136</v>
      </c>
      <c r="D12" s="278">
        <f>SUMIF('Asset Data Pullman'!$C$3:$C$234,B12,'Asset Data Pullman'!$S$3:$S$234)/1000000000</f>
        <v>4.1153554540000004</v>
      </c>
      <c r="E12" s="278">
        <f>SUMIF('Asset Data Pullman'!$C$3:$C$234,B12,'Asset Data Pullman'!$G$3:$G$234)/1000000000</f>
        <v>12.568144579</v>
      </c>
      <c r="F12" s="279">
        <v>48</v>
      </c>
      <c r="G12" s="279">
        <f t="shared" si="0"/>
        <v>4</v>
      </c>
      <c r="H12" s="280">
        <f t="shared" si="1"/>
        <v>0.6725566428575056</v>
      </c>
      <c r="I12" s="279">
        <f t="shared" si="2"/>
        <v>15.717281142839731</v>
      </c>
      <c r="J12" s="279">
        <f t="shared" si="0"/>
        <v>1.3097734285699776</v>
      </c>
      <c r="K12" s="278">
        <f t="shared" si="3"/>
        <v>3.1420361447499987</v>
      </c>
      <c r="L12" s="278">
        <f t="shared" si="0"/>
        <v>0.26183634539583323</v>
      </c>
    </row>
    <row r="13" spans="2:12" ht="16.5" customHeight="1">
      <c r="B13" s="276" t="s">
        <v>488</v>
      </c>
      <c r="C13" s="277">
        <f>COUNTIF('Asset Data Pullman'!$C$3:$C$234,B13)</f>
        <v>79</v>
      </c>
      <c r="D13" s="278">
        <f>SUMIF('Asset Data Pullman'!$C$3:$C$234,B13,'Asset Data Pullman'!$S$3:$S$234)/1000000000</f>
        <v>0.90372444900000004</v>
      </c>
      <c r="E13" s="278">
        <f>SUMIF('Asset Data Pullman'!$C$3:$C$234,B13,'Asset Data Pullman'!$G$3:$G$234)/1000000000</f>
        <v>1.94634247</v>
      </c>
      <c r="F13" s="279">
        <v>48</v>
      </c>
      <c r="G13" s="279">
        <f t="shared" si="0"/>
        <v>4</v>
      </c>
      <c r="H13" s="280">
        <f t="shared" si="1"/>
        <v>0.53568066107091628</v>
      </c>
      <c r="I13" s="279">
        <f t="shared" si="2"/>
        <v>22.287328268596021</v>
      </c>
      <c r="J13" s="279">
        <f t="shared" si="0"/>
        <v>1.8572773557163351</v>
      </c>
      <c r="K13" s="278">
        <f t="shared" si="3"/>
        <v>0.48658561749999996</v>
      </c>
      <c r="L13" s="278">
        <f t="shared" si="0"/>
        <v>4.0548801458333332E-2</v>
      </c>
    </row>
    <row r="14" spans="2:12" ht="16.5" customHeight="1">
      <c r="B14" s="276" t="s">
        <v>598</v>
      </c>
      <c r="C14" s="277">
        <f>COUNTIF('Asset Data Pullman'!$C$3:$C$234,B14)</f>
        <v>1</v>
      </c>
      <c r="D14" s="278">
        <f>SUMIF('Asset Data Pullman'!$C$3:$C$234,B14,'Asset Data Pullman'!$S$3:$S$234)/1000000000</f>
        <v>0.18253333299999999</v>
      </c>
      <c r="E14" s="278">
        <f>SUMIF('Asset Data Pullman'!$C$3:$C$234,B14,'Asset Data Pullman'!$G$3:$G$234)/1000000000</f>
        <v>0.29599999999999999</v>
      </c>
      <c r="F14" s="279">
        <v>60</v>
      </c>
      <c r="G14" s="279">
        <f t="shared" si="0"/>
        <v>5</v>
      </c>
      <c r="H14" s="280">
        <f t="shared" si="1"/>
        <v>0.38333333445945944</v>
      </c>
      <c r="I14" s="279">
        <f t="shared" si="2"/>
        <v>36.999999932432438</v>
      </c>
      <c r="J14" s="279">
        <f t="shared" si="0"/>
        <v>3.0833333277027033</v>
      </c>
      <c r="K14" s="278">
        <f t="shared" si="3"/>
        <v>5.9199999999999989E-2</v>
      </c>
      <c r="L14" s="278">
        <f t="shared" si="0"/>
        <v>4.9333333333333321E-3</v>
      </c>
    </row>
    <row r="15" spans="2:12" ht="16.5" customHeight="1">
      <c r="B15" s="276" t="s">
        <v>778</v>
      </c>
      <c r="C15" s="277">
        <f>COUNTIF('Asset Data Pullman'!$C$3:$C$234,B15)</f>
        <v>1</v>
      </c>
      <c r="D15" s="278">
        <f>SUMIF('Asset Data Pullman'!$C$3:$C$234,B15,'Asset Data Pullman'!$S$3:$S$234)/1000000000</f>
        <v>2.4963438000000001E-2</v>
      </c>
      <c r="E15" s="278">
        <f>SUMIF('Asset Data Pullman'!$C$3:$C$234,B15,'Asset Data Pullman'!$G$3:$G$234)/1000000000</f>
        <v>7.0485000000000006E-2</v>
      </c>
      <c r="F15" s="279">
        <v>48</v>
      </c>
      <c r="G15" s="279">
        <f t="shared" si="0"/>
        <v>4</v>
      </c>
      <c r="H15" s="280">
        <f t="shared" si="1"/>
        <v>0.64583332623962542</v>
      </c>
      <c r="I15" s="279">
        <f t="shared" si="2"/>
        <v>17.00000034049798</v>
      </c>
      <c r="J15" s="279">
        <f t="shared" si="0"/>
        <v>1.4166666950414983</v>
      </c>
      <c r="K15" s="278">
        <f t="shared" si="3"/>
        <v>1.7621249999999998E-2</v>
      </c>
      <c r="L15" s="278">
        <f t="shared" si="0"/>
        <v>1.4684374999999999E-3</v>
      </c>
    </row>
    <row r="16" spans="2:12" ht="16.5" customHeight="1">
      <c r="B16" s="276" t="s">
        <v>780</v>
      </c>
      <c r="C16" s="277">
        <f>COUNTIF('Asset Data Pullman'!$C$3:$C$234,B16)</f>
        <v>3</v>
      </c>
      <c r="D16" s="278">
        <f>SUMIF('Asset Data Pullman'!$C$3:$C$234,B16,'Asset Data Pullman'!$S$3:$S$234)/1000000000</f>
        <v>0.50359221700000001</v>
      </c>
      <c r="E16" s="278">
        <f>SUMIF('Asset Data Pullman'!$C$3:$C$234,B16,'Asset Data Pullman'!$G$3:$G$234)/1000000000</f>
        <v>0.84990437600000002</v>
      </c>
      <c r="F16" s="279">
        <v>48</v>
      </c>
      <c r="G16" s="279">
        <f t="shared" si="0"/>
        <v>4</v>
      </c>
      <c r="H16" s="280">
        <f t="shared" si="1"/>
        <v>0.40747190952220724</v>
      </c>
      <c r="I16" s="279">
        <f t="shared" si="2"/>
        <v>28.441348342934052</v>
      </c>
      <c r="J16" s="279">
        <f t="shared" si="0"/>
        <v>2.370112361911171</v>
      </c>
      <c r="K16" s="278">
        <f t="shared" si="3"/>
        <v>0.212476094</v>
      </c>
      <c r="L16" s="278">
        <f t="shared" si="0"/>
        <v>1.7706341166666667E-2</v>
      </c>
    </row>
    <row r="17" spans="2:12" ht="14.25" customHeight="1">
      <c r="B17" s="281" t="s">
        <v>1280</v>
      </c>
      <c r="C17" s="282">
        <f t="shared" ref="C17:K17" si="4">SUM(C9:C16)</f>
        <v>232</v>
      </c>
      <c r="D17" s="283">
        <f t="shared" si="4"/>
        <v>644.12649496400013</v>
      </c>
      <c r="E17" s="283">
        <f t="shared" si="4"/>
        <v>768.91375868399996</v>
      </c>
      <c r="F17" s="284">
        <f>SUMPRODUCT(E9:E16,F9:F16)/SUM(E9:E16)</f>
        <v>370.80862937311474</v>
      </c>
      <c r="G17" s="284">
        <f t="shared" si="0"/>
        <v>30.900719114426227</v>
      </c>
      <c r="H17" s="285">
        <f>(E17-D17)/E17</f>
        <v>0.16229032490402293</v>
      </c>
      <c r="I17" s="284">
        <f>SUMPRODUCT(E9:E16,I9:I16)/SUM(E9:E16)</f>
        <v>335.26742735086066</v>
      </c>
      <c r="J17" s="284">
        <f t="shared" si="0"/>
        <v>27.938952279238389</v>
      </c>
      <c r="K17" s="283">
        <f t="shared" si="4"/>
        <v>42.367748285483323</v>
      </c>
      <c r="L17" s="283">
        <f t="shared" si="0"/>
        <v>3.5306456904569434</v>
      </c>
    </row>
    <row r="19" spans="2:12" ht="16.5" customHeight="1">
      <c r="B19" s="274" t="s">
        <v>1281</v>
      </c>
      <c r="C19" s="274"/>
      <c r="D19" s="274"/>
      <c r="E19" s="274"/>
      <c r="F19" s="274"/>
      <c r="G19" s="274"/>
      <c r="H19" s="274"/>
      <c r="I19" s="274"/>
      <c r="J19" s="274"/>
      <c r="K19" s="274"/>
      <c r="L19" s="274"/>
    </row>
    <row r="20" spans="2:12" ht="14.25" customHeight="1">
      <c r="B20" s="275" t="s">
        <v>64</v>
      </c>
      <c r="C20" s="275" t="s">
        <v>776</v>
      </c>
      <c r="D20" s="275" t="s">
        <v>772</v>
      </c>
      <c r="E20" s="275" t="s">
        <v>774</v>
      </c>
      <c r="F20" s="275" t="s">
        <v>600</v>
      </c>
      <c r="G20" s="275" t="s">
        <v>488</v>
      </c>
      <c r="H20" s="275" t="s">
        <v>598</v>
      </c>
      <c r="I20" s="275" t="s">
        <v>778</v>
      </c>
      <c r="J20" s="275" t="s">
        <v>780</v>
      </c>
      <c r="K20" s="275" t="s">
        <v>1282</v>
      </c>
      <c r="L20" s="275" t="s">
        <v>1283</v>
      </c>
    </row>
    <row r="21" spans="2:12" ht="16.5" customHeight="1">
      <c r="B21" s="286">
        <v>2025</v>
      </c>
      <c r="C21" s="278">
        <f>MAX(0,D9-(K9*(B21-2025)))</f>
        <v>507.38318494399999</v>
      </c>
      <c r="D21" s="278">
        <f>MAX(0,D10-(K10*(B21-2025)))</f>
        <v>121.875954881</v>
      </c>
      <c r="E21" s="278">
        <f>MAX(0,D11-(K11*(B21-2025)))</f>
        <v>9.1371862480000008</v>
      </c>
      <c r="F21" s="278">
        <f>MAX(0,D12-(K12*(B21-2025)))</f>
        <v>4.1153554540000004</v>
      </c>
      <c r="G21" s="278">
        <f>MAX(0,D13-(K13*(B21-2025)))</f>
        <v>0.90372444900000004</v>
      </c>
      <c r="H21" s="278">
        <f>MAX(0,D14-(K14*(B21-2025)))</f>
        <v>0.18253333299999999</v>
      </c>
      <c r="I21" s="278">
        <f>MAX(0,D15-(K15*(B21-2025)))</f>
        <v>2.4963438000000001E-2</v>
      </c>
      <c r="J21" s="278">
        <f>MAX(0,D16-(K16*(B21-2025)))</f>
        <v>0.50359221700000001</v>
      </c>
      <c r="K21" s="278">
        <f t="shared" ref="K21:K41" si="5">SUM(C21:J21)</f>
        <v>644.12649496400013</v>
      </c>
      <c r="L21" s="280">
        <f>K21/D17</f>
        <v>1</v>
      </c>
    </row>
    <row r="22" spans="2:12" ht="16.5" customHeight="1">
      <c r="B22" s="286">
        <v>2026</v>
      </c>
      <c r="C22" s="278">
        <f>MAX(0,D9-(K9*(B22-2025)))</f>
        <v>493.55549772056668</v>
      </c>
      <c r="D22" s="278">
        <f>MAX(0,D10-(K10*(B22-2025)))</f>
        <v>97.500763904875001</v>
      </c>
      <c r="E22" s="278">
        <f>MAX(0,D11-(K11*(B22-2025)))</f>
        <v>8.8902352683250001</v>
      </c>
      <c r="F22" s="278">
        <f>MAX(0,D12-(K12*(B22-2025)))</f>
        <v>0.97331930925000165</v>
      </c>
      <c r="G22" s="278">
        <f>MAX(0,D13-(K13*(B22-2025)))</f>
        <v>0.41713883150000008</v>
      </c>
      <c r="H22" s="278">
        <f>MAX(0,D14-(K14*(B22-2025)))</f>
        <v>0.123333333</v>
      </c>
      <c r="I22" s="278">
        <f>MAX(0,D15-(K15*(B22-2025)))</f>
        <v>7.342188000000003E-3</v>
      </c>
      <c r="J22" s="278">
        <f>MAX(0,D16-(K16*(B22-2025)))</f>
        <v>0.291116123</v>
      </c>
      <c r="K22" s="278">
        <f t="shared" si="5"/>
        <v>601.75874667851679</v>
      </c>
      <c r="L22" s="280">
        <f>K22/D17</f>
        <v>0.93422449066025259</v>
      </c>
    </row>
    <row r="23" spans="2:12" ht="16.5" customHeight="1">
      <c r="B23" s="286">
        <v>2027</v>
      </c>
      <c r="C23" s="278">
        <f>MAX(0,D9-(K9*(B23-2025)))</f>
        <v>479.72781049713331</v>
      </c>
      <c r="D23" s="278">
        <f>MAX(0,D10-(K10*(B23-2025)))</f>
        <v>73.125572928749989</v>
      </c>
      <c r="E23" s="278">
        <f>MAX(0,D11-(K11*(B23-2025)))</f>
        <v>8.6432842886500012</v>
      </c>
      <c r="F23" s="278">
        <f>MAX(0,D12-(K12*(B23-2025)))</f>
        <v>0</v>
      </c>
      <c r="G23" s="278">
        <f>MAX(0,D13-(K13*(B23-2025)))</f>
        <v>0</v>
      </c>
      <c r="H23" s="278">
        <f>MAX(0,D14-(K14*(B23-2025)))</f>
        <v>6.4133333000000015E-2</v>
      </c>
      <c r="I23" s="278">
        <f>MAX(0,D15-(K15*(B23-2025)))</f>
        <v>0</v>
      </c>
      <c r="J23" s="278">
        <f>MAX(0,D16-(K16*(B23-2025)))</f>
        <v>7.8640029E-2</v>
      </c>
      <c r="K23" s="278">
        <f t="shared" si="5"/>
        <v>561.63944107653322</v>
      </c>
      <c r="L23" s="280">
        <f>K23/D17</f>
        <v>0.8719396663040897</v>
      </c>
    </row>
    <row r="24" spans="2:12" ht="16.5" customHeight="1">
      <c r="B24" s="286">
        <v>2028</v>
      </c>
      <c r="C24" s="278">
        <f>MAX(0,D9-(K9*(B24-2025)))</f>
        <v>465.90012327369999</v>
      </c>
      <c r="D24" s="278">
        <f>MAX(0,D10-(K10*(B24-2025)))</f>
        <v>48.750381952624991</v>
      </c>
      <c r="E24" s="278">
        <f>MAX(0,D11-(K11*(B24-2025)))</f>
        <v>8.3963333089750005</v>
      </c>
      <c r="F24" s="278">
        <f>MAX(0,D12-(K12*(B24-2025)))</f>
        <v>0</v>
      </c>
      <c r="G24" s="278">
        <f>MAX(0,D13-(K13*(B24-2025)))</f>
        <v>0</v>
      </c>
      <c r="H24" s="278">
        <f>MAX(0,D14-(K14*(B24-2025)))</f>
        <v>4.933333000000012E-3</v>
      </c>
      <c r="I24" s="278">
        <f>MAX(0,D15-(K15*(B24-2025)))</f>
        <v>0</v>
      </c>
      <c r="J24" s="278">
        <f>MAX(0,D16-(K16*(B24-2025)))</f>
        <v>0</v>
      </c>
      <c r="K24" s="278">
        <f t="shared" si="5"/>
        <v>523.05177186830008</v>
      </c>
      <c r="L24" s="280">
        <f>K24/D17</f>
        <v>0.81203269227037955</v>
      </c>
    </row>
    <row r="25" spans="2:12" ht="16.5" customHeight="1">
      <c r="B25" s="286">
        <v>2029</v>
      </c>
      <c r="C25" s="278">
        <f>MAX(0,D9-(K9*(B25-2025)))</f>
        <v>452.07243605026667</v>
      </c>
      <c r="D25" s="278">
        <f>MAX(0,D10-(K10*(B25-2025)))</f>
        <v>24.375190976499994</v>
      </c>
      <c r="E25" s="278">
        <f>MAX(0,D11-(K11*(B25-2025)))</f>
        <v>8.1493823293000016</v>
      </c>
      <c r="F25" s="278">
        <f>MAX(0,D12-(K12*(B25-2025)))</f>
        <v>0</v>
      </c>
      <c r="G25" s="278">
        <f>MAX(0,D13-(K13*(B25-2025)))</f>
        <v>0</v>
      </c>
      <c r="H25" s="278">
        <f>MAX(0,D14-(K14*(B25-2025)))</f>
        <v>0</v>
      </c>
      <c r="I25" s="278">
        <f>MAX(0,D15-(K15*(B25-2025)))</f>
        <v>0</v>
      </c>
      <c r="J25" s="278">
        <f>MAX(0,D16-(K16*(B25-2025)))</f>
        <v>0</v>
      </c>
      <c r="K25" s="278">
        <f t="shared" si="5"/>
        <v>484.59700935606668</v>
      </c>
      <c r="L25" s="280">
        <f>K25/D17</f>
        <v>0.75233205456507501</v>
      </c>
    </row>
    <row r="26" spans="2:12" ht="16.5" customHeight="1">
      <c r="B26" s="286">
        <v>2030</v>
      </c>
      <c r="C26" s="278">
        <f>MAX(0,D9-(K9*(B26-2025)))</f>
        <v>438.24474882683336</v>
      </c>
      <c r="D26" s="278">
        <f>MAX(0,D10-(K10*(B26-2025)))</f>
        <v>3.7499603422475047E-10</v>
      </c>
      <c r="E26" s="278">
        <f>MAX(0,D11-(K11*(B26-2025)))</f>
        <v>7.9024313496250009</v>
      </c>
      <c r="F26" s="278">
        <f>MAX(0,D12-(K12*(B26-2025)))</f>
        <v>0</v>
      </c>
      <c r="G26" s="278">
        <f>MAX(0,D13-(K13*(B26-2025)))</f>
        <v>0</v>
      </c>
      <c r="H26" s="278">
        <f>MAX(0,D14-(K14*(B26-2025)))</f>
        <v>0</v>
      </c>
      <c r="I26" s="278">
        <f>MAX(0,D15-(K15*(B26-2025)))</f>
        <v>0</v>
      </c>
      <c r="J26" s="278">
        <f>MAX(0,D16-(K16*(B26-2025)))</f>
        <v>0</v>
      </c>
      <c r="K26" s="278">
        <f t="shared" si="5"/>
        <v>446.14718017683333</v>
      </c>
      <c r="L26" s="280">
        <f>K26/D17</f>
        <v>0.69263907581036277</v>
      </c>
    </row>
    <row r="27" spans="2:12" ht="16.5" customHeight="1">
      <c r="B27" s="286">
        <v>2031</v>
      </c>
      <c r="C27" s="278">
        <f>MAX(0,D9-(K9*(B27-2025)))</f>
        <v>424.41706160340004</v>
      </c>
      <c r="D27" s="278">
        <f>MAX(0,D10-(K10*(B27-2025)))</f>
        <v>0</v>
      </c>
      <c r="E27" s="278">
        <f>MAX(0,D11-(K11*(B27-2025)))</f>
        <v>7.6554803699500011</v>
      </c>
      <c r="F27" s="278">
        <f>MAX(0,D12-(K12*(B27-2025)))</f>
        <v>0</v>
      </c>
      <c r="G27" s="278">
        <f>MAX(0,D13-(K13*(B27-2025)))</f>
        <v>0</v>
      </c>
      <c r="H27" s="278">
        <f>MAX(0,D14-(K14*(B27-2025)))</f>
        <v>0</v>
      </c>
      <c r="I27" s="278">
        <f>MAX(0,D15-(K15*(B27-2025)))</f>
        <v>0</v>
      </c>
      <c r="J27" s="278">
        <f>MAX(0,D16-(K16*(B27-2025)))</f>
        <v>0</v>
      </c>
      <c r="K27" s="278">
        <f t="shared" si="5"/>
        <v>432.07254197335004</v>
      </c>
      <c r="L27" s="280">
        <f>K27/D17</f>
        <v>0.6707883394821359</v>
      </c>
    </row>
    <row r="28" spans="2:12" ht="16.5" customHeight="1">
      <c r="B28" s="286">
        <v>2032</v>
      </c>
      <c r="C28" s="278">
        <f>MAX(0,D9-(K9*(B28-2025)))</f>
        <v>410.58937437996667</v>
      </c>
      <c r="D28" s="278">
        <f>MAX(0,D10-(K10*(B28-2025)))</f>
        <v>0</v>
      </c>
      <c r="E28" s="278">
        <f>MAX(0,D11-(K11*(B28-2025)))</f>
        <v>7.4085293902750013</v>
      </c>
      <c r="F28" s="278">
        <f>MAX(0,D12-(K12*(B28-2025)))</f>
        <v>0</v>
      </c>
      <c r="G28" s="278">
        <f>MAX(0,D13-(K13*(B28-2025)))</f>
        <v>0</v>
      </c>
      <c r="H28" s="278">
        <f>MAX(0,D14-(K14*(B28-2025)))</f>
        <v>0</v>
      </c>
      <c r="I28" s="278">
        <f>MAX(0,D15-(K15*(B28-2025)))</f>
        <v>0</v>
      </c>
      <c r="J28" s="278">
        <f>MAX(0,D16-(K16*(B28-2025)))</f>
        <v>0</v>
      </c>
      <c r="K28" s="278">
        <f t="shared" si="5"/>
        <v>417.99790377024169</v>
      </c>
      <c r="L28" s="280">
        <f>K28/D17</f>
        <v>0.64893760315449123</v>
      </c>
    </row>
    <row r="29" spans="2:12" ht="16.5" customHeight="1">
      <c r="B29" s="286">
        <v>2033</v>
      </c>
      <c r="C29" s="278">
        <f>MAX(0,D9-(K9*(B29-2025)))</f>
        <v>396.76168715653336</v>
      </c>
      <c r="D29" s="278">
        <f>MAX(0,D10-(K10*(B29-2025)))</f>
        <v>0</v>
      </c>
      <c r="E29" s="278">
        <f>MAX(0,D11-(K11*(B29-2025)))</f>
        <v>7.1615784106000007</v>
      </c>
      <c r="F29" s="278">
        <f>MAX(0,D12-(K12*(B29-2025)))</f>
        <v>0</v>
      </c>
      <c r="G29" s="278">
        <f>MAX(0,D13-(K13*(B29-2025)))</f>
        <v>0</v>
      </c>
      <c r="H29" s="278">
        <f>MAX(0,D14-(K14*(B29-2025)))</f>
        <v>0</v>
      </c>
      <c r="I29" s="278">
        <f>MAX(0,D15-(K15*(B29-2025)))</f>
        <v>0</v>
      </c>
      <c r="J29" s="278">
        <f>MAX(0,D16-(K16*(B29-2025)))</f>
        <v>0</v>
      </c>
      <c r="K29" s="278">
        <f t="shared" si="5"/>
        <v>403.92326556713334</v>
      </c>
      <c r="L29" s="280">
        <f>K29/D17</f>
        <v>0.62708686682684645</v>
      </c>
    </row>
    <row r="30" spans="2:12" ht="16.5" customHeight="1">
      <c r="B30" s="286">
        <v>2034</v>
      </c>
      <c r="C30" s="278">
        <f>MAX(0,D9-(K9*(B30-2025)))</f>
        <v>382.93399993310004</v>
      </c>
      <c r="D30" s="278">
        <f>MAX(0,D10-(K10*(B30-2025)))</f>
        <v>0</v>
      </c>
      <c r="E30" s="278">
        <f>MAX(0,D11-(K11*(B30-2025)))</f>
        <v>6.9146274309250009</v>
      </c>
      <c r="F30" s="278">
        <f>MAX(0,D12-(K12*(B30-2025)))</f>
        <v>0</v>
      </c>
      <c r="G30" s="278">
        <f>MAX(0,D13-(K13*(B30-2025)))</f>
        <v>0</v>
      </c>
      <c r="H30" s="278">
        <f>MAX(0,D14-(K14*(B30-2025)))</f>
        <v>0</v>
      </c>
      <c r="I30" s="278">
        <f>MAX(0,D15-(K15*(B30-2025)))</f>
        <v>0</v>
      </c>
      <c r="J30" s="278">
        <f>MAX(0,D16-(K16*(B30-2025)))</f>
        <v>0</v>
      </c>
      <c r="K30" s="278">
        <f t="shared" si="5"/>
        <v>389.84862736402505</v>
      </c>
      <c r="L30" s="280">
        <f>K30/D17</f>
        <v>0.60523613049920177</v>
      </c>
    </row>
    <row r="31" spans="2:12" ht="16.5" customHeight="1">
      <c r="B31" s="286">
        <v>2035</v>
      </c>
      <c r="C31" s="278">
        <f>MAX(0,D9-(K9*(B31-2025)))</f>
        <v>369.10631270966667</v>
      </c>
      <c r="D31" s="278">
        <f>MAX(0,D10-(K10*(B31-2025)))</f>
        <v>0</v>
      </c>
      <c r="E31" s="278">
        <f>MAX(0,D11-(K11*(B31-2025)))</f>
        <v>6.6676764512500011</v>
      </c>
      <c r="F31" s="278">
        <f>MAX(0,D12-(K12*(B31-2025)))</f>
        <v>0</v>
      </c>
      <c r="G31" s="278">
        <f>MAX(0,D13-(K13*(B31-2025)))</f>
        <v>0</v>
      </c>
      <c r="H31" s="278">
        <f>MAX(0,D14-(K14*(B31-2025)))</f>
        <v>0</v>
      </c>
      <c r="I31" s="278">
        <f>MAX(0,D15-(K15*(B31-2025)))</f>
        <v>0</v>
      </c>
      <c r="J31" s="278">
        <f>MAX(0,D16-(K16*(B31-2025)))</f>
        <v>0</v>
      </c>
      <c r="K31" s="278">
        <f t="shared" si="5"/>
        <v>375.77398916091664</v>
      </c>
      <c r="L31" s="280">
        <f>K31/D17</f>
        <v>0.58338539417155699</v>
      </c>
    </row>
    <row r="32" spans="2:12" ht="16.5" customHeight="1">
      <c r="B32" s="286">
        <v>2036</v>
      </c>
      <c r="C32" s="278">
        <f>MAX(0,D9-(K9*(B32-2025)))</f>
        <v>355.27862548623335</v>
      </c>
      <c r="D32" s="278">
        <f>MAX(0,D10-(K10*(B32-2025)))</f>
        <v>0</v>
      </c>
      <c r="E32" s="278">
        <f>MAX(0,D11-(K11*(B32-2025)))</f>
        <v>6.4207254715750004</v>
      </c>
      <c r="F32" s="278">
        <f>MAX(0,D12-(K12*(B32-2025)))</f>
        <v>0</v>
      </c>
      <c r="G32" s="278">
        <f>MAX(0,D13-(K13*(B32-2025)))</f>
        <v>0</v>
      </c>
      <c r="H32" s="278">
        <f>MAX(0,D14-(K14*(B32-2025)))</f>
        <v>0</v>
      </c>
      <c r="I32" s="278">
        <f>MAX(0,D15-(K15*(B32-2025)))</f>
        <v>0</v>
      </c>
      <c r="J32" s="278">
        <f>MAX(0,D16-(K16*(B32-2025)))</f>
        <v>0</v>
      </c>
      <c r="K32" s="278">
        <f t="shared" si="5"/>
        <v>361.69935095780835</v>
      </c>
      <c r="L32" s="280">
        <f>K32/D17</f>
        <v>0.56153465784391232</v>
      </c>
    </row>
    <row r="33" spans="2:12" ht="16.5" customHeight="1">
      <c r="B33" s="286">
        <v>2037</v>
      </c>
      <c r="C33" s="278">
        <f>MAX(0,D9-(K9*(B33-2025)))</f>
        <v>341.45093826280004</v>
      </c>
      <c r="D33" s="278">
        <f>MAX(0,D10-(K10*(B33-2025)))</f>
        <v>0</v>
      </c>
      <c r="E33" s="278">
        <f>MAX(0,D11-(K11*(B33-2025)))</f>
        <v>6.1737744919000015</v>
      </c>
      <c r="F33" s="278">
        <f>MAX(0,D12-(K12*(B33-2025)))</f>
        <v>0</v>
      </c>
      <c r="G33" s="278">
        <f>MAX(0,D13-(K13*(B33-2025)))</f>
        <v>0</v>
      </c>
      <c r="H33" s="278">
        <f>MAX(0,D14-(K14*(B33-2025)))</f>
        <v>0</v>
      </c>
      <c r="I33" s="278">
        <f>MAX(0,D15-(K15*(B33-2025)))</f>
        <v>0</v>
      </c>
      <c r="J33" s="278">
        <f>MAX(0,D16-(K16*(B33-2025)))</f>
        <v>0</v>
      </c>
      <c r="K33" s="278">
        <f t="shared" si="5"/>
        <v>347.62471275470006</v>
      </c>
      <c r="L33" s="280">
        <f>K33/D17</f>
        <v>0.53968392151626776</v>
      </c>
    </row>
    <row r="34" spans="2:12" ht="16.5" customHeight="1">
      <c r="B34" s="286">
        <v>2038</v>
      </c>
      <c r="C34" s="278">
        <f>MAX(0,D9-(K9*(B34-2025)))</f>
        <v>327.62325103936672</v>
      </c>
      <c r="D34" s="278">
        <f>MAX(0,D10-(K10*(B34-2025)))</f>
        <v>0</v>
      </c>
      <c r="E34" s="278">
        <f>MAX(0,D11-(K11*(B34-2025)))</f>
        <v>5.9268235122250008</v>
      </c>
      <c r="F34" s="278">
        <f>MAX(0,D12-(K12*(B34-2025)))</f>
        <v>0</v>
      </c>
      <c r="G34" s="278">
        <f>MAX(0,D13-(K13*(B34-2025)))</f>
        <v>0</v>
      </c>
      <c r="H34" s="278">
        <f>MAX(0,D14-(K14*(B34-2025)))</f>
        <v>0</v>
      </c>
      <c r="I34" s="278">
        <f>MAX(0,D15-(K15*(B34-2025)))</f>
        <v>0</v>
      </c>
      <c r="J34" s="278">
        <f>MAX(0,D16-(K16*(B34-2025)))</f>
        <v>0</v>
      </c>
      <c r="K34" s="278">
        <f t="shared" si="5"/>
        <v>333.55007455159171</v>
      </c>
      <c r="L34" s="280">
        <f>K34/D17</f>
        <v>0.51783318518862298</v>
      </c>
    </row>
    <row r="35" spans="2:12" ht="16.5" customHeight="1">
      <c r="B35" s="286">
        <v>2039</v>
      </c>
      <c r="C35" s="278">
        <f>MAX(0,D9-(K9*(B35-2025)))</f>
        <v>313.79556381593341</v>
      </c>
      <c r="D35" s="278">
        <f>MAX(0,D10-(K10*(B35-2025)))</f>
        <v>0</v>
      </c>
      <c r="E35" s="278">
        <f>MAX(0,D11-(K11*(B35-2025)))</f>
        <v>5.679872532550001</v>
      </c>
      <c r="F35" s="278">
        <f>MAX(0,D12-(K12*(B35-2025)))</f>
        <v>0</v>
      </c>
      <c r="G35" s="278">
        <f>MAX(0,D13-(K13*(B35-2025)))</f>
        <v>0</v>
      </c>
      <c r="H35" s="278">
        <f>MAX(0,D14-(K14*(B35-2025)))</f>
        <v>0</v>
      </c>
      <c r="I35" s="278">
        <f>MAX(0,D15-(K15*(B35-2025)))</f>
        <v>0</v>
      </c>
      <c r="J35" s="278">
        <f>MAX(0,D16-(K16*(B35-2025)))</f>
        <v>0</v>
      </c>
      <c r="K35" s="278">
        <f t="shared" si="5"/>
        <v>319.47543634848341</v>
      </c>
      <c r="L35" s="280">
        <f>K35/D17</f>
        <v>0.49598244886097831</v>
      </c>
    </row>
    <row r="36" spans="2:12" ht="16.5" customHeight="1">
      <c r="B36" s="286">
        <v>2040</v>
      </c>
      <c r="C36" s="278">
        <f>MAX(0,D9-(K9*(B36-2025)))</f>
        <v>299.96787659250003</v>
      </c>
      <c r="D36" s="278">
        <f>MAX(0,D10-(K10*(B36-2025)))</f>
        <v>0</v>
      </c>
      <c r="E36" s="278">
        <f>MAX(0,D11-(K11*(B36-2025)))</f>
        <v>5.4329215528750012</v>
      </c>
      <c r="F36" s="278">
        <f>MAX(0,D12-(K12*(B36-2025)))</f>
        <v>0</v>
      </c>
      <c r="G36" s="278">
        <f>MAX(0,D13-(K13*(B36-2025)))</f>
        <v>0</v>
      </c>
      <c r="H36" s="278">
        <f>MAX(0,D14-(K14*(B36-2025)))</f>
        <v>0</v>
      </c>
      <c r="I36" s="278">
        <f>MAX(0,D15-(K15*(B36-2025)))</f>
        <v>0</v>
      </c>
      <c r="J36" s="278">
        <f>MAX(0,D16-(K16*(B36-2025)))</f>
        <v>0</v>
      </c>
      <c r="K36" s="278">
        <f t="shared" si="5"/>
        <v>305.40079814537501</v>
      </c>
      <c r="L36" s="280">
        <f>K36/D17</f>
        <v>0.47413171253333353</v>
      </c>
    </row>
    <row r="37" spans="2:12" ht="16.5" customHeight="1">
      <c r="B37" s="286">
        <v>2041</v>
      </c>
      <c r="C37" s="278">
        <f>MAX(0,D9-(K9*(B37-2025)))</f>
        <v>286.14018936906672</v>
      </c>
      <c r="D37" s="278">
        <f>MAX(0,D10-(K10*(B37-2025)))</f>
        <v>0</v>
      </c>
      <c r="E37" s="278">
        <f>MAX(0,D11-(K11*(B37-2025)))</f>
        <v>5.1859705732000005</v>
      </c>
      <c r="F37" s="278">
        <f>MAX(0,D12-(K12*(B37-2025)))</f>
        <v>0</v>
      </c>
      <c r="G37" s="278">
        <f>MAX(0,D13-(K13*(B37-2025)))</f>
        <v>0</v>
      </c>
      <c r="H37" s="278">
        <f>MAX(0,D14-(K14*(B37-2025)))</f>
        <v>0</v>
      </c>
      <c r="I37" s="278">
        <f>MAX(0,D15-(K15*(B37-2025)))</f>
        <v>0</v>
      </c>
      <c r="J37" s="278">
        <f>MAX(0,D16-(K16*(B37-2025)))</f>
        <v>0</v>
      </c>
      <c r="K37" s="278">
        <f t="shared" si="5"/>
        <v>291.32615994226671</v>
      </c>
      <c r="L37" s="280">
        <f>K37/D17</f>
        <v>0.45228097620568886</v>
      </c>
    </row>
    <row r="38" spans="2:12" ht="16.5" customHeight="1">
      <c r="B38" s="286">
        <v>2042</v>
      </c>
      <c r="C38" s="278">
        <f>MAX(0,D9-(K9*(B38-2025)))</f>
        <v>272.3125021456334</v>
      </c>
      <c r="D38" s="278">
        <f>MAX(0,D10-(K10*(B38-2025)))</f>
        <v>0</v>
      </c>
      <c r="E38" s="278">
        <f>MAX(0,D11-(K11*(B38-2025)))</f>
        <v>4.9390195935250008</v>
      </c>
      <c r="F38" s="278">
        <f>MAX(0,D12-(K12*(B38-2025)))</f>
        <v>0</v>
      </c>
      <c r="G38" s="278">
        <f>MAX(0,D13-(K13*(B38-2025)))</f>
        <v>0</v>
      </c>
      <c r="H38" s="278">
        <f>MAX(0,D14-(K14*(B38-2025)))</f>
        <v>0</v>
      </c>
      <c r="I38" s="278">
        <f>MAX(0,D15-(K15*(B38-2025)))</f>
        <v>0</v>
      </c>
      <c r="J38" s="278">
        <f>MAX(0,D16-(K16*(B38-2025)))</f>
        <v>0</v>
      </c>
      <c r="K38" s="278">
        <f t="shared" si="5"/>
        <v>277.25152173915842</v>
      </c>
      <c r="L38" s="280">
        <f>K38/D17</f>
        <v>0.43043023987804424</v>
      </c>
    </row>
    <row r="39" spans="2:12" ht="16.5" customHeight="1">
      <c r="B39" s="286">
        <v>2043</v>
      </c>
      <c r="C39" s="278">
        <f>MAX(0,D9-(K9*(B39-2025)))</f>
        <v>258.48481492220003</v>
      </c>
      <c r="D39" s="278">
        <f>MAX(0,D10-(K10*(B39-2025)))</f>
        <v>0</v>
      </c>
      <c r="E39" s="278">
        <f>MAX(0,D11-(K11*(B39-2025)))</f>
        <v>4.692068613850001</v>
      </c>
      <c r="F39" s="278">
        <f>MAX(0,D12-(K12*(B39-2025)))</f>
        <v>0</v>
      </c>
      <c r="G39" s="278">
        <f>MAX(0,D13-(K13*(B39-2025)))</f>
        <v>0</v>
      </c>
      <c r="H39" s="278">
        <f>MAX(0,D14-(K14*(B39-2025)))</f>
        <v>0</v>
      </c>
      <c r="I39" s="278">
        <f>MAX(0,D15-(K15*(B39-2025)))</f>
        <v>0</v>
      </c>
      <c r="J39" s="278">
        <f>MAX(0,D16-(K16*(B39-2025)))</f>
        <v>0</v>
      </c>
      <c r="K39" s="278">
        <f t="shared" si="5"/>
        <v>263.17688353605001</v>
      </c>
      <c r="L39" s="280">
        <f>K39/D17</f>
        <v>0.4085795035503994</v>
      </c>
    </row>
    <row r="40" spans="2:12" ht="16.5" customHeight="1">
      <c r="B40" s="286">
        <v>2044</v>
      </c>
      <c r="C40" s="278">
        <f>MAX(0,D9-(K9*(B40-2025)))</f>
        <v>244.65712769876671</v>
      </c>
      <c r="D40" s="278">
        <f>MAX(0,D10-(K10*(B40-2025)))</f>
        <v>0</v>
      </c>
      <c r="E40" s="278">
        <f>MAX(0,D11-(K11*(B40-2025)))</f>
        <v>4.4451176341750012</v>
      </c>
      <c r="F40" s="278">
        <f>MAX(0,D12-(K12*(B40-2025)))</f>
        <v>0</v>
      </c>
      <c r="G40" s="278">
        <f>MAX(0,D13-(K13*(B40-2025)))</f>
        <v>0</v>
      </c>
      <c r="H40" s="278">
        <f>MAX(0,D14-(K14*(B40-2025)))</f>
        <v>0</v>
      </c>
      <c r="I40" s="278">
        <f>MAX(0,D15-(K15*(B40-2025)))</f>
        <v>0</v>
      </c>
      <c r="J40" s="278">
        <f>MAX(0,D16-(K16*(B40-2025)))</f>
        <v>0</v>
      </c>
      <c r="K40" s="278">
        <f t="shared" si="5"/>
        <v>249.10224533294172</v>
      </c>
      <c r="L40" s="280">
        <f>K40/D17</f>
        <v>0.38672876722275473</v>
      </c>
    </row>
    <row r="41" spans="2:12" ht="16.5" customHeight="1">
      <c r="B41" s="286">
        <v>2045</v>
      </c>
      <c r="C41" s="278">
        <f>MAX(0,D9-(K9*(B41-2025)))</f>
        <v>230.8294404753334</v>
      </c>
      <c r="D41" s="278">
        <f>MAX(0,D10-(K10*(B41-2025)))</f>
        <v>0</v>
      </c>
      <c r="E41" s="278">
        <f>MAX(0,D11-(K11*(B41-2025)))</f>
        <v>4.1981666545000014</v>
      </c>
      <c r="F41" s="278">
        <f>MAX(0,D12-(K12*(B41-2025)))</f>
        <v>0</v>
      </c>
      <c r="G41" s="278">
        <f>MAX(0,D13-(K13*(B41-2025)))</f>
        <v>0</v>
      </c>
      <c r="H41" s="278">
        <f>MAX(0,D14-(K14*(B41-2025)))</f>
        <v>0</v>
      </c>
      <c r="I41" s="278">
        <f>MAX(0,D15-(K15*(B41-2025)))</f>
        <v>0</v>
      </c>
      <c r="J41" s="278">
        <f>MAX(0,D16-(K16*(B41-2025)))</f>
        <v>0</v>
      </c>
      <c r="K41" s="278">
        <f t="shared" si="5"/>
        <v>235.0276071298334</v>
      </c>
      <c r="L41" s="280">
        <f>K41/D17</f>
        <v>0.36487803089511006</v>
      </c>
    </row>
    <row r="43" spans="2:12" ht="16.5" customHeight="1">
      <c r="B43" s="274" t="s">
        <v>1284</v>
      </c>
      <c r="C43" s="274"/>
      <c r="D43" s="274"/>
      <c r="E43" s="274"/>
      <c r="F43" s="274"/>
      <c r="G43" s="274"/>
      <c r="H43" s="274"/>
      <c r="I43" s="274"/>
      <c r="J43" s="274"/>
      <c r="K43" s="274"/>
      <c r="L43" s="274"/>
    </row>
    <row r="44" spans="2:12" ht="15.75" customHeight="1">
      <c r="B44" s="272" t="s">
        <v>1285</v>
      </c>
      <c r="C44" s="301" cm="1">
        <f t="array" ref="C44">K21</f>
        <v>644.12649496400013</v>
      </c>
    </row>
    <row r="45" spans="2:12" ht="14.25" customHeight="1">
      <c r="B45" s="287" t="s">
        <v>1286</v>
      </c>
      <c r="C45" s="302" cm="1">
        <f t="array" ref="C45">K26</f>
        <v>446.14718017683333</v>
      </c>
    </row>
    <row r="46" spans="2:12" ht="14.25" customHeight="1">
      <c r="B46" s="287" t="s">
        <v>1287</v>
      </c>
      <c r="C46" s="302" cm="1">
        <f t="array" ref="C46">K31</f>
        <v>375.77398916091664</v>
      </c>
    </row>
    <row r="47" spans="2:12" ht="14.25" customHeight="1">
      <c r="B47" s="287" t="s">
        <v>1288</v>
      </c>
      <c r="C47" s="302" cm="1">
        <f t="array" ref="C47">K36</f>
        <v>305.40079814537501</v>
      </c>
    </row>
    <row r="48" spans="2:12" ht="14.25" customHeight="1">
      <c r="B48" s="287" t="s">
        <v>1289</v>
      </c>
      <c r="C48" s="302" cm="1">
        <f t="array" ref="C48">K41</f>
        <v>235.0276071298334</v>
      </c>
    </row>
    <row r="49" spans="2:12" ht="15" customHeight="1">
      <c r="B49" s="287"/>
      <c r="C49" s="288"/>
    </row>
    <row r="50" spans="2:12" ht="14.25" customHeight="1">
      <c r="B50" s="244" t="s">
        <v>1290</v>
      </c>
      <c r="C50" s="295">
        <f>K21-K41</f>
        <v>409.0988878341667</v>
      </c>
    </row>
    <row r="51" spans="2:12" ht="14.25" customHeight="1">
      <c r="B51" s="244" t="s">
        <v>1291</v>
      </c>
      <c r="C51" s="295">
        <f>(K21-K41)/K21</f>
        <v>0.63512196910488994</v>
      </c>
    </row>
    <row r="52" spans="2:12" ht="14.25" customHeight="1">
      <c r="B52" s="244" t="s">
        <v>1292</v>
      </c>
      <c r="C52" s="295">
        <f>(K21-K41)/20</f>
        <v>20.454944391708334</v>
      </c>
    </row>
    <row r="53" spans="2:12" ht="14.25" customHeight="1">
      <c r="B53" s="244" t="s">
        <v>1293</v>
      </c>
      <c r="C53" s="295">
        <f>((K21-K41)/K21)/20</f>
        <v>3.1756098455244498E-2</v>
      </c>
    </row>
    <row r="55" spans="2:12" ht="16.5" customHeight="1">
      <c r="B55" s="274" t="s">
        <v>1294</v>
      </c>
      <c r="C55" s="274"/>
      <c r="D55" s="274"/>
      <c r="E55" s="274"/>
      <c r="F55" s="274"/>
      <c r="G55" s="274"/>
      <c r="H55" s="274"/>
      <c r="I55" s="274"/>
      <c r="J55" s="274"/>
      <c r="K55" s="274"/>
      <c r="L55" s="274"/>
    </row>
    <row r="56" spans="2:12" s="297" customFormat="1" ht="14.25" customHeight="1">
      <c r="B56" s="275" t="s">
        <v>1295</v>
      </c>
      <c r="C56" s="275" t="s">
        <v>1296</v>
      </c>
      <c r="D56" s="275" t="s">
        <v>1297</v>
      </c>
      <c r="E56" s="275" t="s">
        <v>1298</v>
      </c>
      <c r="F56" s="275" t="s">
        <v>1299</v>
      </c>
    </row>
    <row r="57" spans="2:12" ht="16.5" customHeight="1">
      <c r="B57" s="289" t="s">
        <v>1300</v>
      </c>
      <c r="C57" s="290" t="s">
        <v>1300</v>
      </c>
      <c r="D57" s="278">
        <f>K21-K26</f>
        <v>197.9793147871668</v>
      </c>
      <c r="E57" s="280">
        <f>(K21-K26)/K21</f>
        <v>0.30736092418963723</v>
      </c>
      <c r="F57" s="291" t="s">
        <v>1301</v>
      </c>
    </row>
    <row r="58" spans="2:12" ht="16.5" customHeight="1">
      <c r="B58" s="289" t="s">
        <v>1302</v>
      </c>
      <c r="C58" s="290" t="s">
        <v>1302</v>
      </c>
      <c r="D58" s="278">
        <f>K26-K31</f>
        <v>70.373191015916689</v>
      </c>
      <c r="E58" s="280">
        <f>(K26-K31)/K21</f>
        <v>0.10925368163880575</v>
      </c>
      <c r="F58" s="291" t="s">
        <v>1303</v>
      </c>
    </row>
    <row r="59" spans="2:12" ht="16.5" customHeight="1">
      <c r="B59" s="289" t="s">
        <v>1304</v>
      </c>
      <c r="C59" s="290" t="s">
        <v>1304</v>
      </c>
      <c r="D59" s="278">
        <f>K31-K36</f>
        <v>70.373191015541636</v>
      </c>
      <c r="E59" s="280">
        <f>(K31-K36)/K21</f>
        <v>0.10925368163822349</v>
      </c>
      <c r="F59" s="291" t="s">
        <v>1305</v>
      </c>
    </row>
    <row r="60" spans="2:12" ht="16.5" customHeight="1">
      <c r="B60" s="289" t="s">
        <v>1306</v>
      </c>
      <c r="C60" s="290" t="s">
        <v>1306</v>
      </c>
      <c r="D60" s="278">
        <f>K36-K41</f>
        <v>70.373191015541607</v>
      </c>
      <c r="E60" s="280">
        <f>(K36-K41)/K21</f>
        <v>0.10925368163822345</v>
      </c>
      <c r="F60" s="291" t="s">
        <v>1307</v>
      </c>
    </row>
    <row r="61" spans="2:12" ht="15" customHeight="1">
      <c r="B61" s="276"/>
      <c r="C61" s="290"/>
      <c r="D61" s="292"/>
      <c r="E61" s="292"/>
      <c r="F61" s="290"/>
    </row>
    <row r="62" spans="2:12" ht="14.25" customHeight="1">
      <c r="B62" s="281" t="s">
        <v>1308</v>
      </c>
      <c r="C62" s="281" t="s">
        <v>1309</v>
      </c>
      <c r="D62" s="281">
        <f>K21-K41</f>
        <v>409.0988878341667</v>
      </c>
      <c r="E62" s="281">
        <f>(K21-K41)/K21</f>
        <v>0.63512196910488994</v>
      </c>
      <c r="F62" s="281" t="s">
        <v>1310</v>
      </c>
    </row>
    <row r="64" spans="2:12" ht="16.5" customHeight="1">
      <c r="B64" s="274" t="s">
        <v>1311</v>
      </c>
      <c r="C64" s="274"/>
      <c r="D64" s="274"/>
      <c r="E64" s="274"/>
      <c r="F64" s="274"/>
      <c r="G64" s="274"/>
      <c r="H64" s="274"/>
      <c r="I64" s="274"/>
      <c r="J64" s="274"/>
      <c r="K64" s="274"/>
      <c r="L64" s="274"/>
    </row>
    <row r="65" spans="2:12" ht="14.25" customHeight="1">
      <c r="B65" s="293" t="s">
        <v>1312</v>
      </c>
      <c r="C65" s="293"/>
      <c r="D65" s="293"/>
      <c r="E65" s="293"/>
      <c r="F65" s="293"/>
      <c r="G65" s="293"/>
      <c r="H65" s="293"/>
      <c r="I65" s="293"/>
      <c r="J65" s="293"/>
      <c r="K65" s="293"/>
      <c r="L65" s="293"/>
    </row>
    <row r="66" spans="2:12" ht="14.25" customHeight="1">
      <c r="B66" s="293" t="s">
        <v>1313</v>
      </c>
      <c r="C66" s="293"/>
      <c r="D66" s="293"/>
      <c r="E66" s="293"/>
      <c r="F66" s="293"/>
      <c r="G66" s="293"/>
      <c r="H66" s="293"/>
      <c r="I66" s="293"/>
      <c r="J66" s="293"/>
      <c r="K66" s="293"/>
      <c r="L66" s="293"/>
    </row>
    <row r="67" spans="2:12" ht="14.25" customHeight="1">
      <c r="B67" s="293" t="s">
        <v>1314</v>
      </c>
      <c r="C67" s="293"/>
      <c r="D67" s="293"/>
      <c r="E67" s="293"/>
      <c r="F67" s="293"/>
      <c r="G67" s="293"/>
      <c r="H67" s="293"/>
      <c r="I67" s="293"/>
      <c r="J67" s="293"/>
      <c r="K67" s="293"/>
      <c r="L67" s="293"/>
    </row>
    <row r="68" spans="2:12" ht="14.25" customHeight="1">
      <c r="B68" s="293" t="s">
        <v>1315</v>
      </c>
      <c r="C68" s="293"/>
      <c r="D68" s="293"/>
      <c r="E68" s="293"/>
      <c r="F68" s="293"/>
      <c r="G68" s="293"/>
      <c r="H68" s="293"/>
      <c r="I68" s="293"/>
      <c r="J68" s="293"/>
      <c r="K68" s="293"/>
      <c r="L68" s="293"/>
    </row>
    <row r="69" spans="2:12" ht="14.25" customHeight="1">
      <c r="B69" s="293" t="s">
        <v>1316</v>
      </c>
      <c r="C69" s="293"/>
      <c r="D69" s="293"/>
      <c r="E69" s="293"/>
      <c r="F69" s="293"/>
      <c r="G69" s="293"/>
      <c r="H69" s="293"/>
      <c r="I69" s="293"/>
      <c r="J69" s="293"/>
      <c r="K69" s="293"/>
      <c r="L69" s="293"/>
    </row>
    <row r="71" spans="2:12" ht="14.25" customHeight="1">
      <c r="B71" s="244" t="s">
        <v>1317</v>
      </c>
      <c r="C71" s="244"/>
      <c r="D71" s="244"/>
      <c r="E71" s="244"/>
      <c r="F71" s="244"/>
      <c r="G71" s="244"/>
      <c r="H71" s="244"/>
      <c r="I71" s="244"/>
      <c r="J71" s="244"/>
      <c r="K71" s="244"/>
      <c r="L71" s="244"/>
    </row>
    <row r="72" spans="2:12" ht="14.25" customHeight="1">
      <c r="B72" s="293" t="s">
        <v>1318</v>
      </c>
      <c r="C72" s="293"/>
      <c r="D72" s="293"/>
      <c r="E72" s="293"/>
      <c r="F72" s="293"/>
      <c r="G72" s="293"/>
      <c r="H72" s="293"/>
      <c r="I72" s="293"/>
      <c r="J72" s="293"/>
      <c r="K72" s="293"/>
      <c r="L72" s="293"/>
    </row>
    <row r="73" spans="2:12" ht="14.25" customHeight="1">
      <c r="B73" s="293" t="s">
        <v>1319</v>
      </c>
      <c r="C73" s="293"/>
      <c r="D73" s="293"/>
      <c r="E73" s="293"/>
      <c r="F73" s="293"/>
      <c r="G73" s="293"/>
      <c r="H73" s="293"/>
      <c r="I73" s="293"/>
      <c r="J73" s="293"/>
      <c r="K73" s="293"/>
      <c r="L73" s="293"/>
    </row>
    <row r="74" spans="2:12" ht="14.25" customHeight="1">
      <c r="B74" s="293" t="s">
        <v>1320</v>
      </c>
      <c r="C74" s="293"/>
      <c r="D74" s="293"/>
      <c r="E74" s="293"/>
      <c r="F74" s="293"/>
      <c r="G74" s="293"/>
      <c r="H74" s="293"/>
      <c r="I74" s="293"/>
      <c r="J74" s="293"/>
      <c r="K74" s="293"/>
      <c r="L74" s="293"/>
    </row>
    <row r="75" spans="2:12" ht="14.25" customHeight="1">
      <c r="B75" s="293" t="s">
        <v>1321</v>
      </c>
      <c r="C75" s="293"/>
      <c r="D75" s="293"/>
      <c r="E75" s="293"/>
      <c r="F75" s="293"/>
      <c r="G75" s="293"/>
      <c r="H75" s="293"/>
      <c r="I75" s="293"/>
      <c r="J75" s="293"/>
      <c r="K75" s="293"/>
      <c r="L75" s="293"/>
    </row>
    <row r="76" spans="2:12" ht="14.25" customHeight="1">
      <c r="B76" s="293" t="s">
        <v>1322</v>
      </c>
      <c r="C76" s="293"/>
      <c r="D76" s="293"/>
      <c r="E76" s="293"/>
      <c r="F76" s="293"/>
      <c r="G76" s="293"/>
      <c r="H76" s="293"/>
      <c r="I76" s="293"/>
      <c r="J76" s="293"/>
      <c r="K76" s="293"/>
      <c r="L76" s="293"/>
    </row>
    <row r="77" spans="2:12" ht="14.25" customHeight="1">
      <c r="B77" s="293" t="s">
        <v>1323</v>
      </c>
      <c r="C77" s="293"/>
      <c r="D77" s="293"/>
      <c r="E77" s="293"/>
      <c r="F77" s="293"/>
      <c r="G77" s="293"/>
      <c r="H77" s="293"/>
      <c r="I77" s="293"/>
      <c r="J77" s="293"/>
      <c r="K77" s="293"/>
      <c r="L77" s="293"/>
    </row>
  </sheetData>
  <sheetProtection algorithmName="SHA-512" hashValue="2OyLUmtKajFwtTmJjUPL/qep2q+u/jwwguFj9ZVWMfjZmc8l0sbHQ3k0ckw1e2YOJ1251wB+1fIJWQEGS004fw==" saltValue="WHl3/bzYBSH93DbMdarV+w==" spinCount="100000" sheet="1" objects="1" scenarios="1"/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ECFE-0888-CEA8-1D58-55AC179035B8}">
  <dimension ref="B2:E109"/>
  <sheetViews>
    <sheetView showGridLines="0" topLeftCell="A20" workbookViewId="0">
      <selection activeCell="E10" sqref="E10"/>
    </sheetView>
  </sheetViews>
  <sheetFormatPr defaultColWidth="7.796875" defaultRowHeight="15" customHeight="1"/>
  <cols>
    <col min="1" max="1" width="5" style="296" customWidth="1"/>
    <col min="2" max="2" width="35" style="296" customWidth="1"/>
    <col min="3" max="5" width="18.796875" style="296" customWidth="1"/>
    <col min="6" max="16384" width="7.796875" style="296"/>
  </cols>
  <sheetData>
    <row r="2" spans="2:5" ht="21.75" customHeight="1">
      <c r="B2" s="308" t="s">
        <v>362</v>
      </c>
    </row>
    <row r="3" spans="2:5" ht="16.5" customHeight="1">
      <c r="B3" s="309" t="s">
        <v>363</v>
      </c>
    </row>
    <row r="5" spans="2:5" ht="17.25" customHeight="1">
      <c r="B5" s="310" t="s">
        <v>364</v>
      </c>
    </row>
    <row r="6" spans="2:5" ht="14.25" customHeight="1">
      <c r="B6" s="311" t="s">
        <v>365</v>
      </c>
      <c r="C6" s="311"/>
      <c r="D6" s="311"/>
      <c r="E6" s="311"/>
    </row>
    <row r="8" spans="2:5" ht="15.75" customHeight="1">
      <c r="B8" s="312" t="s">
        <v>366</v>
      </c>
    </row>
    <row r="9" spans="2:5" ht="15.75" customHeight="1">
      <c r="B9" s="313" t="s">
        <v>76</v>
      </c>
      <c r="C9" s="313" t="s">
        <v>367</v>
      </c>
      <c r="D9" s="313" t="s">
        <v>77</v>
      </c>
      <c r="E9" s="313" t="s">
        <v>368</v>
      </c>
    </row>
    <row r="10" spans="2:5" ht="16.5" customHeight="1">
      <c r="B10" s="314" t="s">
        <v>369</v>
      </c>
      <c r="C10" s="315">
        <f>Depreciation_Scenario_Analysis!E30/1000000000</f>
        <v>548.30331526299994</v>
      </c>
      <c r="D10" s="316" cm="1">
        <f t="array" ref="D10">C10</f>
        <v>548.30331526299994</v>
      </c>
      <c r="E10" s="334" t="s">
        <v>94</v>
      </c>
    </row>
    <row r="11" spans="2:5" ht="16.5" customHeight="1">
      <c r="B11" s="314" t="s">
        <v>370</v>
      </c>
      <c r="C11" s="315" cm="1">
        <f t="array" ref="C11">Financial_Impact_Dashboard!M12</f>
        <v>138.99673092</v>
      </c>
      <c r="D11" s="315" cm="1">
        <f t="array" ref="D11">Financial_Impact_Dashboard!M13</f>
        <v>108.22299689768244</v>
      </c>
      <c r="E11" s="315" cm="1">
        <f t="array" ref="E11">Financial_Impact_Dashboard!M18</f>
        <v>30.773734022317569</v>
      </c>
    </row>
    <row r="12" spans="2:5" ht="16.5" customHeight="1">
      <c r="B12" s="314" t="s">
        <v>53</v>
      </c>
      <c r="C12" s="334" t="s">
        <v>52</v>
      </c>
      <c r="D12" s="315" cm="1">
        <f t="array" ref="D12">Financial_Impact_Dashboard!M23</f>
        <v>30.773734022317569</v>
      </c>
      <c r="E12" s="316" cm="1">
        <f t="array" ref="E12">D12</f>
        <v>30.773734022317569</v>
      </c>
    </row>
    <row r="13" spans="2:5" ht="16.5" customHeight="1">
      <c r="B13" s="314" t="s">
        <v>371</v>
      </c>
      <c r="C13" s="334" t="s">
        <v>52</v>
      </c>
      <c r="D13" s="315" cm="1">
        <f t="array" ref="D13">Financial_Impact_Dashboard!M28</f>
        <v>24.003512537407698</v>
      </c>
      <c r="E13" s="316" cm="1">
        <f t="array" ref="E13">D13</f>
        <v>24.003512537407698</v>
      </c>
    </row>
    <row r="14" spans="2:5" ht="16.5" customHeight="1">
      <c r="B14" s="314" t="s">
        <v>372</v>
      </c>
      <c r="C14" s="334" t="s">
        <v>206</v>
      </c>
      <c r="D14" s="315">
        <f>Sensitivity_Analysis!F15/1000000000</f>
        <v>1474.9119355872538</v>
      </c>
      <c r="E14" s="316" cm="1">
        <f t="array" ref="E14">D14</f>
        <v>1474.9119355872538</v>
      </c>
    </row>
    <row r="15" spans="2:5" ht="16.5" customHeight="1">
      <c r="B15" s="314" t="s">
        <v>373</v>
      </c>
      <c r="C15" s="317">
        <v>0</v>
      </c>
      <c r="D15" s="318" cm="1">
        <f t="array" ref="D15">Financial_Impact_Dashboard!D42</f>
        <v>0.22139897693010843</v>
      </c>
      <c r="E15" s="319" cm="1">
        <f t="array" ref="E15">D15</f>
        <v>0.22139897693010843</v>
      </c>
    </row>
    <row r="17" spans="2:5" ht="17.25" customHeight="1">
      <c r="B17" s="310" t="s">
        <v>374</v>
      </c>
    </row>
    <row r="18" spans="2:5" ht="15.75" customHeight="1">
      <c r="B18" s="320" t="s">
        <v>375</v>
      </c>
    </row>
    <row r="19" spans="2:5" ht="14.25" customHeight="1">
      <c r="B19" s="321" t="s">
        <v>376</v>
      </c>
    </row>
    <row r="20" spans="2:5" ht="14.25" customHeight="1">
      <c r="B20" s="321" t="s">
        <v>377</v>
      </c>
    </row>
    <row r="21" spans="2:5" ht="14.25" customHeight="1">
      <c r="B21" s="321" t="s">
        <v>378</v>
      </c>
    </row>
    <row r="22" spans="2:5" ht="14.25" customHeight="1">
      <c r="B22" s="321" t="s">
        <v>379</v>
      </c>
    </row>
    <row r="23" spans="2:5" ht="14.25" customHeight="1">
      <c r="B23" s="321" t="s">
        <v>380</v>
      </c>
    </row>
    <row r="24" spans="2:5" ht="14.25" customHeight="1">
      <c r="B24" s="321" t="s">
        <v>381</v>
      </c>
    </row>
    <row r="26" spans="2:5" ht="15.75" customHeight="1">
      <c r="B26" s="312" t="s">
        <v>92</v>
      </c>
    </row>
    <row r="27" spans="2:5" ht="15.75" customHeight="1">
      <c r="B27" s="313" t="s">
        <v>382</v>
      </c>
      <c r="C27" s="313" t="s">
        <v>383</v>
      </c>
      <c r="D27" s="313" t="s">
        <v>384</v>
      </c>
      <c r="E27" s="313" t="s">
        <v>385</v>
      </c>
    </row>
    <row r="28" spans="2:5" ht="16.5" customHeight="1">
      <c r="B28" s="314" t="s">
        <v>386</v>
      </c>
      <c r="C28" s="314" t="s">
        <v>387</v>
      </c>
      <c r="D28" s="314" t="s">
        <v>388</v>
      </c>
      <c r="E28" s="314" t="s">
        <v>95</v>
      </c>
    </row>
    <row r="29" spans="2:5" ht="16.5" customHeight="1">
      <c r="B29" s="314" t="s">
        <v>389</v>
      </c>
      <c r="C29" s="314" t="s">
        <v>390</v>
      </c>
      <c r="D29" s="314" t="s">
        <v>391</v>
      </c>
      <c r="E29" s="314" t="s">
        <v>95</v>
      </c>
    </row>
    <row r="30" spans="2:5" ht="16.5" customHeight="1">
      <c r="B30" s="314" t="s">
        <v>392</v>
      </c>
      <c r="C30" s="314" t="s">
        <v>393</v>
      </c>
      <c r="D30" s="314" t="s">
        <v>394</v>
      </c>
      <c r="E30" s="314" t="s">
        <v>395</v>
      </c>
    </row>
    <row r="31" spans="2:5" ht="16.5" customHeight="1">
      <c r="B31" s="314" t="s">
        <v>396</v>
      </c>
      <c r="C31" s="314" t="s">
        <v>397</v>
      </c>
      <c r="D31" s="314" t="s">
        <v>398</v>
      </c>
      <c r="E31" s="314" t="s">
        <v>100</v>
      </c>
    </row>
    <row r="32" spans="2:5" ht="16.5" customHeight="1">
      <c r="B32" s="314" t="s">
        <v>399</v>
      </c>
      <c r="C32" s="314" t="s">
        <v>400</v>
      </c>
      <c r="D32" s="314" t="s">
        <v>401</v>
      </c>
      <c r="E32" s="314" t="s">
        <v>104</v>
      </c>
    </row>
    <row r="34" spans="2:3" ht="15.75" customHeight="1">
      <c r="B34" s="312" t="s">
        <v>402</v>
      </c>
    </row>
    <row r="35" spans="2:3" ht="15.75" customHeight="1">
      <c r="B35" s="313" t="s">
        <v>403</v>
      </c>
      <c r="C35" s="313" t="s">
        <v>404</v>
      </c>
    </row>
    <row r="36" spans="2:3" ht="14.25" customHeight="1">
      <c r="B36" s="85" t="s">
        <v>405</v>
      </c>
      <c r="C36" s="85" t="s">
        <v>406</v>
      </c>
    </row>
    <row r="37" spans="2:3" ht="14.25" customHeight="1">
      <c r="B37" s="85" t="s">
        <v>407</v>
      </c>
      <c r="C37" s="85" t="s">
        <v>408</v>
      </c>
    </row>
    <row r="38" spans="2:3" ht="14.25" customHeight="1">
      <c r="B38" s="85" t="s">
        <v>409</v>
      </c>
      <c r="C38" s="85" t="s">
        <v>410</v>
      </c>
    </row>
    <row r="39" spans="2:3" ht="14.25" customHeight="1">
      <c r="B39" s="85" t="s">
        <v>411</v>
      </c>
      <c r="C39" s="85" t="s">
        <v>412</v>
      </c>
    </row>
    <row r="41" spans="2:3" ht="15.75" customHeight="1">
      <c r="B41" s="312" t="s">
        <v>413</v>
      </c>
    </row>
    <row r="42" spans="2:3" ht="15.75" customHeight="1">
      <c r="B42" s="313" t="s">
        <v>414</v>
      </c>
      <c r="C42" s="313" t="s">
        <v>415</v>
      </c>
    </row>
    <row r="43" spans="2:3" ht="16.5" customHeight="1">
      <c r="B43" s="314" t="s">
        <v>416</v>
      </c>
      <c r="C43" s="314" t="s">
        <v>417</v>
      </c>
    </row>
    <row r="44" spans="2:3" ht="16.5" customHeight="1">
      <c r="B44" s="314" t="s">
        <v>418</v>
      </c>
      <c r="C44" s="314" t="s">
        <v>419</v>
      </c>
    </row>
    <row r="45" spans="2:3" ht="16.5" customHeight="1">
      <c r="B45" s="314" t="s">
        <v>420</v>
      </c>
      <c r="C45" s="314" t="s">
        <v>421</v>
      </c>
    </row>
    <row r="46" spans="2:3" ht="16.5" customHeight="1">
      <c r="B46" s="314" t="s">
        <v>422</v>
      </c>
      <c r="C46" s="314" t="s">
        <v>423</v>
      </c>
    </row>
    <row r="47" spans="2:3" ht="16.5" customHeight="1">
      <c r="B47" s="314" t="s">
        <v>424</v>
      </c>
      <c r="C47" s="314" t="s">
        <v>425</v>
      </c>
    </row>
    <row r="49" spans="2:2" ht="15.75" customHeight="1">
      <c r="B49" s="312" t="s">
        <v>426</v>
      </c>
    </row>
    <row r="50" spans="2:2" ht="14.25" customHeight="1">
      <c r="B50" s="311" t="s">
        <v>427</v>
      </c>
    </row>
    <row r="51" spans="2:2" ht="14.25" customHeight="1">
      <c r="B51" s="311" t="s">
        <v>428</v>
      </c>
    </row>
    <row r="52" spans="2:2" ht="14.25" customHeight="1">
      <c r="B52" s="311" t="s">
        <v>429</v>
      </c>
    </row>
    <row r="53" spans="2:2" ht="14.25" customHeight="1">
      <c r="B53" s="311" t="s">
        <v>430</v>
      </c>
    </row>
    <row r="54" spans="2:2" ht="14.25" customHeight="1">
      <c r="B54" s="311" t="s">
        <v>431</v>
      </c>
    </row>
    <row r="55" spans="2:2" ht="14.25" customHeight="1">
      <c r="B55" s="311" t="s">
        <v>432</v>
      </c>
    </row>
    <row r="56" spans="2:2" ht="14.25" customHeight="1">
      <c r="B56" s="311" t="s">
        <v>433</v>
      </c>
    </row>
    <row r="58" spans="2:2" ht="15.75" customHeight="1">
      <c r="B58" s="312" t="s">
        <v>434</v>
      </c>
    </row>
    <row r="59" spans="2:2" ht="14.25" customHeight="1">
      <c r="B59" s="321" t="s">
        <v>435</v>
      </c>
    </row>
    <row r="60" spans="2:2" ht="14.25" customHeight="1">
      <c r="B60" s="321" t="s">
        <v>436</v>
      </c>
    </row>
    <row r="61" spans="2:2" ht="14.25" customHeight="1">
      <c r="B61" s="321" t="s">
        <v>437</v>
      </c>
    </row>
    <row r="62" spans="2:2" ht="14.25" customHeight="1">
      <c r="B62" s="321" t="s">
        <v>438</v>
      </c>
    </row>
    <row r="63" spans="2:2" ht="14.25" customHeight="1">
      <c r="B63" s="321" t="s">
        <v>439</v>
      </c>
    </row>
    <row r="65" spans="2:5" ht="12.75" customHeight="1">
      <c r="B65" s="322" t="s">
        <v>440</v>
      </c>
    </row>
    <row r="66" spans="2:5" ht="12.75" customHeight="1">
      <c r="B66" s="322" t="s">
        <v>441</v>
      </c>
    </row>
    <row r="68" spans="2:5" ht="15.75" customHeight="1">
      <c r="B68" s="323" t="s">
        <v>442</v>
      </c>
    </row>
    <row r="70" spans="2:5" ht="14.25" customHeight="1">
      <c r="B70" s="324" t="s">
        <v>443</v>
      </c>
    </row>
    <row r="71" spans="2:5" ht="14.25" customHeight="1">
      <c r="B71" s="325" t="s">
        <v>76</v>
      </c>
      <c r="C71" s="325" t="s">
        <v>79</v>
      </c>
      <c r="D71" s="325" t="s">
        <v>77</v>
      </c>
      <c r="E71" s="325" t="s">
        <v>444</v>
      </c>
    </row>
    <row r="72" spans="2:5" ht="16.5" customHeight="1">
      <c r="B72" s="326" t="s">
        <v>445</v>
      </c>
      <c r="C72" s="307" cm="1">
        <f t="array" ref="C72">Financial_Impact_Dashboard!M60</f>
        <v>0.54051946813049168</v>
      </c>
      <c r="D72" s="307" cm="1">
        <f t="array" ref="D72">Financial_Impact_Dashboard!M64</f>
        <v>0.54051946813049168</v>
      </c>
      <c r="E72" s="307">
        <f t="shared" ref="E72:E73" si="0">D72-C72</f>
        <v>0</v>
      </c>
    </row>
    <row r="73" spans="2:5" ht="16.5" customHeight="1">
      <c r="B73" s="326" t="s">
        <v>446</v>
      </c>
      <c r="C73" s="307" cm="1">
        <f t="array" ref="C73">Financial_Impact_Dashboard!N60</f>
        <v>5.4051946813049166E-2</v>
      </c>
      <c r="D73" s="307" cm="1">
        <f t="array" ref="D73">Financial_Impact_Dashboard!N64</f>
        <v>5.4051946813049166E-2</v>
      </c>
      <c r="E73" s="307">
        <f t="shared" si="0"/>
        <v>0</v>
      </c>
    </row>
    <row r="74" spans="2:5" ht="12.75" customHeight="1">
      <c r="B74" s="327" t="s">
        <v>447</v>
      </c>
    </row>
    <row r="76" spans="2:5" ht="14.25" customHeight="1">
      <c r="B76" s="324" t="s">
        <v>448</v>
      </c>
    </row>
    <row r="77" spans="2:5" ht="14.25" customHeight="1">
      <c r="B77" s="325" t="s">
        <v>61</v>
      </c>
      <c r="C77" s="325" t="s">
        <v>232</v>
      </c>
      <c r="D77" s="325" t="s">
        <v>55</v>
      </c>
      <c r="E77" s="325" t="s">
        <v>449</v>
      </c>
    </row>
    <row r="78" spans="2:5" ht="16.5" customHeight="1">
      <c r="B78" s="326" t="s">
        <v>235</v>
      </c>
      <c r="C78" s="307" cm="1">
        <f t="array" ref="C78">Financial_Impact_Dashboard!M85</f>
        <v>61.547468044635139</v>
      </c>
      <c r="D78" s="307" cm="1">
        <f t="array" ref="D78">Financial_Impact_Dashboard!N85</f>
        <v>37.818254758647505</v>
      </c>
      <c r="E78" s="307" cm="1">
        <f t="array" ref="E78">D78</f>
        <v>37.818254758647505</v>
      </c>
    </row>
    <row r="79" spans="2:5" ht="16.5" customHeight="1">
      <c r="B79" s="326" t="s">
        <v>236</v>
      </c>
      <c r="C79" s="307" cm="1">
        <f t="array" ref="C79">Financial_Impact_Dashboard!M91</f>
        <v>136.06078757308597</v>
      </c>
      <c r="D79" s="307" cm="1">
        <f t="array" ref="D79">Financial_Impact_Dashboard!N91</f>
        <v>83.603463969785622</v>
      </c>
      <c r="E79" s="307" cm="1">
        <f t="array" ref="E79">D79</f>
        <v>83.603463969785622</v>
      </c>
    </row>
    <row r="80" spans="2:5" ht="12.75" customHeight="1">
      <c r="B80" s="327" t="s">
        <v>450</v>
      </c>
    </row>
    <row r="81" spans="2:5" ht="14.25" customHeight="1">
      <c r="B81" s="328" t="s">
        <v>451</v>
      </c>
    </row>
    <row r="83" spans="2:5" ht="14.25" customHeight="1">
      <c r="B83" s="324" t="s">
        <v>452</v>
      </c>
    </row>
    <row r="84" spans="2:5" ht="14.25" customHeight="1">
      <c r="B84" s="325" t="s">
        <v>320</v>
      </c>
      <c r="C84" s="325" t="s">
        <v>321</v>
      </c>
      <c r="D84" s="325" t="s">
        <v>322</v>
      </c>
      <c r="E84" s="325" t="s">
        <v>323</v>
      </c>
    </row>
    <row r="85" spans="2:5" ht="16.5" customHeight="1">
      <c r="B85" s="326" t="s">
        <v>453</v>
      </c>
      <c r="C85" s="307" cm="1">
        <f t="array" ref="C85">Sensitivity_Analysis!C48</f>
        <v>493.47298373669997</v>
      </c>
      <c r="D85" s="307" cm="1">
        <f t="array" ref="D85">Sensitivity_Analysis!D48</f>
        <v>383.81232068409992</v>
      </c>
      <c r="E85" s="307" cm="1">
        <f t="array" ref="E85">Sensitivity_Analysis!E48</f>
        <v>274.15165763149997</v>
      </c>
    </row>
    <row r="86" spans="2:5" ht="16.5" customHeight="1">
      <c r="B86" s="326" t="s">
        <v>454</v>
      </c>
      <c r="C86" s="307" cm="1">
        <f t="array" ref="C86">Sensitivity_Analysis!F48</f>
        <v>219.3213261052</v>
      </c>
      <c r="D86" s="297" t="s">
        <v>455</v>
      </c>
      <c r="E86" s="297">
        <v>0</v>
      </c>
    </row>
    <row r="87" spans="2:5" ht="12.75" customHeight="1">
      <c r="B87" s="327" t="s">
        <v>456</v>
      </c>
    </row>
    <row r="89" spans="2:5" ht="15.75" customHeight="1">
      <c r="B89" s="346" t="s">
        <v>457</v>
      </c>
      <c r="C89" s="346"/>
      <c r="D89" s="346"/>
      <c r="E89" s="346"/>
    </row>
    <row r="90" spans="2:5" ht="15.75" customHeight="1">
      <c r="B90" s="329" t="s">
        <v>458</v>
      </c>
    </row>
    <row r="92" spans="2:5" ht="14.25" customHeight="1">
      <c r="B92" s="330" t="s">
        <v>459</v>
      </c>
    </row>
    <row r="93" spans="2:5" ht="14.25" customHeight="1">
      <c r="B93" s="331" t="s">
        <v>460</v>
      </c>
    </row>
    <row r="94" spans="2:5" ht="14.25" customHeight="1">
      <c r="B94" s="331" t="s">
        <v>461</v>
      </c>
    </row>
    <row r="95" spans="2:5" ht="14.25" customHeight="1">
      <c r="B95" s="331" t="s">
        <v>462</v>
      </c>
    </row>
    <row r="97" spans="2:5" ht="14.25" customHeight="1">
      <c r="B97" s="330" t="s">
        <v>463</v>
      </c>
    </row>
    <row r="98" spans="2:5" ht="14.25" customHeight="1">
      <c r="B98" s="332" t="s">
        <v>464</v>
      </c>
    </row>
    <row r="99" spans="2:5" ht="14.25" customHeight="1">
      <c r="B99" s="332" t="s">
        <v>465</v>
      </c>
    </row>
    <row r="100" spans="2:5" ht="14.25" customHeight="1">
      <c r="B100" s="332" t="s">
        <v>466</v>
      </c>
    </row>
    <row r="101" spans="2:5" ht="14.25" customHeight="1">
      <c r="B101" s="332" t="s">
        <v>467</v>
      </c>
    </row>
    <row r="103" spans="2:5" ht="17.25" customHeight="1">
      <c r="B103" s="345" t="s">
        <v>468</v>
      </c>
      <c r="C103" s="345"/>
      <c r="D103" s="345"/>
      <c r="E103" s="345"/>
    </row>
    <row r="105" spans="2:5" ht="14.25" customHeight="1">
      <c r="B105" s="324" t="s">
        <v>469</v>
      </c>
    </row>
    <row r="106" spans="2:5" ht="12.75" customHeight="1">
      <c r="B106" s="333" t="s">
        <v>470</v>
      </c>
    </row>
    <row r="107" spans="2:5" ht="12.75" customHeight="1">
      <c r="B107" s="333" t="s">
        <v>471</v>
      </c>
    </row>
    <row r="108" spans="2:5" ht="12.75" customHeight="1">
      <c r="B108" s="333" t="s">
        <v>472</v>
      </c>
    </row>
    <row r="109" spans="2:5" ht="12.75" customHeight="1">
      <c r="B109" s="333" t="s">
        <v>473</v>
      </c>
    </row>
  </sheetData>
  <sheetProtection algorithmName="SHA-512" hashValue="+UGGP8GincFj0t6xnzhLAzWYvHOG5zRMZsiTmXN1hJVlfwTopGTdcMl6saDNq8rMZz+x29HrY8MMT0MOk6Fjdw==" saltValue="gj/OIJMweesZev1Z6UbX+A==" spinCount="100000" sheet="1" objects="1" scenarios="1"/>
  <mergeCells count="2">
    <mergeCell ref="B103:E103"/>
    <mergeCell ref="B89:E89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0678-9A58-2293-3C78-EAED89A89178}">
  <dimension ref="B2:N45"/>
  <sheetViews>
    <sheetView showGridLines="0" tabSelected="1" topLeftCell="E32" zoomScale="70" zoomScaleNormal="70" workbookViewId="0">
      <selection activeCell="Q5" sqref="Q5"/>
    </sheetView>
  </sheetViews>
  <sheetFormatPr defaultColWidth="7.796875" defaultRowHeight="15" customHeight="1"/>
  <cols>
    <col min="1" max="1" width="2.5" customWidth="1"/>
    <col min="2" max="2" width="79.59765625" bestFit="1" customWidth="1"/>
    <col min="3" max="3" width="21.69921875" bestFit="1" customWidth="1"/>
    <col min="4" max="4" width="18.19921875" bestFit="1" customWidth="1"/>
    <col min="5" max="5" width="23.5" bestFit="1" customWidth="1"/>
    <col min="6" max="6" width="40.296875" bestFit="1" customWidth="1"/>
    <col min="7" max="7" width="23.69921875" bestFit="1" customWidth="1"/>
    <col min="8" max="8" width="20.09765625" bestFit="1" customWidth="1"/>
    <col min="9" max="9" width="26.69921875" bestFit="1" customWidth="1"/>
    <col min="10" max="10" width="11.19921875" bestFit="1" customWidth="1"/>
    <col min="11" max="11" width="28.296875" bestFit="1" customWidth="1"/>
    <col min="12" max="12" width="12.59765625" bestFit="1" customWidth="1"/>
    <col min="13" max="13" width="14" bestFit="1" customWidth="1"/>
    <col min="14" max="14" width="10.59765625" customWidth="1"/>
  </cols>
  <sheetData>
    <row r="2" spans="2:14" ht="24" customHeight="1">
      <c r="B2" s="9" t="s">
        <v>42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ht="15.75" customHeight="1">
      <c r="B3" s="11" t="s">
        <v>43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spans="2:14" ht="15.75" customHeight="1">
      <c r="B5" s="12" t="s">
        <v>44</v>
      </c>
      <c r="C5" s="12"/>
      <c r="D5" s="12"/>
      <c r="E5" s="12" t="s">
        <v>45</v>
      </c>
      <c r="F5" s="12"/>
      <c r="G5" s="12"/>
      <c r="H5" s="12" t="s">
        <v>46</v>
      </c>
      <c r="I5" s="12"/>
      <c r="J5" s="12"/>
      <c r="K5" s="12" t="s">
        <v>47</v>
      </c>
      <c r="L5" s="12"/>
      <c r="M5" s="12"/>
    </row>
    <row r="6" spans="2:14" ht="21.75" customHeight="1">
      <c r="B6" s="13">
        <f>Depreciation_Scenario_Analysis!E30/1000000000</f>
        <v>548.30331526299994</v>
      </c>
      <c r="C6" s="14" t="s">
        <v>48</v>
      </c>
      <c r="D6" s="14" t="s">
        <v>49</v>
      </c>
      <c r="E6" s="13" cm="1">
        <f t="array" ref="E6">Financial_Impact_Dashboard!N18</f>
        <v>3.0773734022317569</v>
      </c>
      <c r="F6" s="14" t="s">
        <v>48</v>
      </c>
      <c r="G6" s="14" t="s">
        <v>50</v>
      </c>
      <c r="H6" s="13" cm="1">
        <f t="array" ref="H6">Financial_Impact_Dashboard!M18</f>
        <v>30.773734022317569</v>
      </c>
      <c r="I6" s="14" t="s">
        <v>48</v>
      </c>
      <c r="J6" s="14" t="s">
        <v>49</v>
      </c>
      <c r="K6" s="15" cm="1">
        <f t="array" ref="K6">Financial_Impact_Dashboard!D42</f>
        <v>0.22139897693010843</v>
      </c>
      <c r="L6" s="14" t="s">
        <v>51</v>
      </c>
      <c r="M6" s="14" t="s">
        <v>52</v>
      </c>
    </row>
    <row r="8" spans="2:14" ht="15.75" customHeight="1">
      <c r="B8" s="12" t="s">
        <v>53</v>
      </c>
      <c r="C8" s="12"/>
      <c r="D8" s="12"/>
      <c r="E8" s="12" t="s">
        <v>54</v>
      </c>
      <c r="F8" s="12"/>
      <c r="G8" s="12"/>
      <c r="H8" s="12" t="s">
        <v>55</v>
      </c>
      <c r="I8" s="12"/>
      <c r="J8" s="12"/>
      <c r="K8" s="12" t="s">
        <v>56</v>
      </c>
      <c r="L8" s="12"/>
      <c r="M8" s="12"/>
    </row>
    <row r="9" spans="2:14" ht="21.75" customHeight="1">
      <c r="B9" s="13" cm="1">
        <f t="array" ref="B9">Financial_Impact_Dashboard!M23</f>
        <v>30.773734022317569</v>
      </c>
      <c r="C9" s="14" t="s">
        <v>48</v>
      </c>
      <c r="D9" s="14" t="s">
        <v>49</v>
      </c>
      <c r="E9" s="13" cm="1">
        <f t="array" ref="E9">Financial_Impact_Dashboard!M28</f>
        <v>24.003512537407698</v>
      </c>
      <c r="F9" s="14" t="s">
        <v>48</v>
      </c>
      <c r="G9" s="14" t="s">
        <v>49</v>
      </c>
      <c r="H9" s="13">
        <f>Sensitivity_Analysis!F15/1000000000</f>
        <v>1474.9119355872538</v>
      </c>
      <c r="I9" s="14" t="s">
        <v>48</v>
      </c>
      <c r="J9" s="14" t="s">
        <v>49</v>
      </c>
      <c r="K9" s="16">
        <v>10</v>
      </c>
      <c r="L9" s="14" t="s">
        <v>57</v>
      </c>
      <c r="M9" s="14" t="s">
        <v>58</v>
      </c>
    </row>
    <row r="11" spans="2:14" ht="15.75" customHeight="1">
      <c r="B11" s="12" t="s">
        <v>59</v>
      </c>
      <c r="C11" s="12"/>
      <c r="D11" s="12"/>
      <c r="E11" s="12"/>
      <c r="F11" s="12" t="s">
        <v>60</v>
      </c>
      <c r="G11" s="12"/>
      <c r="H11" s="12"/>
      <c r="I11" s="12"/>
      <c r="J11" s="12"/>
      <c r="K11" s="12"/>
      <c r="L11" s="12"/>
      <c r="M11" s="12"/>
      <c r="N11" s="12"/>
    </row>
    <row r="12" spans="2:14" ht="14.25" customHeight="1">
      <c r="B12" s="17" t="s">
        <v>61</v>
      </c>
      <c r="C12" s="17" t="s">
        <v>62</v>
      </c>
      <c r="D12" s="17" t="s">
        <v>63</v>
      </c>
      <c r="F12" s="17" t="s">
        <v>64</v>
      </c>
      <c r="G12" s="17" t="s">
        <v>52</v>
      </c>
      <c r="H12" s="17" t="s">
        <v>65</v>
      </c>
      <c r="I12" s="17" t="s">
        <v>66</v>
      </c>
    </row>
    <row r="13" spans="2:14" ht="16.5" customHeight="1">
      <c r="B13" s="18" t="s">
        <v>67</v>
      </c>
      <c r="C13" s="19" cm="1">
        <f t="array" ref="C13">Financial_Impact_Dashboard!M12</f>
        <v>138.99673092</v>
      </c>
      <c r="D13" s="20">
        <v>0</v>
      </c>
      <c r="F13" s="21">
        <v>2025</v>
      </c>
      <c r="G13" s="19" cm="1">
        <f t="array" ref="G13">Financial_Impact_Dashboard!C12</f>
        <v>13.899673092</v>
      </c>
      <c r="H13" s="19" cm="1">
        <f t="array" ref="H13">Financial_Impact_Dashboard!C13</f>
        <v>10.822299689768244</v>
      </c>
      <c r="I13" s="19" cm="1">
        <f t="array" ref="I13">Financial_Impact_Dashboard!C14</f>
        <v>7.0966337133457014</v>
      </c>
    </row>
    <row r="14" spans="2:14" ht="16.5" customHeight="1">
      <c r="B14" s="18" t="s">
        <v>68</v>
      </c>
      <c r="C14" s="19" cm="1">
        <f t="array" ref="C14">Financial_Impact_Dashboard!M13</f>
        <v>108.22299689768244</v>
      </c>
      <c r="D14" s="19" cm="1">
        <f t="array" ref="D14">Financial_Impact_Dashboard!M18</f>
        <v>30.773734022317569</v>
      </c>
      <c r="F14" s="21">
        <v>2026</v>
      </c>
      <c r="G14" s="19" cm="1">
        <f t="array" ref="G14">Financial_Impact_Dashboard!D12</f>
        <v>13.899673092</v>
      </c>
      <c r="H14" s="19" cm="1">
        <f t="array" ref="H14">Financial_Impact_Dashboard!D13</f>
        <v>10.822299689768244</v>
      </c>
      <c r="I14" s="19" cm="1">
        <f t="array" ref="I14">Financial_Impact_Dashboard!D14</f>
        <v>7.0966337133457014</v>
      </c>
    </row>
    <row r="15" spans="2:14" ht="16.5" customHeight="1">
      <c r="B15" s="18" t="s">
        <v>69</v>
      </c>
      <c r="C15" s="19" cm="1">
        <f t="array" ref="C15">Financial_Impact_Dashboard!M14</f>
        <v>70.966337133457017</v>
      </c>
      <c r="D15" s="19" cm="1">
        <f t="array" ref="D15">Financial_Impact_Dashboard!M19</f>
        <v>68.030393786542987</v>
      </c>
      <c r="F15" s="21">
        <v>2027</v>
      </c>
      <c r="G15" s="19" cm="1">
        <f t="array" ref="G15">Financial_Impact_Dashboard!E12</f>
        <v>13.899673092</v>
      </c>
      <c r="H15" s="19" cm="1">
        <f t="array" ref="H15">Financial_Impact_Dashboard!E13</f>
        <v>10.822299689768244</v>
      </c>
      <c r="I15" s="19" cm="1">
        <f t="array" ref="I15">Financial_Impact_Dashboard!E14</f>
        <v>7.0966337133457014</v>
      </c>
    </row>
    <row r="16" spans="2:14" ht="16.5" customHeight="1">
      <c r="F16" s="21">
        <v>2028</v>
      </c>
      <c r="G16" s="19" cm="1">
        <f t="array" ref="G16">Financial_Impact_Dashboard!F12</f>
        <v>13.899673092</v>
      </c>
      <c r="H16" s="19" cm="1">
        <f t="array" ref="H16">Financial_Impact_Dashboard!F13</f>
        <v>10.822299689768244</v>
      </c>
      <c r="I16" s="19" cm="1">
        <f t="array" ref="I16">Financial_Impact_Dashboard!F14</f>
        <v>7.0966337133457014</v>
      </c>
    </row>
    <row r="17" spans="2:14" ht="16.5" customHeight="1">
      <c r="F17" s="21">
        <v>2029</v>
      </c>
      <c r="G17" s="19" cm="1">
        <f t="array" ref="G17">Financial_Impact_Dashboard!G12</f>
        <v>13.899673092</v>
      </c>
      <c r="H17" s="19" cm="1">
        <f t="array" ref="H17">Financial_Impact_Dashboard!G13</f>
        <v>10.822299689768244</v>
      </c>
      <c r="I17" s="19" cm="1">
        <f t="array" ref="I17">Financial_Impact_Dashboard!G14</f>
        <v>7.0966337133457014</v>
      </c>
    </row>
    <row r="18" spans="2:14" ht="16.5" customHeight="1">
      <c r="F18" s="21">
        <v>2030</v>
      </c>
      <c r="G18" s="19" cm="1">
        <f t="array" ref="G18">Financial_Impact_Dashboard!H12</f>
        <v>13.899673092</v>
      </c>
      <c r="H18" s="19" cm="1">
        <f t="array" ref="H18">Financial_Impact_Dashboard!H13</f>
        <v>10.822299689768244</v>
      </c>
      <c r="I18" s="19" cm="1">
        <f t="array" ref="I18">Financial_Impact_Dashboard!H14</f>
        <v>7.0966337133457014</v>
      </c>
    </row>
    <row r="19" spans="2:14" ht="16.5" customHeight="1">
      <c r="F19" s="21">
        <v>2031</v>
      </c>
      <c r="G19" s="19" cm="1">
        <f t="array" ref="G19">Financial_Impact_Dashboard!I12</f>
        <v>13.899673092</v>
      </c>
      <c r="H19" s="19" cm="1">
        <f t="array" ref="H19">Financial_Impact_Dashboard!I13</f>
        <v>10.822299689768244</v>
      </c>
      <c r="I19" s="19" cm="1">
        <f t="array" ref="I19">Financial_Impact_Dashboard!I14</f>
        <v>7.0966337133457014</v>
      </c>
    </row>
    <row r="20" spans="2:14" ht="16.5" customHeight="1">
      <c r="F20" s="21">
        <v>2032</v>
      </c>
      <c r="G20" s="19" cm="1">
        <f t="array" ref="G20">Financial_Impact_Dashboard!J12</f>
        <v>13.899673092</v>
      </c>
      <c r="H20" s="19" cm="1">
        <f t="array" ref="H20">Financial_Impact_Dashboard!J13</f>
        <v>10.822299689768244</v>
      </c>
      <c r="I20" s="19" cm="1">
        <f t="array" ref="I20">Financial_Impact_Dashboard!J14</f>
        <v>7.0966337133457014</v>
      </c>
    </row>
    <row r="21" spans="2:14" ht="16.5" customHeight="1">
      <c r="F21" s="21">
        <v>2033</v>
      </c>
      <c r="G21" s="19" cm="1">
        <f t="array" ref="G21">Financial_Impact_Dashboard!K12</f>
        <v>13.899673092</v>
      </c>
      <c r="H21" s="19" cm="1">
        <f t="array" ref="H21">Financial_Impact_Dashboard!K13</f>
        <v>10.822299689768244</v>
      </c>
      <c r="I21" s="19" cm="1">
        <f t="array" ref="I21">Financial_Impact_Dashboard!K14</f>
        <v>7.0966337133457014</v>
      </c>
    </row>
    <row r="22" spans="2:14" ht="16.5" customHeight="1">
      <c r="F22" s="21">
        <v>2034</v>
      </c>
      <c r="G22" s="19" cm="1">
        <f t="array" ref="G22">Financial_Impact_Dashboard!L12</f>
        <v>13.899673092</v>
      </c>
      <c r="H22" s="19" cm="1">
        <f t="array" ref="H22">Financial_Impact_Dashboard!L13</f>
        <v>10.822299689768244</v>
      </c>
      <c r="I22" s="19" cm="1">
        <f t="array" ref="I22">Financial_Impact_Dashboard!L14</f>
        <v>7.0966337133457014</v>
      </c>
    </row>
    <row r="24" spans="2:14" ht="15.75" customHeight="1">
      <c r="B24" s="12" t="s">
        <v>70</v>
      </c>
      <c r="C24" s="12"/>
      <c r="D24" s="12"/>
      <c r="E24" s="12"/>
      <c r="F24" s="12" t="s">
        <v>71</v>
      </c>
      <c r="G24" s="12"/>
      <c r="H24" s="12"/>
      <c r="I24" s="12"/>
      <c r="K24" s="12" t="s">
        <v>72</v>
      </c>
      <c r="L24" s="12"/>
      <c r="M24" s="12"/>
      <c r="N24" s="12"/>
    </row>
    <row r="25" spans="2:14" ht="14.25" customHeight="1">
      <c r="B25" s="17" t="s">
        <v>64</v>
      </c>
      <c r="C25" s="17" t="s">
        <v>73</v>
      </c>
      <c r="D25" s="17" t="s">
        <v>74</v>
      </c>
      <c r="F25" s="17" t="s">
        <v>61</v>
      </c>
      <c r="G25" s="17" t="s">
        <v>75</v>
      </c>
      <c r="K25" s="17" t="s">
        <v>76</v>
      </c>
      <c r="L25" s="17" t="s">
        <v>77</v>
      </c>
      <c r="M25" s="17" t="s">
        <v>78</v>
      </c>
    </row>
    <row r="26" spans="2:14" ht="16.5" customHeight="1">
      <c r="B26" s="21">
        <v>2025</v>
      </c>
      <c r="C26" s="19" cm="1">
        <f t="array" ref="C26">Financial_Impact_Dashboard!C33</f>
        <v>3.0773734022317569</v>
      </c>
      <c r="D26" s="19" cm="1">
        <f t="array" ref="D26">Financial_Impact_Dashboard!C34</f>
        <v>6.8030393786542991</v>
      </c>
      <c r="F26" s="18" t="s">
        <v>79</v>
      </c>
      <c r="G26" s="19" cm="1">
        <f t="array" ref="G26">Balance_Sheet_Impact!M9</f>
        <v>251.27049502699998</v>
      </c>
      <c r="K26" s="18" t="s">
        <v>80</v>
      </c>
      <c r="L26" s="19" cm="1">
        <f t="array" ref="L26">Financial_Impact_Dashboard!N18</f>
        <v>3.0773734022317569</v>
      </c>
      <c r="M26" s="19" cm="1">
        <f t="array" ref="M26">Financial_Impact_Dashboard!N19</f>
        <v>6.8030393786542991</v>
      </c>
    </row>
    <row r="27" spans="2:14" ht="16.5" customHeight="1">
      <c r="B27" s="21">
        <v>2026</v>
      </c>
      <c r="C27" s="19" cm="1">
        <f t="array" ref="C27">Financial_Impact_Dashboard!D33</f>
        <v>6.1547468044635139</v>
      </c>
      <c r="D27" s="19" cm="1">
        <f t="array" ref="D27">Financial_Impact_Dashboard!D34</f>
        <v>13.606078757308598</v>
      </c>
      <c r="F27" s="18" t="s">
        <v>77</v>
      </c>
      <c r="G27" s="19" cm="1">
        <f t="array" ref="G27">Balance_Sheet_Impact!M10</f>
        <v>309.74058966940362</v>
      </c>
      <c r="K27" s="18" t="s">
        <v>81</v>
      </c>
      <c r="L27" s="19" cm="1">
        <f t="array" ref="L27">Financial_Impact_Dashboard!M23</f>
        <v>30.773734022317569</v>
      </c>
      <c r="M27" s="19" cm="1">
        <f t="array" ref="M27">Financial_Impact_Dashboard!M24</f>
        <v>68.030393786542987</v>
      </c>
    </row>
    <row r="28" spans="2:14" ht="16.5" customHeight="1">
      <c r="B28" s="21">
        <v>2027</v>
      </c>
      <c r="C28" s="19" cm="1">
        <f t="array" ref="C28">Financial_Impact_Dashboard!E33</f>
        <v>9.2321202066952708</v>
      </c>
      <c r="D28" s="19" cm="1">
        <f t="array" ref="D28">Financial_Impact_Dashboard!E34</f>
        <v>20.409118135962899</v>
      </c>
      <c r="F28" s="18" t="s">
        <v>78</v>
      </c>
      <c r="G28" s="19" cm="1">
        <f t="array" ref="G28">Balance_Sheet_Impact!M11</f>
        <v>380.52824322143181</v>
      </c>
      <c r="K28" s="18" t="s">
        <v>82</v>
      </c>
      <c r="L28" s="19" cm="1">
        <f t="array" ref="L28">Financial_Impact_Dashboard!M28</f>
        <v>24.003512537407698</v>
      </c>
      <c r="M28" s="19" cm="1">
        <f t="array" ref="M28">Financial_Impact_Dashboard!M29</f>
        <v>53.063707153503536</v>
      </c>
    </row>
    <row r="29" spans="2:14" ht="16.5" customHeight="1">
      <c r="B29" s="21">
        <v>2028</v>
      </c>
      <c r="C29" s="19" cm="1">
        <f t="array" ref="C29">Financial_Impact_Dashboard!F33</f>
        <v>12.309493608927028</v>
      </c>
      <c r="D29" s="19" cm="1">
        <f t="array" ref="D29">Financial_Impact_Dashboard!F34</f>
        <v>27.212157514617196</v>
      </c>
      <c r="K29" s="18" t="s">
        <v>55</v>
      </c>
      <c r="L29" s="19">
        <f>Sensitivity_Analysis!F15/1000000000</f>
        <v>1474.9119355872538</v>
      </c>
      <c r="M29" s="19">
        <f>Sensitivity_Analysis!F16/1000000000</f>
        <v>3260.5350948216415</v>
      </c>
    </row>
    <row r="30" spans="2:14" ht="16.5" customHeight="1">
      <c r="B30" s="21">
        <v>2029</v>
      </c>
      <c r="C30" s="19" cm="1">
        <f t="array" ref="C30">Financial_Impact_Dashboard!G33</f>
        <v>15.386867011158785</v>
      </c>
      <c r="D30" s="19" cm="1">
        <f t="array" ref="D30">Financial_Impact_Dashboard!G34</f>
        <v>34.015196893271494</v>
      </c>
      <c r="K30" s="18" t="s">
        <v>47</v>
      </c>
      <c r="L30" s="22" cm="1">
        <f t="array" ref="L30">Financial_Impact_Dashboard!D42</f>
        <v>0.22139897693010843</v>
      </c>
      <c r="M30" s="22" cm="1">
        <f t="array" ref="M30">Financial_Impact_Dashboard!E42</f>
        <v>0.48943880432481601</v>
      </c>
    </row>
    <row r="31" spans="2:14" ht="16.5" customHeight="1">
      <c r="B31" s="21">
        <v>2030</v>
      </c>
      <c r="C31" s="19" cm="1">
        <f t="array" ref="C31">Financial_Impact_Dashboard!H33</f>
        <v>18.464240413390542</v>
      </c>
      <c r="D31" s="19" cm="1">
        <f t="array" ref="D31">Financial_Impact_Dashboard!H34</f>
        <v>40.818236271925791</v>
      </c>
    </row>
    <row r="32" spans="2:14" ht="16.5" customHeight="1">
      <c r="B32" s="21">
        <v>2031</v>
      </c>
      <c r="C32" s="19" cm="1">
        <f t="array" ref="C32">Financial_Impact_Dashboard!I33</f>
        <v>21.541613815622298</v>
      </c>
      <c r="D32" s="19" cm="1">
        <f t="array" ref="D32">Financial_Impact_Dashboard!I34</f>
        <v>47.621275650580088</v>
      </c>
      <c r="K32" s="12" t="s">
        <v>83</v>
      </c>
      <c r="L32" s="12"/>
      <c r="M32" s="12"/>
      <c r="N32" s="12"/>
    </row>
    <row r="33" spans="2:14" ht="16.5" customHeight="1">
      <c r="B33" s="21">
        <v>2032</v>
      </c>
      <c r="C33" s="19" cm="1">
        <f t="array" ref="C33">Financial_Impact_Dashboard!J33</f>
        <v>24.618987217854055</v>
      </c>
      <c r="D33" s="19" cm="1">
        <f t="array" ref="D33">Financial_Impact_Dashboard!J34</f>
        <v>54.424315029234386</v>
      </c>
      <c r="K33" s="17" t="s">
        <v>84</v>
      </c>
      <c r="L33" s="17" t="s">
        <v>85</v>
      </c>
    </row>
    <row r="34" spans="2:14" ht="16.5" customHeight="1">
      <c r="B34" s="21">
        <v>2033</v>
      </c>
      <c r="C34" s="19" cm="1">
        <f t="array" ref="C34">Financial_Impact_Dashboard!K33</f>
        <v>27.696360620085812</v>
      </c>
      <c r="D34" s="19" cm="1">
        <f t="array" ref="D34">Financial_Impact_Dashboard!K34</f>
        <v>61.227354407888683</v>
      </c>
      <c r="K34" s="18" t="s">
        <v>86</v>
      </c>
      <c r="L34" s="19">
        <f>Sensitivity_Analysis!F22/1000000000</f>
        <v>883.10904315138259</v>
      </c>
    </row>
    <row r="35" spans="2:14" ht="16.5" customHeight="1">
      <c r="B35" s="21">
        <v>2034</v>
      </c>
      <c r="C35" s="19" cm="1">
        <f t="array" ref="C35">Financial_Impact_Dashboard!L33</f>
        <v>30.773734022317569</v>
      </c>
      <c r="D35" s="19" cm="1">
        <f t="array" ref="D35">Financial_Impact_Dashboard!L34</f>
        <v>68.030393786542987</v>
      </c>
      <c r="K35" s="18" t="s">
        <v>87</v>
      </c>
      <c r="L35" s="19">
        <f>Sensitivity_Analysis!F21/1000000000</f>
        <v>-94.545636896618902</v>
      </c>
    </row>
    <row r="37" spans="2:14" ht="17.25" customHeight="1">
      <c r="B37" s="23" t="s">
        <v>88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spans="2:14" ht="15.75" customHeight="1">
      <c r="B38" s="24" t="s">
        <v>89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2:14" ht="17.25" customHeight="1">
      <c r="B39" s="25" t="s">
        <v>90</v>
      </c>
      <c r="C39" s="25"/>
      <c r="D39" s="26" cm="1">
        <f t="array" ref="D39">Financial_Impact_Dashboard!N18</f>
        <v>3.0773734022317569</v>
      </c>
      <c r="E39" s="25" t="s">
        <v>91</v>
      </c>
      <c r="G39" s="27" t="s">
        <v>92</v>
      </c>
      <c r="H39" s="27"/>
      <c r="I39" s="27"/>
      <c r="J39" s="27"/>
      <c r="K39" s="27"/>
      <c r="L39" s="27"/>
      <c r="M39" s="27"/>
      <c r="N39" s="27"/>
    </row>
    <row r="40" spans="2:14" ht="17.25" customHeight="1">
      <c r="B40" s="25" t="s">
        <v>93</v>
      </c>
      <c r="C40" s="25"/>
      <c r="D40" s="26" cm="1">
        <f t="array" ref="D40">Financial_Impact_Dashboard!M18</f>
        <v>30.773734022317569</v>
      </c>
      <c r="E40" s="25" t="s">
        <v>94</v>
      </c>
      <c r="G40" s="17" t="s">
        <v>95</v>
      </c>
      <c r="H40" s="28" t="s">
        <v>96</v>
      </c>
      <c r="I40" s="28" t="s">
        <v>97</v>
      </c>
    </row>
    <row r="41" spans="2:14" ht="17.25" customHeight="1">
      <c r="B41" s="25" t="s">
        <v>98</v>
      </c>
      <c r="C41" s="25"/>
      <c r="D41" s="29" cm="1">
        <f t="array" ref="D41">Financial_Impact_Dashboard!D42</f>
        <v>0.22139897693010843</v>
      </c>
      <c r="E41" s="25" t="s">
        <v>99</v>
      </c>
      <c r="G41" s="17" t="s">
        <v>100</v>
      </c>
      <c r="H41" s="28" t="s">
        <v>96</v>
      </c>
      <c r="I41" s="28" t="s">
        <v>101</v>
      </c>
    </row>
    <row r="42" spans="2:14" ht="17.25" customHeight="1">
      <c r="B42" s="25" t="s">
        <v>102</v>
      </c>
      <c r="C42" s="25"/>
      <c r="D42" s="26">
        <f>Sensitivity_Analysis!F15/1000000000</f>
        <v>1474.9119355872538</v>
      </c>
      <c r="E42" s="25" t="s">
        <v>103</v>
      </c>
      <c r="G42" s="17" t="s">
        <v>104</v>
      </c>
      <c r="H42" s="28" t="s">
        <v>96</v>
      </c>
      <c r="I42" s="28" t="s">
        <v>105</v>
      </c>
    </row>
    <row r="44" spans="2:14" ht="12.75" customHeight="1">
      <c r="B44" s="30" t="s">
        <v>106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</row>
    <row r="45" spans="2:14" ht="12.75" customHeight="1">
      <c r="B45" s="30" t="s">
        <v>107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</sheetData>
  <sheetProtection algorithmName="SHA-512" hashValue="IVEuzUIKFxJDPsHOTq9zSsdkAWRsb9lZteNlHdJfot5HGki4TyGhpdQcIX+Pm4RfKYJOGvNZeWUR8E6u3GStTg==" saltValue="yl1ZIYS0j9hqM+6mpaI3Vw==" spinCount="100000" sheet="1" objects="1" scenarios="1"/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Inputs</vt:lpstr>
      <vt:lpstr>Depreciation_Scenario_Analysis</vt:lpstr>
      <vt:lpstr>Financial_Impact_Dashboard</vt:lpstr>
      <vt:lpstr>Balance_Sheet_Impact</vt:lpstr>
      <vt:lpstr>Sensitivity_Analysis</vt:lpstr>
      <vt:lpstr>Historical_Integration</vt:lpstr>
      <vt:lpstr>Asset Data Pullman</vt:lpstr>
      <vt:lpstr>Asset Data Circuit Mandalika</vt:lpstr>
      <vt:lpstr>Maintenance History</vt:lpstr>
      <vt:lpstr>Financial_Statements</vt:lpstr>
      <vt:lpstr>ESL_Analysis_Pullman</vt:lpstr>
      <vt:lpstr>Market_Value_Pullman</vt:lpstr>
      <vt:lpstr>Executive_Summary</vt:lpstr>
      <vt:lpstr>Visual_Dashboard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A. Azzam</cp:lastModifiedBy>
  <dcterms:created xsi:type="dcterms:W3CDTF">2025-05-22T23:41:35Z</dcterms:created>
  <dcterms:modified xsi:type="dcterms:W3CDTF">2025-11-19T07:05:12Z</dcterms:modified>
</cp:coreProperties>
</file>