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4"/>
  </bookViews>
  <sheets>
    <sheet r:id="rId1" name="Inputs" sheetId="1"/>
    <sheet r:id="rId2" name="Transaction" sheetId="2"/>
    <sheet r:id="rId3" name="Financial_Model" sheetId="3"/>
    <sheet r:id="rId4" name="Debt_Schedule" sheetId="4"/>
    <sheet r:id="rId5" name="Returns" sheetId="5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<sst xmlns="http://schemas.openxmlformats.org/spreadsheetml/2006/main" count="152" uniqueCount="152">
  <si>
    <t>LBO MODEL - INPUTS &amp; ASSUMPTIONS</t>
  </si>
  <si>
    <t>TRANSACTION ASSUMPTIONS</t>
  </si>
  <si>
    <t>Transaction Date</t>
  </si>
  <si>
    <t>1/1/2024</t>
  </si>
  <si>
    <t>Enterprise Value ($mm)</t>
  </si>
  <si>
    <t>Entry EV / LTM EBITDA</t>
  </si>
  <si>
    <t>Less: Cash Acquired ($mm)</t>
  </si>
  <si>
    <t>Plus: Debt Assumed ($mm)</t>
  </si>
  <si>
    <t>Transaction Fees (% of EV)</t>
  </si>
  <si>
    <t>Financing Fees (% of Debt)</t>
  </si>
  <si>
    <t>OPERATING ASSUMPTIONS</t>
  </si>
  <si>
    <t>LTM Revenue ($mm)</t>
  </si>
  <si>
    <t>LTM EBITDA ($mm)</t>
  </si>
  <si>
    <t>Revenue Growth Rate (Annual)</t>
  </si>
  <si>
    <t>EBITDA Margin</t>
  </si>
  <si>
    <t>D&amp;A (% of Revenue)</t>
  </si>
  <si>
    <t>CapEx (% of Revenue)</t>
  </si>
  <si>
    <t>NWC (% of Revenue)</t>
  </si>
  <si>
    <t>Tax Rate</t>
  </si>
  <si>
    <t>FINANCING STRUCTURE</t>
  </si>
  <si>
    <t>Revolver Commitment ($mm)</t>
  </si>
  <si>
    <t>Revolver Interest Rate</t>
  </si>
  <si>
    <t>Term Loan B ($mm)</t>
  </si>
  <si>
    <t>Term Loan B Interest Rate</t>
  </si>
  <si>
    <t>TLB Amortization (% p.a.)</t>
  </si>
  <si>
    <t>Senior Notes ($mm)</t>
  </si>
  <si>
    <t>Senior Notes Interest Rate</t>
  </si>
  <si>
    <t>Senior Notes Maturity (Years)</t>
  </si>
  <si>
    <t>Subordinated Notes ($mm)</t>
  </si>
  <si>
    <t>Subordinated Notes Interest Rate</t>
  </si>
  <si>
    <t>Subordinated Notes Maturity (Years)</t>
  </si>
  <si>
    <t>EXIT ASSUMPTIONS</t>
  </si>
  <si>
    <t>Holding Period (Years)</t>
  </si>
  <si>
    <t>Exit EV / EBITDA Multiple</t>
  </si>
  <si>
    <t>Exit Year Cash Balance ($mm)</t>
  </si>
  <si>
    <t>SOURCES &amp; USES OF FUNDS</t>
  </si>
  <si>
    <t>SOURCES</t>
  </si>
  <si>
    <t>$mm</t>
  </si>
  <si>
    <t>%</t>
  </si>
  <si>
    <t>VALUATION MULTIPLES</t>
  </si>
  <si>
    <t>Revolver</t>
  </si>
  <si>
    <t>Term Loan B</t>
  </si>
  <si>
    <t>Entry EV / LTM Revenue</t>
  </si>
  <si>
    <t>Senior Notes</t>
  </si>
  <si>
    <t>Implied EBITDA Margin</t>
  </si>
  <si>
    <t>Subordinated Notes</t>
  </si>
  <si>
    <t>Total Debt / EBITDA</t>
  </si>
  <si>
    <t>Sponsor Equity</t>
  </si>
  <si>
    <t>Equity / Total Cap</t>
  </si>
  <si>
    <t>Debt / Equity</t>
  </si>
  <si>
    <t>Total Sources</t>
  </si>
  <si>
    <t>USES</t>
  </si>
  <si>
    <t>Purchase Enterprise Value</t>
  </si>
  <si>
    <t>Less: Cash Acquired</t>
  </si>
  <si>
    <t>Plus: Debt Assumed</t>
  </si>
  <si>
    <t>Equity Purchase Price</t>
  </si>
  <si>
    <t>Transaction Fees</t>
  </si>
  <si>
    <t>Financing Fees</t>
  </si>
  <si>
    <t>Other Fees &amp; Expenses</t>
  </si>
  <si>
    <t>Total Uses</t>
  </si>
  <si>
    <t>PURCHASE PRICE ALLOCATION</t>
  </si>
  <si>
    <t>Enterprise Value</t>
  </si>
  <si>
    <t>Less: Existing Cash</t>
  </si>
  <si>
    <t>Implied Equity Value</t>
  </si>
  <si>
    <t>Plus: Net Debt Assumed</t>
  </si>
  <si>
    <t>Plus: Transaction Costs</t>
  </si>
  <si>
    <t>Total Funds Required</t>
  </si>
  <si>
    <t>FINANCIAL PROJECTION MODEL</t>
  </si>
  <si>
    <t>($mm)</t>
  </si>
  <si>
    <t>LTM</t>
  </si>
  <si>
    <t>Year 1</t>
  </si>
  <si>
    <t>Year 2</t>
  </si>
  <si>
    <t>Year 3</t>
  </si>
  <si>
    <t>Year 4</t>
  </si>
  <si>
    <t>Year 5</t>
  </si>
  <si>
    <t>Revenue</t>
  </si>
  <si>
    <t>EBITDA</t>
  </si>
  <si>
    <t>Less: D&amp;A</t>
  </si>
  <si>
    <t>EBIT</t>
  </si>
  <si>
    <t>Less: Interest Expense</t>
  </si>
  <si>
    <t>EBT</t>
  </si>
  <si>
    <t>Less: Taxes</t>
  </si>
  <si>
    <t>Net Income</t>
  </si>
  <si>
    <t>CASH FLOW</t>
  </si>
  <si>
    <t>Less: Cash Taxes</t>
  </si>
  <si>
    <t>Less: CapEx</t>
  </si>
  <si>
    <t>Less: Increase in NWC</t>
  </si>
  <si>
    <t>Unlevered FCF</t>
  </si>
  <si>
    <t>Less: Mandatory Amortization</t>
  </si>
  <si>
    <t>Levered FCF</t>
  </si>
  <si>
    <t>KEY METRICS</t>
  </si>
  <si>
    <t>Revenue Growth</t>
  </si>
  <si>
    <t>WORKING CAPITAL ANALYSIS</t>
  </si>
  <si>
    <t>Beginning NWC</t>
  </si>
  <si>
    <t>Ending NWC</t>
  </si>
  <si>
    <t>Change in NWC (Use of Cash)</t>
  </si>
  <si>
    <t>CREDIT &amp; VALUATION METRICS</t>
  </si>
  <si>
    <t>Total Debt Outstanding</t>
  </si>
  <si>
    <t>Net Debt (Debt - Cash)</t>
  </si>
  <si>
    <t>Net Debt / EBITDA</t>
  </si>
  <si>
    <t>Interest Coverage (EBIT / Int)</t>
  </si>
  <si>
    <t>N/A</t>
  </si>
  <si>
    <t>EBITDA - CapEx</t>
  </si>
  <si>
    <t>FCF Yield (FCF / EV Entry)</t>
  </si>
  <si>
    <t>DEBT SCHEDULE &amp; CASH SWEEP ANALYSIS</t>
  </si>
  <si>
    <t>REVOLVER</t>
  </si>
  <si>
    <t>Beginning Balance</t>
  </si>
  <si>
    <t>Ending Balance</t>
  </si>
  <si>
    <t>TERM LOAN B</t>
  </si>
  <si>
    <t>Ending Bal (Before Sweep)</t>
  </si>
  <si>
    <t>CASH SWEEP ANALYSIS</t>
  </si>
  <si>
    <t>Available Cash (FCF)</t>
  </si>
  <si>
    <t>TLB Optional Paydown</t>
  </si>
  <si>
    <t>TLB Ending Balance (After Sweep)</t>
  </si>
  <si>
    <t>Mandatory Amortization</t>
  </si>
  <si>
    <t>INTEREST EXPENSE</t>
  </si>
  <si>
    <t>Revolver Interest</t>
  </si>
  <si>
    <t>TLB Interest</t>
  </si>
  <si>
    <t>Senior Notes Interest</t>
  </si>
  <si>
    <t>Subordinated Notes Interest</t>
  </si>
  <si>
    <t>Total Interest Expense</t>
  </si>
  <si>
    <t>TOTAL DEBT</t>
  </si>
  <si>
    <t>Total Debt</t>
  </si>
  <si>
    <t>RETURNS ANALYSIS</t>
  </si>
  <si>
    <t>EXIT VALUATION</t>
  </si>
  <si>
    <t>Exit Year</t>
  </si>
  <si>
    <t>Exit Year EBITDA ($mm)</t>
  </si>
  <si>
    <t>Exit Enterprise Value ($mm)</t>
  </si>
  <si>
    <t>Less: Exit Year Debt ($mm)</t>
  </si>
  <si>
    <t>Plus: Exit Year Cash ($mm)</t>
  </si>
  <si>
    <t>Equity Value at Exit ($mm)</t>
  </si>
  <si>
    <t>RETURNS METRICS</t>
  </si>
  <si>
    <t>Initial Equity Investment ($mm)</t>
  </si>
  <si>
    <t>Gross MOIC</t>
  </si>
  <si>
    <t>Gross IRR</t>
  </si>
  <si>
    <t>IRR SENSITIVITY TABLE</t>
  </si>
  <si>
    <t>Exit EV / EBITDA</t>
  </si>
  <si>
    <t>IRR</t>
  </si>
  <si>
    <t>DCF VALUATION ANALYSIS</t>
  </si>
  <si>
    <t>WACC</t>
  </si>
  <si>
    <t>Discount Factor</t>
  </si>
  <si>
    <t>PV of Unlevered FCF</t>
  </si>
  <si>
    <t>Terminal Value (PV)</t>
  </si>
  <si>
    <t>Enterprise Value (DCF)</t>
  </si>
  <si>
    <t>MOIC SENSITIVITY TABLE</t>
  </si>
  <si>
    <t>MOIC</t>
  </si>
  <si>
    <t>TRANSACTION SUMMARY</t>
  </si>
  <si>
    <t>Target IRR Achieved (≥20%)?</t>
  </si>
  <si>
    <t>YES ✓</t>
  </si>
  <si>
    <t>Total Debt Paydown</t>
  </si>
  <si>
    <t>Equity Value Created</t>
  </si>
  <si>
    <t>Levered IRR vs Entry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</si>
</sst>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516" formatCode="#,##0.0"/>
  </numFmts>
  <fonts count="27">
    <font>
      <b val="0"/>
      <i val="0"/>
      <sz val="12"/>
      <color theme="1"/>
      <name val="Calibri"/>
      <scheme val="minor"/>
    </font>
    <font>
      <b val="0"/>
      <i val="0"/>
      <sz val="12"/>
      <color theme="1"/>
      <name val="Aptos Narrow"/>
      <scheme val="minor"/>
    </font>
    <font>
      <b val="0"/>
      <i val="0"/>
      <sz val="14"/>
      <color rgb="FFFFFFFF"/>
      <name val="Calibri"/>
    </font>
    <font>
      <b val="0"/>
      <i val="0"/>
      <sz val="11"/>
      <color rgb="FFFFFFFF"/>
      <name val="Calibri"/>
    </font>
    <font>
      <b val="0"/>
      <i val="0"/>
      <color rgb="FFFFFFFF"/>
      <name val="Calibri"/>
      <scheme val="minor"/>
    </font>
    <font>
      <b val="0"/>
      <i val="0"/>
      <color rgb="FF0000FF"/>
      <name val="Calibri"/>
      <scheme val="minor"/>
    </font>
    <font>
      <b val="0"/>
      <i val="0"/>
      <color rgb="FF008000"/>
      <name val="Calibri"/>
      <scheme val="minor"/>
    </font>
    <font>
      <b val="0"/>
      <i val="0"/>
      <color auto="1"/>
      <name val="Calibri"/>
      <scheme val="minor"/>
    </font>
    <font>
      <b val="0"/>
      <i val="0"/>
      <color rgb="FF000000"/>
      <name val="Calibri"/>
      <scheme val="minor"/>
    </font>
    <font>
      <b val="0"/>
      <i val="0"/>
      <sz val="11"/>
      <color rgb="FF000000"/>
      <name val="Calibri"/>
    </font>
    <font>
      <b val="0"/>
      <i val="0"/>
      <sz val="11"/>
      <color auto="1"/>
      <name val="Calibri"/>
    </font>
    <font>
      <b val="0"/>
      <i val="0"/>
      <sz val="12"/>
      <color rgb="FF000000"/>
      <name val="Calibri"/>
    </font>
    <font>
      <b val="0"/>
      <i val="0"/>
      <sz val="12"/>
      <color rgb="FFFFFFFF"/>
      <name val="Calibri"/>
      <scheme val="minor"/>
    </font>
    <font>
      <b val="0"/>
      <i val="0"/>
      <sz val="12"/>
      <color rgb="FF0000FF"/>
      <name val="Calibri"/>
      <scheme val="minor"/>
    </font>
    <font>
      <b val="0"/>
      <i val="0"/>
      <sz val="11"/>
      <color rgb="FFFFFFFF"/>
      <name val="Calibri"/>
    </font>
    <font>
      <b val="0"/>
      <i val="0"/>
      <sz val="12"/>
      <color rgb="FF008000"/>
      <name val="Calibri"/>
      <scheme val="minor"/>
    </font>
    <font>
      <b val="0"/>
      <i val="0"/>
      <sz val="12"/>
      <color auto="1"/>
      <name val="Calibri"/>
      <scheme val="minor"/>
    </font>
    <font>
      <b val="0"/>
      <i val="0"/>
      <sz val="12"/>
      <color rgb="FF000000"/>
      <name val="Calibri"/>
      <scheme val="minor"/>
    </font>
    <font>
      <b val="0"/>
      <i val="0"/>
      <sz val="12"/>
      <color rgb="FFFFFFFF"/>
      <name val="Calibri"/>
      <scheme val="minor"/>
    </font>
    <font>
      <b val="0"/>
      <i val="0"/>
      <sz val="12"/>
      <color theme="1"/>
      <name val="Calibri"/>
    </font>
    <font>
      <b val="0"/>
      <i val="0"/>
      <sz val="14"/>
      <color rgb="FFFFFFFF"/>
      <name val="Calibri"/>
    </font>
    <font>
      <b val="0"/>
      <i val="0"/>
      <sz val="12"/>
      <color theme="1"/>
      <name val="Calibri"/>
    </font>
    <font>
      <b val="0"/>
      <i val="0"/>
      <sz val="12"/>
      <color rgb="FF008000"/>
      <name val="Calibri"/>
    </font>
    <font>
      <b val="0"/>
      <i val="0"/>
      <sz val="12"/>
      <color rgb="FF008000"/>
      <name val="Calibri"/>
    </font>
    <font>
      <b val="0"/>
      <i val="0"/>
      <sz val="12"/>
      <color rgb="FF000000"/>
      <name val="Calibri"/>
    </font>
    <font>
      <b val="0"/>
      <i val="0"/>
      <sz val="12"/>
      <color rgb="FF000000"/>
      <name val="Calibri"/>
    </font>
    <font>
      <b val="0"/>
      <i val="0"/>
      <sz val="11"/>
      <color rgb="FF375623"/>
      <name val="Calibri"/>
    </font>
  </fonts>
  <fills count="6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FFD966"/>
      </patternFill>
    </fill>
    <fill>
      <patternFill patternType="solid">
        <fgColor rgb="FFC6E0B4"/>
      </patternFill>
    </fill>
    <fill>
      <patternFill patternType="solid">
        <fgColor rgb="FFE2EFDA"/>
      </patternFill>
    </fill>
    <fill>
      <patternFill patternType="solid">
        <fgColor rgb="FFF4B084"/>
      </patternFill>
    </fill>
    <fill>
      <patternFill patternType="solid">
        <fgColor rgb="FFFBE5D6"/>
      </patternFill>
    </fill>
    <fill>
      <patternFill patternType="solid">
        <fgColor rgb="FFD5A6E6"/>
      </patternFill>
    </fill>
    <fill>
      <patternFill patternType="solid">
        <fgColor rgb="FFE4CCEF"/>
      </patternFill>
    </fill>
    <fill>
      <patternFill patternType="solid">
        <fgColor rgb="FF548235"/>
      </patternFill>
    </fill>
    <fill>
      <patternFill patternType="solid">
        <fgColor rgb="FF70AD47"/>
      </patternFill>
    </fill>
    <fill>
      <patternFill patternType="solid">
        <fgColor rgb="FFFFE699"/>
      </patternFill>
    </fill>
    <fill>
      <patternFill patternType="solid">
        <fgColor rgb="FFA9D08E"/>
      </patternFill>
    </fill>
    <fill>
      <patternFill patternType="solid">
        <fgColor rgb="FFC65911"/>
      </patternFill>
    </fill>
    <fill>
      <patternFill patternType="solid">
        <fgColor rgb="FFED7D31"/>
      </patternFill>
    </fill>
    <fill>
      <patternFill patternType="solid">
        <fgColor rgb="FFF8CBAD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9DC3E6"/>
      </patternFill>
    </fill>
    <fill>
      <patternFill patternType="solid">
        <fgColor rgb="FF7030A0"/>
      </patternFill>
    </fill>
    <fill>
      <patternFill patternType="solid">
        <fgColor rgb="FF9966CC"/>
      </patternFill>
    </fill>
    <fill>
      <patternFill patternType="solid">
        <fgColor rgb="FFF2E6F5"/>
      </patternFill>
    </fill>
    <fill>
      <patternFill patternType="solid">
        <fgColor rgb="FF833C0C"/>
      </patternFill>
    </fill>
    <fill>
      <patternFill patternType="solid">
        <fgColor rgb="FFFFF9E6"/>
      </patternFill>
    </fill>
    <fill>
      <patternFill patternType="solid">
        <fgColor rgb="FFFEF2E8"/>
      </patternFill>
    </fill>
    <fill>
      <patternFill patternType="solid">
        <fgColor rgb="FFC00000"/>
      </patternFill>
    </fill>
    <fill>
      <patternFill patternType="solid">
        <fgColor rgb="FFE74C3C"/>
      </patternFill>
    </fill>
    <fill>
      <patternFill patternType="solid">
        <fgColor rgb="FFF4CCCC"/>
      </patternFill>
    </fill>
    <fill>
      <patternFill patternType="solid">
        <fgColor rgb="FFFCE5E5"/>
      </patternFill>
    </fill>
    <fill>
      <patternFill patternType="solid">
        <fgColor rgb="FF375623"/>
      </patternFill>
    </fill>
    <fill>
      <patternFill patternType="solid">
        <fgColor rgb="FF92D050"/>
      </patternFill>
    </fill>
    <fill>
      <patternFill patternType="solid">
        <fgColor rgb="FFBF8F00"/>
      </patternFill>
    </fill>
    <fill>
      <patternFill patternType="solid">
        <fgColor rgb="FFF1C232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B6D7A8"/>
      </patternFill>
    </fill>
    <fill>
      <patternFill patternType="solid">
        <fgColor rgb="FF4472C4"/>
      </patternFill>
    </fill>
    <fill>
      <patternFill patternType="solid">
        <fgColor rgb="FFFFD96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E4CCEF"/>
      </patternFill>
    </fill>
    <fill>
      <patternFill patternType="solid">
        <fgColor rgb="FF9966CC"/>
      </patternFill>
    </fill>
    <fill>
      <patternFill patternType="solid">
        <fgColor rgb="FFC65911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833C0C"/>
      </patternFill>
    </fill>
    <fill>
      <patternFill patternType="solid">
        <fgColor rgb="FF2F5496"/>
      </patternFill>
    </fill>
    <fill>
      <patternFill patternType="solid">
        <fgColor rgb="FFD0E8F2"/>
      </patternFill>
    </fill>
    <fill>
      <patternFill patternType="solid">
        <fgColor rgb="FF9DC3E6"/>
      </patternFill>
    </fill>
    <fill>
      <patternFill patternType="solid">
        <fgColor rgb="FFF4B084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92D050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FFF9CC"/>
      </patternFill>
    </fill>
    <fill>
      <patternFill patternType="solid">
        <fgColor rgb="FFB6D7A8"/>
      </patternFill>
    </fill>
    <fill>
      <patternFill patternType="solid">
        <fgColor rgb="FFBF8F00"/>
      </patternFill>
    </fill>
    <fill>
      <patternFill patternType="solid">
        <fgColor rgb="FFBDD7EE"/>
      </patternFill>
    </fill>
  </fills>
  <borders count="9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142">
    <xf numFmtId="0" fontId="0" fillId="0" borderId="1" xfId="0"/>
    <xf numFmtId="0" fontId="2" fillId="2" borderId="1" xfId="0">
      <alignment vertical="top"/>
    </xf>
    <xf numFmtId="0" fontId="3" fillId="3" borderId="6" xfId="0">
      <alignment vertical="top"/>
    </xf>
    <xf numFmtId="0" fontId="12" fillId="4" borderId="6" xfId="0">
      <alignment vertical="top"/>
    </xf>
    <xf numFmtId="516" fontId="13" fillId="5" borderId="1" xfId="0">
      <alignment vertical="top"/>
    </xf>
    <xf numFmtId="516" fontId="13" fillId="0" borderId="1" xfId="0">
      <alignment vertical="top"/>
    </xf>
    <xf numFmtId="10" fontId="13" fillId="0" borderId="1" xfId="0">
      <alignment vertical="top"/>
    </xf>
    <xf numFmtId="516" fontId="13" fillId="6" borderId="1" xfId="0">
      <alignment vertical="top"/>
    </xf>
    <xf numFmtId="10" fontId="13" fillId="7" borderId="1" xfId="0">
      <alignment vertical="top"/>
    </xf>
    <xf numFmtId="516" fontId="13" fillId="8" borderId="1" xfId="0">
      <alignment vertical="top"/>
    </xf>
    <xf numFmtId="516" fontId="13" fillId="9" borderId="1" xfId="0">
      <alignment vertical="top"/>
    </xf>
    <xf numFmtId="3" fontId="13" fillId="0" borderId="1" xfId="0">
      <alignment vertical="top"/>
    </xf>
    <xf numFmtId="3" fontId="13" fillId="10" borderId="1" xfId="0">
      <alignment vertical="top"/>
    </xf>
    <xf numFmtId="516" fontId="13" fillId="11" borderId="1" xfId="0">
      <alignment vertical="top"/>
    </xf>
    <xf numFmtId="0" fontId="3" fillId="12" borderId="6" xfId="0">
      <alignment vertical="top"/>
    </xf>
    <xf numFmtId="0" fontId="3" fillId="13" borderId="6" xfId="0">
      <alignment vertical="top"/>
    </xf>
    <xf numFmtId="0" fontId="14" fillId="42" borderId="6" xfId="0"/>
    <xf numFmtId="516" fontId="15" fillId="0" borderId="1" xfId="0">
      <alignment vertical="top"/>
    </xf>
    <xf numFmtId="10" fontId="16" fillId="0" borderId="1" xfId="0">
      <alignment vertical="top"/>
    </xf>
    <xf numFmtId="516" fontId="0" fillId="43" borderId="1" xfId="0"/>
    <xf numFmtId="516" fontId="0" fillId="0" borderId="1" xfId="0"/>
    <xf numFmtId="10" fontId="0" fillId="0" borderId="1" xfId="0"/>
    <xf numFmtId="516" fontId="0" fillId="44" borderId="1" xfId="0"/>
    <xf numFmtId="0" fontId="16" fillId="14" borderId="1" xfId="0">
      <alignment vertical="top"/>
    </xf>
    <xf numFmtId="516" fontId="17" fillId="14" borderId="1" xfId="0">
      <alignment vertical="top"/>
    </xf>
    <xf numFmtId="10" fontId="16" fillId="14" borderId="1" xfId="0">
      <alignment vertical="top"/>
    </xf>
    <xf numFmtId="10" fontId="0" fillId="45" borderId="1" xfId="0"/>
    <xf numFmtId="0" fontId="16" fillId="15" borderId="7" xfId="0">
      <alignment vertical="top"/>
    </xf>
    <xf numFmtId="516" fontId="17" fillId="15" borderId="7" xfId="0">
      <alignment vertical="top"/>
    </xf>
    <xf numFmtId="10" fontId="16" fillId="15" borderId="7" xfId="0">
      <alignment vertical="top"/>
    </xf>
    <xf numFmtId="0" fontId="3" fillId="16" borderId="6" xfId="0">
      <alignment vertical="top"/>
    </xf>
    <xf numFmtId="0" fontId="3" fillId="17" borderId="6" xfId="0">
      <alignment vertical="top"/>
    </xf>
    <xf numFmtId="516" fontId="15" fillId="18" borderId="1" xfId="0">
      <alignment vertical="top"/>
    </xf>
    <xf numFmtId="0" fontId="16" fillId="19" borderId="7" xfId="0">
      <alignment vertical="top"/>
    </xf>
    <xf numFmtId="516" fontId="17" fillId="19" borderId="7" xfId="0">
      <alignment vertical="top"/>
    </xf>
    <xf numFmtId="10" fontId="16" fillId="19" borderId="7" xfId="0">
      <alignment vertical="top"/>
    </xf>
    <xf numFmtId="0" fontId="16" fillId="8" borderId="8" xfId="0">
      <alignment vertical="top"/>
    </xf>
    <xf numFmtId="516" fontId="17" fillId="8" borderId="8" xfId="0">
      <alignment vertical="top"/>
    </xf>
    <xf numFmtId="10" fontId="16" fillId="8" borderId="8" xfId="0">
      <alignment vertical="top"/>
    </xf>
    <xf numFmtId="0" fontId="14" fillId="46" borderId="6" xfId="0"/>
    <xf numFmtId="0" fontId="0" fillId="47" borderId="7" xfId="0"/>
    <xf numFmtId="516" fontId="0" fillId="47" borderId="7" xfId="0"/>
    <xf numFmtId="10" fontId="0" fillId="47" borderId="7" xfId="0"/>
    <xf numFmtId="0" fontId="18" fillId="48" borderId="8" xfId="0"/>
    <xf numFmtId="516" fontId="18" fillId="48" borderId="8" xfId="0"/>
    <xf numFmtId="10" fontId="18" fillId="48" borderId="8" xfId="0"/>
    <xf numFmtId="0" fontId="3" fillId="3" borderId="6" xfId="0">
      <alignment horizontal="center" vertical="top"/>
    </xf>
    <xf numFmtId="0" fontId="3" fillId="4" borderId="6" xfId="0">
      <alignment horizontal="center" vertical="top"/>
    </xf>
    <xf numFmtId="0" fontId="16" fillId="20" borderId="1" xfId="0">
      <alignment vertical="top"/>
    </xf>
    <xf numFmtId="516" fontId="15" fillId="21" borderId="1" xfId="0">
      <alignment vertical="top"/>
    </xf>
    <xf numFmtId="0" fontId="16" fillId="6" borderId="1" xfId="0">
      <alignment vertical="top"/>
    </xf>
    <xf numFmtId="516" fontId="15" fillId="7" borderId="1" xfId="0">
      <alignment vertical="top"/>
    </xf>
    <xf numFmtId="0" fontId="16" fillId="22" borderId="7" xfId="0">
      <alignment vertical="top"/>
    </xf>
    <xf numFmtId="516" fontId="17" fillId="22" borderId="7" xfId="0">
      <alignment vertical="top"/>
    </xf>
    <xf numFmtId="516" fontId="17" fillId="0" borderId="1" xfId="0">
      <alignment vertical="top"/>
    </xf>
    <xf numFmtId="0" fontId="16" fillId="5" borderId="7" xfId="0">
      <alignment vertical="top"/>
    </xf>
    <xf numFmtId="516" fontId="17" fillId="14" borderId="7" xfId="0">
      <alignment vertical="top"/>
    </xf>
    <xf numFmtId="0" fontId="3" fillId="23" borderId="6" xfId="0">
      <alignment vertical="top"/>
    </xf>
    <xf numFmtId="0" fontId="16" fillId="24" borderId="7" xfId="0">
      <alignment vertical="top"/>
    </xf>
    <xf numFmtId="516" fontId="17" fillId="20" borderId="7" xfId="0">
      <alignment vertical="top"/>
    </xf>
    <xf numFmtId="0" fontId="16" fillId="8" borderId="7" xfId="0">
      <alignment vertical="top"/>
    </xf>
    <xf numFmtId="516" fontId="17" fillId="18" borderId="7" xfId="0">
      <alignment vertical="top"/>
    </xf>
    <xf numFmtId="0" fontId="3" fillId="25" borderId="6" xfId="0">
      <alignment vertical="top"/>
    </xf>
    <xf numFmtId="0" fontId="3" fillId="26" borderId="6" xfId="0">
      <alignment vertical="top"/>
    </xf>
    <xf numFmtId="0" fontId="13" fillId="0" borderId="1" xfId="0">
      <alignment vertical="top"/>
    </xf>
    <xf numFmtId="10" fontId="17" fillId="0" borderId="1" xfId="0">
      <alignment vertical="top"/>
    </xf>
    <xf numFmtId="0" fontId="16" fillId="11" borderId="1" xfId="0">
      <alignment vertical="top"/>
    </xf>
    <xf numFmtId="0" fontId="13" fillId="27" borderId="1" xfId="0">
      <alignment vertical="top"/>
    </xf>
    <xf numFmtId="516" fontId="15" fillId="27" borderId="1" xfId="0">
      <alignment vertical="top"/>
    </xf>
    <xf numFmtId="516" fontId="19" fillId="47" borderId="7" xfId="0"/>
    <xf numFmtId="0" fontId="14" fillId="49" borderId="6" xfId="0"/>
    <xf numFmtId="516" fontId="19" fillId="44" borderId="1" xfId="0"/>
    <xf numFmtId="516" fontId="0" fillId="50" borderId="1" xfId="0"/>
    <xf numFmtId="516" fontId="19" fillId="50" borderId="1" xfId="0"/>
    <xf numFmtId="0" fontId="0" fillId="45" borderId="1" xfId="0"/>
    <xf numFmtId="0" fontId="19" fillId="45" borderId="1" xfId="0"/>
    <xf numFmtId="10" fontId="0" fillId="51" borderId="1" xfId="0"/>
    <xf numFmtId="10" fontId="19" fillId="51" borderId="1" xfId="0"/>
    <xf numFmtId="0" fontId="20" fillId="52" borderId="1" xfId="0"/>
    <xf numFmtId="0" fontId="3" fillId="16" borderId="6" xfId="0">
      <alignment horizontal="center" vertical="top"/>
    </xf>
    <xf numFmtId="0" fontId="3" fillId="17" borderId="6" xfId="0">
      <alignment horizontal="center" vertical="top"/>
    </xf>
    <xf numFmtId="0" fontId="16" fillId="22" borderId="1" xfId="0">
      <alignment vertical="top"/>
    </xf>
    <xf numFmtId="516" fontId="13" fillId="29" borderId="1" xfId="0">
      <alignment vertical="top"/>
    </xf>
    <xf numFmtId="0" fontId="16" fillId="8" borderId="1" xfId="0">
      <alignment vertical="top"/>
    </xf>
    <xf numFmtId="0" fontId="16" fillId="9" borderId="1" xfId="0">
      <alignment vertical="top"/>
    </xf>
    <xf numFmtId="516" fontId="15" fillId="30" borderId="1" xfId="0">
      <alignment vertical="top"/>
    </xf>
    <xf numFmtId="516" fontId="17" fillId="30" borderId="1" xfId="0">
      <alignment vertical="top"/>
    </xf>
    <xf numFmtId="0" fontId="14" fillId="53" borderId="6" xfId="0"/>
    <xf numFmtId="0" fontId="14" fillId="53" borderId="6" xfId="0"/>
    <xf numFmtId="0" fontId="21" fillId="54" borderId="1" xfId="0"/>
    <xf numFmtId="516" fontId="22" fillId="54" borderId="1" xfId="0"/>
    <xf numFmtId="516" fontId="23" fillId="54" borderId="1" xfId="0"/>
    <xf numFmtId="516" fontId="24" fillId="55" borderId="1" xfId="0"/>
    <xf numFmtId="516" fontId="25" fillId="55" borderId="1" xfId="0"/>
    <xf numFmtId="0" fontId="0" fillId="56" borderId="1" xfId="0"/>
    <xf numFmtId="516" fontId="0" fillId="56" borderId="1" xfId="0"/>
    <xf numFmtId="516" fontId="19" fillId="56" borderId="1" xfId="0"/>
    <xf numFmtId="0" fontId="3" fillId="31" borderId="6" xfId="0">
      <alignment vertical="top"/>
    </xf>
    <xf numFmtId="0" fontId="3" fillId="32" borderId="6" xfId="0">
      <alignment vertical="top"/>
    </xf>
    <xf numFmtId="0" fontId="16" fillId="33" borderId="7" xfId="0">
      <alignment vertical="top"/>
    </xf>
    <xf numFmtId="516" fontId="17" fillId="34" borderId="7" xfId="0">
      <alignment vertical="top"/>
    </xf>
    <xf numFmtId="0" fontId="2" fillId="35" borderId="1" xfId="0">
      <alignment vertical="top"/>
    </xf>
    <xf numFmtId="3" fontId="15" fillId="0" borderId="1" xfId="0">
      <alignment vertical="top"/>
    </xf>
    <xf numFmtId="516" fontId="15" fillId="6" borderId="1" xfId="0">
      <alignment vertical="top"/>
    </xf>
    <xf numFmtId="0" fontId="16" fillId="36" borderId="7" xfId="0">
      <alignment vertical="top"/>
    </xf>
    <xf numFmtId="516" fontId="17" fillId="6" borderId="7" xfId="0">
      <alignment vertical="top"/>
    </xf>
    <xf numFmtId="0" fontId="12" fillId="13" borderId="8" xfId="0">
      <alignment vertical="top"/>
    </xf>
    <xf numFmtId="516" fontId="9" fillId="36" borderId="8" xfId="0">
      <alignment vertical="top"/>
    </xf>
    <xf numFmtId="0" fontId="3" fillId="37" borderId="6" xfId="0">
      <alignment vertical="top"/>
    </xf>
    <xf numFmtId="0" fontId="3" fillId="38" borderId="6" xfId="0">
      <alignment vertical="top"/>
    </xf>
    <xf numFmtId="516" fontId="15" fillId="14" borderId="1" xfId="0">
      <alignment vertical="top"/>
    </xf>
    <xf numFmtId="0" fontId="10" fillId="5" borderId="1" xfId="0">
      <alignment vertical="top"/>
    </xf>
    <xf numFmtId="516" fontId="11" fillId="14" borderId="1" xfId="0">
      <alignment vertical="top"/>
    </xf>
    <xf numFmtId="0" fontId="10" fillId="38" borderId="1" xfId="0">
      <alignment vertical="top"/>
    </xf>
    <xf numFmtId="10" fontId="11" fillId="5" borderId="1" xfId="0">
      <alignment vertical="top"/>
    </xf>
    <xf numFmtId="0" fontId="16" fillId="24" borderId="1" xfId="0">
      <alignment vertical="top"/>
    </xf>
    <xf numFmtId="516" fontId="16" fillId="20" borderId="1" xfId="0">
      <alignment horizontal="center" vertical="top"/>
    </xf>
    <xf numFmtId="10" fontId="15" fillId="33" borderId="1" xfId="0">
      <alignment vertical="top"/>
    </xf>
    <xf numFmtId="10" fontId="15" fillId="39" borderId="1" xfId="0">
      <alignment vertical="top"/>
    </xf>
    <xf numFmtId="10" fontId="15" fillId="22" borderId="1" xfId="0">
      <alignment vertical="top"/>
    </xf>
    <xf numFmtId="10" fontId="15" fillId="40" borderId="1" xfId="0">
      <alignment vertical="top"/>
    </xf>
    <xf numFmtId="10" fontId="15" fillId="41" borderId="1" xfId="0">
      <alignment vertical="top"/>
    </xf>
    <xf numFmtId="0" fontId="14" fillId="35" borderId="6" xfId="0"/>
    <xf numFmtId="0" fontId="0" fillId="57" borderId="1" xfId="0">
      <alignment horizontal="center" vertical="bottom"/>
    </xf>
    <xf numFmtId="10" fontId="0" fillId="58" borderId="1" xfId="0"/>
    <xf numFmtId="10" fontId="19" fillId="58" borderId="1" xfId="0"/>
    <xf numFmtId="4" fontId="0" fillId="0" borderId="1" xfId="0"/>
    <xf numFmtId="516" fontId="0" fillId="45" borderId="1" xfId="0"/>
    <xf numFmtId="516" fontId="19" fillId="45" borderId="1" xfId="0"/>
    <xf numFmtId="516" fontId="0" fillId="59" borderId="1" xfId="0"/>
    <xf numFmtId="0" fontId="18" fillId="60" borderId="7" xfId="0"/>
    <xf numFmtId="516" fontId="18" fillId="60" borderId="7" xfId="0"/>
    <xf numFmtId="516" fontId="0" fillId="55" borderId="1" xfId="0">
      <alignment horizontal="center" vertical="bottom"/>
    </xf>
    <xf numFmtId="516" fontId="0" fillId="61" borderId="1" xfId="0"/>
    <xf numFmtId="516" fontId="0" fillId="62" borderId="1" xfId="0"/>
    <xf numFmtId="516" fontId="0" fillId="51" borderId="1" xfId="0"/>
    <xf numFmtId="516" fontId="0" fillId="63" borderId="1" xfId="0"/>
    <xf numFmtId="0" fontId="14" fillId="64" borderId="6" xfId="0"/>
    <xf numFmtId="0" fontId="26" fillId="0" borderId="1" xfId="0"/>
    <xf numFmtId="516" fontId="0" fillId="58" borderId="1" xfId="0"/>
    <xf numFmtId="10" fontId="0" fillId="65" borderId="1" xfId="0"/>
    <xf numFmtId="516" fontId="0" fillId="65" borderId="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E1F9C98-79A8-D465-8938-7B1B9EF2F008}" mc:Ignorable="x14ac xr xr2 xr3">
  <dimension ref="A1:GR50000"/>
  <sheetViews>
    <sheetView showGridLines="0" topLeftCell="A1" workbookViewId="0">
      <selection activeCell="C2" sqref="C2"/>
    </sheetView>
  </sheetViews>
  <sheetFormatPr defaultRowHeight="15" defaultColWidth="7.75390625" customHeight="1"/>
  <cols>
    <col min="2" max="2" width="38.125" customWidth="1"/>
    <col min="3" max="3" width="15.00390625" customWidth="1"/>
  </cols>
  <sheetData>
    <row r="2" ht="18.75" customHeight="1">
      <c r="B2" s="1" t="s">
        <v>0</v>
      </c>
    </row>
    <row r="4" ht="15.75" customHeight="1">
      <c r="B4" s="2" t="s">
        <v>1</v>
      </c>
      <c r="C4" s="3"/>
      <c r="D4" s="3"/>
    </row>
    <row r="5" ht="16.5" customHeight="1">
      <c r="B5" t="s">
        <v>2</v>
      </c>
      <c r="C5" t="s">
        <v>3</v>
      </c>
    </row>
    <row r="6" ht="16.5" customHeight="1">
      <c r="B6" t="s">
        <v>4</v>
      </c>
      <c r="C6" s="4">
        <v>500</v>
      </c>
    </row>
    <row r="7" ht="16.5" customHeight="1">
      <c r="B7" t="s">
        <v>5</v>
      </c>
      <c r="C7" s="4">
        <v>10</v>
      </c>
    </row>
    <row r="8" ht="16.5" customHeight="1">
      <c r="B8" t="s">
        <v>6</v>
      </c>
      <c r="C8" s="5">
        <v>10</v>
      </c>
    </row>
    <row r="9" ht="16.5" customHeight="1">
      <c r="B9" t="s">
        <v>7</v>
      </c>
      <c r="C9" s="5">
        <v>0</v>
      </c>
    </row>
    <row r="10" ht="16.5" customHeight="1">
      <c r="B10" t="s">
        <v>8</v>
      </c>
      <c r="C10" s="6">
        <v>0.02</v>
      </c>
    </row>
    <row r="11" ht="16.5" customHeight="1">
      <c r="B11" t="s">
        <v>9</v>
      </c>
      <c r="C11" s="6">
        <v>0.03</v>
      </c>
    </row>
    <row r="13" ht="15.75" customHeight="1">
      <c r="B13" s="2" t="s">
        <v>10</v>
      </c>
      <c r="C13" s="3"/>
      <c r="D13" s="3"/>
    </row>
    <row r="14" ht="16.5" customHeight="1">
      <c r="B14" t="s">
        <v>11</v>
      </c>
      <c r="C14" s="7">
        <v>200</v>
      </c>
    </row>
    <row r="15" ht="16.5" customHeight="1">
      <c r="B15" t="s">
        <v>12</v>
      </c>
      <c r="C15" s="7">
        <v>50</v>
      </c>
    </row>
    <row r="16" ht="16.5" customHeight="1">
      <c r="B16" t="s">
        <v>13</v>
      </c>
      <c r="C16" s="8">
        <v>0.05</v>
      </c>
    </row>
    <row r="17" ht="16.5" customHeight="1">
      <c r="B17" t="s">
        <v>14</v>
      </c>
      <c r="C17" s="8">
        <v>0.25</v>
      </c>
    </row>
    <row r="18" ht="16.5" customHeight="1">
      <c r="B18" t="s">
        <v>15</v>
      </c>
      <c r="C18" s="6">
        <v>0.03</v>
      </c>
    </row>
    <row r="19" ht="16.5" customHeight="1">
      <c r="B19" t="s">
        <v>16</v>
      </c>
      <c r="C19" s="6">
        <v>0.02</v>
      </c>
    </row>
    <row r="20" ht="16.5" customHeight="1">
      <c r="B20" t="s">
        <v>17</v>
      </c>
      <c r="C20" s="6">
        <v>0.1</v>
      </c>
    </row>
    <row r="21" ht="16.5" customHeight="1">
      <c r="B21" t="s">
        <v>18</v>
      </c>
      <c r="C21" s="6">
        <v>0.25</v>
      </c>
    </row>
    <row r="23" ht="15.75" customHeight="1">
      <c r="B23" s="2" t="s">
        <v>19</v>
      </c>
      <c r="C23" s="3"/>
      <c r="D23" s="3"/>
    </row>
    <row r="24" ht="16.5" customHeight="1">
      <c r="B24" t="s">
        <v>20</v>
      </c>
      <c r="C24" s="9">
        <v>25</v>
      </c>
    </row>
    <row r="25" ht="16.5" customHeight="1">
      <c r="B25" t="s">
        <v>21</v>
      </c>
      <c r="C25" s="6">
        <v>0.055</v>
      </c>
    </row>
    <row r="26" ht="15" customHeight="1">
      <c r="B26">
        <v>0</v>
      </c>
    </row>
    <row r="27" ht="16.5" customHeight="1">
      <c r="B27" t="s">
        <v>22</v>
      </c>
      <c r="C27" s="9">
        <v>250</v>
      </c>
    </row>
    <row r="28" ht="16.5" customHeight="1">
      <c r="B28" t="s">
        <v>23</v>
      </c>
      <c r="C28" s="6">
        <v>0.065</v>
      </c>
    </row>
    <row r="29" ht="16.5" customHeight="1">
      <c r="B29" t="s">
        <v>24</v>
      </c>
      <c r="C29" s="6">
        <v>0.01</v>
      </c>
    </row>
    <row r="30" ht="15" customHeight="1">
      <c r="B30">
        <v>0</v>
      </c>
    </row>
    <row r="31" ht="16.5" customHeight="1">
      <c r="B31" t="s">
        <v>25</v>
      </c>
      <c r="C31" s="10">
        <v>100</v>
      </c>
    </row>
    <row r="32" ht="16.5" customHeight="1">
      <c r="B32" t="s">
        <v>26</v>
      </c>
      <c r="C32" s="6">
        <v>0.075</v>
      </c>
    </row>
    <row r="33" ht="16.5" customHeight="1">
      <c r="B33" t="s">
        <v>27</v>
      </c>
      <c r="C33" s="11">
        <v>8</v>
      </c>
    </row>
    <row r="34" ht="15" customHeight="1">
      <c r="B34">
        <v>0</v>
      </c>
    </row>
    <row r="35" ht="16.5" customHeight="1">
      <c r="B35" t="s">
        <v>28</v>
      </c>
      <c r="C35" s="10">
        <v>50</v>
      </c>
    </row>
    <row r="36" ht="16.5" customHeight="1">
      <c r="B36" t="s">
        <v>29</v>
      </c>
      <c r="C36" s="6">
        <v>0.095</v>
      </c>
    </row>
    <row r="37" ht="16.5" customHeight="1">
      <c r="B37" t="s">
        <v>30</v>
      </c>
      <c r="C37" s="11">
        <v>9</v>
      </c>
    </row>
    <row r="39" ht="15.75" customHeight="1">
      <c r="B39" s="2" t="s">
        <v>31</v>
      </c>
      <c r="C39" s="3"/>
      <c r="D39" s="3"/>
    </row>
    <row r="40" ht="16.5" customHeight="1">
      <c r="B40" t="s">
        <v>32</v>
      </c>
      <c r="C40" s="12">
        <v>5</v>
      </c>
    </row>
    <row r="41" ht="16.5" customHeight="1">
      <c r="B41" t="s">
        <v>33</v>
      </c>
      <c r="C41" s="13">
        <v>10.5</v>
      </c>
    </row>
    <row r="42" ht="16.5" customHeight="1">
      <c r="B42" t="s">
        <v>34</v>
      </c>
      <c r="C42" s="5">
        <v>15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3153A21-E3BE-2402-E624-3D7A34B2FBDE}" mc:Ignorable="x14ac xr xr2 xr3">
  <dimension ref="A1:GR50000"/>
  <sheetViews>
    <sheetView showGridLines="0" topLeftCell="A19" workbookViewId="0">
      <selection activeCell="A1" sqref="A1"/>
    </sheetView>
  </sheetViews>
  <sheetFormatPr defaultRowHeight="15" defaultColWidth="7.75390625" customHeight="1"/>
  <cols>
    <col min="2" max="2" width="27.50390625" customWidth="1"/>
    <col min="3" max="3" width="12.50390625" customWidth="1"/>
    <col min="4" max="4" width="10.00390625" customWidth="1"/>
    <col min="6" max="6" width="25.00390625" customWidth="1"/>
    <col min="7" max="7" width="12.50390625" customWidth="1"/>
  </cols>
  <sheetData>
    <row r="2" ht="18.75" customHeight="1">
      <c r="B2" s="1" t="s">
        <v>35</v>
      </c>
    </row>
    <row r="4" ht="15.75" customHeight="1">
      <c r="B4" s="14" t="s">
        <v>36</v>
      </c>
      <c r="C4" s="15" t="s">
        <v>37</v>
      </c>
      <c r="D4" s="15" t="s">
        <v>38</v>
      </c>
      <c r="F4" s="16" t="s">
        <v>39</v>
      </c>
      <c r="G4" s="16"/>
    </row>
    <row r="5" ht="16.5" customHeight="1">
      <c r="B5" t="s">
        <v>40</v>
      </c>
      <c r="C5" s="17" cm="1">
        <f t="array" ref="C5">Inputs!C24</f>
        <v>25</v>
      </c>
      <c r="D5" s="18">
        <f t="shared" si="0" ref="D5:D17">C5/C11</f>
        <v>0.0487567040468064</v>
      </c>
      <c r="F5" t="s">
        <v>5</v>
      </c>
      <c r="G5" s="19" cm="1">
        <f t="array" ref="G5">Inputs!C7</f>
        <v>10</v>
      </c>
    </row>
    <row r="6" ht="16.5" customHeight="1">
      <c r="B6" t="s">
        <v>41</v>
      </c>
      <c r="C6" s="17" cm="1">
        <f t="array" ref="C6">Inputs!C27</f>
        <v>250</v>
      </c>
      <c r="D6" s="18">
        <f t="shared" si="3" ref="D6:D27">C6/C11</f>
        <v>0.487567040468064</v>
      </c>
      <c r="F6" t="s">
        <v>42</v>
      </c>
      <c r="G6" s="20">
        <f>C14/Inputs!C14</f>
        <v>2.5</v>
      </c>
    </row>
    <row r="7" ht="16.5" customHeight="1">
      <c r="B7" t="s">
        <v>43</v>
      </c>
      <c r="C7" s="17" cm="1">
        <f t="array" ref="C7">Inputs!C31</f>
        <v>100</v>
      </c>
      <c r="D7" s="18">
        <f t="shared" si="1" ref="D7:D28">C7/C11</f>
        <v>0.195026816187226</v>
      </c>
      <c r="F7" t="s">
        <v>44</v>
      </c>
      <c r="G7" s="21">
        <f>Inputs!C15/Inputs!C14</f>
        <v>0.25</v>
      </c>
    </row>
    <row r="8" ht="16.5" customHeight="1">
      <c r="B8" t="s">
        <v>45</v>
      </c>
      <c r="C8" s="17" cm="1">
        <f t="array" ref="C8">Inputs!C35</f>
        <v>50</v>
      </c>
      <c r="D8" s="18">
        <f t="shared" si="2" ref="D8:D29">C8/C11</f>
        <v>0.0975134080936129</v>
      </c>
      <c r="F8" t="s">
        <v>46</v>
      </c>
      <c r="G8" s="22">
        <f>(C5+C6+C7+C8)/Inputs!C15</f>
        <v>8.5</v>
      </c>
    </row>
    <row r="9" ht="16.5" customHeight="1">
      <c r="B9" s="23" t="s">
        <v>47</v>
      </c>
      <c r="C9" s="24">
        <f>C23-C5-C6-C7-C8</f>
        <v>87.75</v>
      </c>
      <c r="D9" s="25">
        <f>C9/C23</f>
        <v>0.171136031204291</v>
      </c>
      <c r="F9" t="s">
        <v>48</v>
      </c>
      <c r="G9" s="26">
        <f>C9/C11</f>
        <v>0.171136031204291</v>
      </c>
    </row>
    <row r="10" ht="16.5" customHeight="1">
      <c r="B10">
        <v>0</v>
      </c>
      <c r="F10" t="s">
        <v>49</v>
      </c>
      <c r="G10" s="20">
        <f>(C5+C6+C7+C8)/C9</f>
        <v>4.84330484330484</v>
      </c>
    </row>
    <row r="11" ht="16.5" customHeight="1">
      <c r="B11" s="27" t="s">
        <v>50</v>
      </c>
      <c r="C11" s="28">
        <f>C5+C6+C7+C8+C9</f>
        <v>512.75</v>
      </c>
      <c r="D11" s="29">
        <f>C11/C23</f>
        <v>1</v>
      </c>
    </row>
    <row r="13" ht="15.75" customHeight="1">
      <c r="B13" s="30" t="s">
        <v>51</v>
      </c>
      <c r="C13" s="31" t="s">
        <v>37</v>
      </c>
      <c r="D13" s="31" t="s">
        <v>38</v>
      </c>
    </row>
    <row r="14" ht="16.5" customHeight="1">
      <c r="B14" t="s">
        <v>52</v>
      </c>
      <c r="C14" s="32" cm="1">
        <f t="array" ref="C14">Inputs!C6</f>
        <v>500</v>
      </c>
      <c r="D14" s="18">
        <f>C14/C23</f>
        <v>0.975134080936129</v>
      </c>
    </row>
    <row r="15" ht="16.5" customHeight="1">
      <c r="B15" t="s">
        <v>53</v>
      </c>
      <c r="C15" s="17">
        <f>-Inputs!C8</f>
        <v>-10</v>
      </c>
      <c r="D15" s="18">
        <f>C15/C23</f>
        <v>-0.0195026816187226</v>
      </c>
    </row>
    <row r="16" ht="16.5" customHeight="1">
      <c r="B16" t="s">
        <v>54</v>
      </c>
      <c r="C16" s="17" cm="1">
        <f t="array" ref="C16">Inputs!C9</f>
        <v>0</v>
      </c>
      <c r="D16" s="18">
        <f>C16/C23</f>
        <v>0</v>
      </c>
    </row>
    <row r="17" ht="16.5" customHeight="1">
      <c r="B17" s="33" t="s">
        <v>55</v>
      </c>
      <c r="C17" s="34">
        <f t="shared" si="5" ref="C17:C32">C14+C15+C16</f>
        <v>490</v>
      </c>
      <c r="D17" s="35">
        <f t="shared" si="0"/>
        <v>0.955631399317406</v>
      </c>
    </row>
    <row r="18" ht="15" customHeight="1">
      <c r="B18">
        <v>0</v>
      </c>
    </row>
    <row r="19" ht="16.5" customHeight="1">
      <c r="B19" t="s">
        <v>56</v>
      </c>
      <c r="C19" s="17">
        <f>Inputs!C6*Inputs!C10</f>
        <v>10</v>
      </c>
      <c r="D19" s="18">
        <f t="shared" si="1"/>
        <v>0.0195026816187226</v>
      </c>
    </row>
    <row r="20" ht="16.5" customHeight="1">
      <c r="B20" t="s">
        <v>57</v>
      </c>
      <c r="C20" s="17">
        <f>(C5+C6+C7+C8)*Inputs!C11</f>
        <v>12.75</v>
      </c>
      <c r="D20" s="18">
        <f t="shared" si="2"/>
        <v>0.0248659190638713</v>
      </c>
    </row>
    <row r="21" ht="16.5" customHeight="1">
      <c r="B21" t="s">
        <v>58</v>
      </c>
      <c r="C21" s="5">
        <v>0</v>
      </c>
      <c r="D21" s="18">
        <f t="shared" si="4" ref="D21:D30">C21/C23</f>
        <v>0</v>
      </c>
    </row>
    <row r="22" ht="15" customHeight="1">
      <c r="B22">
        <v>0</v>
      </c>
    </row>
    <row r="23" ht="16.5" customHeight="1">
      <c r="B23" s="36" t="s">
        <v>59</v>
      </c>
      <c r="C23" s="37">
        <f>C17+C19+C20+C21</f>
        <v>512.75</v>
      </c>
      <c r="D23" s="38">
        <f t="shared" si="6" ref="D23:D32">C23/C23</f>
        <v>1</v>
      </c>
    </row>
    <row r="25" ht="15" customHeight="1">
      <c r="B25">
        <v>0</v>
      </c>
    </row>
    <row r="26" ht="15.75" customHeight="1">
      <c r="B26" s="39" t="s">
        <v>60</v>
      </c>
      <c r="C26" s="39"/>
      <c r="D26" s="39"/>
    </row>
    <row r="27" ht="16.5" customHeight="1">
      <c r="B27" t="s">
        <v>61</v>
      </c>
      <c r="C27" s="20" cm="1">
        <f t="array" ref="C27">C14</f>
        <v>500</v>
      </c>
      <c r="D27" s="21">
        <f t="shared" si="3"/>
        <v>0.975134080936129</v>
      </c>
    </row>
    <row r="28" ht="16.5" customHeight="1">
      <c r="B28" t="s">
        <v>62</v>
      </c>
      <c r="C28" s="20" cm="1">
        <f t="array" ref="C28">C15</f>
        <v>-10</v>
      </c>
      <c r="D28" s="21">
        <f t="shared" si="1"/>
        <v>-0.0195026816187226</v>
      </c>
    </row>
    <row r="29" ht="16.5" customHeight="1">
      <c r="B29" s="40" t="s">
        <v>63</v>
      </c>
      <c r="C29" s="41">
        <f>C27+C28</f>
        <v>490</v>
      </c>
      <c r="D29" s="42">
        <f t="shared" si="2"/>
        <v>0.955631399317406</v>
      </c>
    </row>
    <row r="30" ht="16.5" customHeight="1">
      <c r="B30" t="s">
        <v>64</v>
      </c>
      <c r="C30" s="20" cm="1">
        <f t="array" ref="C30">C16</f>
        <v>0</v>
      </c>
      <c r="D30" s="21">
        <f t="shared" si="4"/>
        <v>0</v>
      </c>
    </row>
    <row r="31" ht="16.5" customHeight="1">
      <c r="B31" t="s">
        <v>65</v>
      </c>
      <c r="C31" s="20">
        <f>C19+C20+C21</f>
        <v>22.75</v>
      </c>
      <c r="D31" s="21">
        <f>C31/C32</f>
        <v>0.0443686006825939</v>
      </c>
    </row>
    <row r="32" ht="16.5" customHeight="1">
      <c r="B32" s="43" t="s">
        <v>66</v>
      </c>
      <c r="C32" s="44">
        <f t="shared" si="5"/>
        <v>512.75</v>
      </c>
      <c r="D32" s="45">
        <f t="shared" si="6"/>
        <v>1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3B901ED-6A78-76D1-EAC2-FC35591FA229}" mc:Ignorable="x14ac xr xr2 xr3">
  <dimension ref="A1:GR50000"/>
  <sheetViews>
    <sheetView showGridLines="0" topLeftCell="A1" workbookViewId="0">
      <selection activeCell="B19" sqref="B19"/>
    </sheetView>
  </sheetViews>
  <sheetFormatPr defaultRowHeight="15" defaultColWidth="7.75390625" customHeight="1"/>
  <cols>
    <col min="2" max="2" width="27.50390625" customWidth="1"/>
    <col min="3" max="8" width="11.25390625" customWidth="1"/>
  </cols>
  <sheetData>
    <row r="2" ht="18.75" customHeight="1">
      <c r="B2" s="1" t="s">
        <v>67</v>
      </c>
    </row>
    <row r="4" ht="15.75" customHeight="1">
      <c r="B4" s="46" t="s">
        <v>68</v>
      </c>
      <c r="C4" s="47" t="s">
        <v>69</v>
      </c>
      <c r="D4" s="47" t="s">
        <v>70</v>
      </c>
      <c r="E4" s="47" t="s">
        <v>71</v>
      </c>
      <c r="F4" s="47" t="s">
        <v>72</v>
      </c>
      <c r="G4" s="47" t="s">
        <v>73</v>
      </c>
      <c r="H4" s="47" t="s">
        <v>74</v>
      </c>
    </row>
    <row r="6" ht="16.5" customHeight="1">
      <c r="B6" s="48" t="s">
        <v>75</v>
      </c>
      <c r="C6" s="49" cm="1">
        <f t="array" ref="C6">Inputs!C14</f>
        <v>200</v>
      </c>
      <c r="D6" s="49">
        <f>C6*(1+Inputs!C16)</f>
        <v>210</v>
      </c>
      <c r="E6" s="49">
        <f>D6*(1+Inputs!D16)</f>
        <v>210</v>
      </c>
      <c r="F6" s="49">
        <f>E6*(1+Inputs!E16)</f>
        <v>210</v>
      </c>
      <c r="G6" s="49">
        <f>F6*(1+Inputs!F16)</f>
        <v>210</v>
      </c>
      <c r="H6" s="49">
        <f>G6*(1+Inputs!G16)</f>
        <v>210</v>
      </c>
    </row>
    <row r="7" ht="16.5" customHeight="1">
      <c r="B7" s="50" t="s">
        <v>76</v>
      </c>
      <c r="C7" s="51" cm="1">
        <f t="array" ref="C7">Inputs!C15</f>
        <v>50</v>
      </c>
      <c r="D7" s="51">
        <f>D6*Inputs!C17</f>
        <v>52.5</v>
      </c>
      <c r="E7" s="51">
        <f>E6*Inputs!C17</f>
        <v>52.5</v>
      </c>
      <c r="F7" s="51">
        <f>F6*Inputs!C17</f>
        <v>52.5</v>
      </c>
      <c r="G7" s="51">
        <f>G6*Inputs!C17</f>
        <v>52.5</v>
      </c>
      <c r="H7" s="51">
        <f>H6*Inputs!C17</f>
        <v>52.5</v>
      </c>
    </row>
    <row r="8" ht="16.5" customHeight="1">
      <c r="B8" t="s">
        <v>77</v>
      </c>
      <c r="C8" s="17">
        <f>-C6*Inputs!C18</f>
        <v>-6</v>
      </c>
      <c r="D8" s="17">
        <f>-D6*Inputs!D18</f>
        <v>0</v>
      </c>
      <c r="E8" s="17">
        <f>-E6*Inputs!E18</f>
        <v>0</v>
      </c>
      <c r="F8" s="17">
        <f>-F6*Inputs!F18</f>
        <v>0</v>
      </c>
      <c r="G8" s="17">
        <f>-G6*Inputs!G18</f>
        <v>0</v>
      </c>
      <c r="H8" s="17">
        <f>-H6*Inputs!H18</f>
        <v>0</v>
      </c>
    </row>
    <row r="9" ht="16.5" customHeight="1">
      <c r="B9" s="52" t="s">
        <v>78</v>
      </c>
      <c r="C9" s="53">
        <f t="shared" si="0" ref="C9:H13">C7+C8</f>
        <v>44</v>
      </c>
      <c r="D9" s="53">
        <f t="shared" si="0"/>
        <v>52.5</v>
      </c>
      <c r="E9" s="53">
        <f t="shared" si="0"/>
        <v>52.5</v>
      </c>
      <c r="F9" s="53">
        <f t="shared" si="0"/>
        <v>52.5</v>
      </c>
      <c r="G9" s="53">
        <f t="shared" si="0"/>
        <v>52.5</v>
      </c>
      <c r="H9" s="53">
        <f t="shared" si="0"/>
        <v>52.5</v>
      </c>
    </row>
    <row r="10" ht="16.5" customHeight="1">
      <c r="B10" t="s">
        <v>79</v>
      </c>
      <c r="C10" s="5">
        <v>0</v>
      </c>
      <c r="D10" s="17">
        <f>-Debt_Schedule!C26</f>
        <v>-16.25</v>
      </c>
      <c r="E10" s="17">
        <f>-Debt_Schedule!D26</f>
        <v>0</v>
      </c>
      <c r="F10" s="17">
        <f>-Debt_Schedule!E26</f>
        <v>0</v>
      </c>
      <c r="G10" s="17">
        <f>-Debt_Schedule!F26</f>
        <v>0</v>
      </c>
      <c r="H10" s="17">
        <f>-Debt_Schedule!G26</f>
        <v>0</v>
      </c>
    </row>
    <row r="11" ht="16.5" customHeight="1">
      <c r="B11" t="s">
        <v>80</v>
      </c>
      <c r="C11" s="54">
        <f t="shared" si="0"/>
        <v>44</v>
      </c>
      <c r="D11" s="54">
        <f t="shared" si="0"/>
        <v>36.25</v>
      </c>
      <c r="E11" s="54">
        <f t="shared" si="0"/>
        <v>52.5</v>
      </c>
      <c r="F11" s="54">
        <f t="shared" si="0"/>
        <v>52.5</v>
      </c>
      <c r="G11" s="54">
        <f t="shared" si="0"/>
        <v>52.5</v>
      </c>
      <c r="H11" s="54">
        <f t="shared" si="0"/>
        <v>52.5</v>
      </c>
    </row>
    <row r="12" ht="16.5" customHeight="1">
      <c r="B12" t="s">
        <v>81</v>
      </c>
      <c r="C12" s="17">
        <f>-C11*Inputs!C21</f>
        <v>-11</v>
      </c>
      <c r="D12" s="17">
        <f>-D11*Inputs!D21</f>
        <v>0</v>
      </c>
      <c r="E12" s="17">
        <f>-E11*Inputs!E21</f>
        <v>0</v>
      </c>
      <c r="F12" s="17">
        <f>-F11*Inputs!F21</f>
        <v>0</v>
      </c>
      <c r="G12" s="17">
        <f>-G11*Inputs!G21</f>
        <v>0</v>
      </c>
      <c r="H12" s="17">
        <f>-H11*Inputs!H21</f>
        <v>0</v>
      </c>
    </row>
    <row r="13" ht="16.5" customHeight="1">
      <c r="B13" s="55" t="s">
        <v>82</v>
      </c>
      <c r="C13" s="56">
        <f t="shared" si="0"/>
        <v>33</v>
      </c>
      <c r="D13" s="56">
        <f t="shared" si="0"/>
        <v>36.25</v>
      </c>
      <c r="E13" s="56">
        <f t="shared" si="0"/>
        <v>52.5</v>
      </c>
      <c r="F13" s="56">
        <f t="shared" si="0"/>
        <v>52.5</v>
      </c>
      <c r="G13" s="56">
        <f t="shared" si="0"/>
        <v>52.5</v>
      </c>
      <c r="H13" s="56">
        <f t="shared" si="0"/>
        <v>52.5</v>
      </c>
    </row>
    <row r="15" ht="15" customHeight="1">
      <c r="B15">
        <v>0</v>
      </c>
    </row>
    <row r="16" ht="15.75" customHeight="1">
      <c r="B16" s="57" t="s">
        <v>83</v>
      </c>
      <c r="C16" s="2"/>
      <c r="D16" s="2"/>
      <c r="E16" s="2"/>
      <c r="F16" s="2"/>
      <c r="G16" s="2"/>
      <c r="H16" s="2"/>
    </row>
    <row r="17" ht="16.5" customHeight="1">
      <c r="B17" t="s">
        <v>76</v>
      </c>
      <c r="C17" s="54" cm="1">
        <f t="array" ref="C17">C7</f>
        <v>50</v>
      </c>
      <c r="D17" s="54" cm="1">
        <f t="array" ref="D17">D7</f>
        <v>52.5</v>
      </c>
      <c r="E17" s="54" cm="1">
        <f t="array" ref="E17">E7</f>
        <v>52.5</v>
      </c>
      <c r="F17" s="54" cm="1">
        <f t="array" ref="F17">F7</f>
        <v>52.5</v>
      </c>
      <c r="G17" s="54" cm="1">
        <f t="array" ref="G17">G7</f>
        <v>52.5</v>
      </c>
      <c r="H17" s="54" cm="1">
        <f t="array" ref="H17">H7</f>
        <v>52.5</v>
      </c>
    </row>
    <row r="18" ht="16.5" customHeight="1">
      <c r="B18" t="s">
        <v>84</v>
      </c>
      <c r="C18" s="54" cm="1">
        <f t="array" ref="C18">C12</f>
        <v>-11</v>
      </c>
      <c r="D18" s="54" cm="1">
        <f t="array" ref="D18">D12</f>
        <v>0</v>
      </c>
      <c r="E18" s="54" cm="1">
        <f t="array" ref="E18">E12</f>
        <v>0</v>
      </c>
      <c r="F18" s="54" cm="1">
        <f t="array" ref="F18">F12</f>
        <v>0</v>
      </c>
      <c r="G18" s="54" cm="1">
        <f t="array" ref="G18">G12</f>
        <v>0</v>
      </c>
      <c r="H18" s="54" cm="1">
        <f t="array" ref="H18">H12</f>
        <v>0</v>
      </c>
    </row>
    <row r="19" ht="16.5" customHeight="1">
      <c r="B19" t="s">
        <v>85</v>
      </c>
      <c r="C19" s="17">
        <f>-C6*Inputs!C19</f>
        <v>-4</v>
      </c>
      <c r="D19" s="17">
        <f>-D6*Inputs!D19</f>
        <v>0</v>
      </c>
      <c r="E19" s="17">
        <f>-E6*Inputs!E19</f>
        <v>0</v>
      </c>
      <c r="F19" s="17">
        <f>-F6*Inputs!F19</f>
        <v>0</v>
      </c>
      <c r="G19" s="17">
        <f>-G6*Inputs!G19</f>
        <v>0</v>
      </c>
      <c r="H19" s="17">
        <f>-H6*Inputs!H19</f>
        <v>0</v>
      </c>
    </row>
    <row r="20" ht="16.5" customHeight="1">
      <c r="B20" t="s">
        <v>86</v>
      </c>
      <c r="C20" s="5">
        <v>0</v>
      </c>
      <c r="D20" s="17">
        <f>-(D6*Inputs!C20-C6*Inputs!C20)</f>
        <v>-1</v>
      </c>
      <c r="E20" s="17">
        <f>-(E6*Inputs!D20-D6*Inputs!D20)</f>
        <v>0</v>
      </c>
      <c r="F20" s="17">
        <f>-(F6*Inputs!E20-E6*Inputs!E20)</f>
        <v>0</v>
      </c>
      <c r="G20" s="17">
        <f>-(G6*Inputs!F20-F6*Inputs!F20)</f>
        <v>0</v>
      </c>
      <c r="H20" s="17">
        <f>-(H6*Inputs!G20-G6*Inputs!G20)</f>
        <v>0</v>
      </c>
    </row>
    <row r="21" ht="16.5" customHeight="1">
      <c r="B21" s="58" t="s">
        <v>87</v>
      </c>
      <c r="C21" s="59">
        <f t="shared" si="1" ref="C21:H21">C17+C18+C19+C20</f>
        <v>35</v>
      </c>
      <c r="D21" s="59">
        <f t="shared" si="1"/>
        <v>51.5</v>
      </c>
      <c r="E21" s="59">
        <f t="shared" si="1"/>
        <v>52.5</v>
      </c>
      <c r="F21" s="59">
        <f t="shared" si="1"/>
        <v>52.5</v>
      </c>
      <c r="G21" s="59">
        <f t="shared" si="1"/>
        <v>52.5</v>
      </c>
      <c r="H21" s="59">
        <f t="shared" si="1"/>
        <v>52.5</v>
      </c>
    </row>
    <row r="22" ht="15" customHeight="1">
      <c r="B22">
        <v>0</v>
      </c>
    </row>
    <row r="23" ht="16.5" customHeight="1">
      <c r="B23" t="s">
        <v>79</v>
      </c>
      <c r="C23" s="54" cm="1">
        <f t="array" ref="C23">C10</f>
        <v>0</v>
      </c>
      <c r="D23" s="54" cm="1">
        <f t="array" ref="D23">D10</f>
        <v>-16.25</v>
      </c>
      <c r="E23" s="54" cm="1">
        <f t="array" ref="E23">E10</f>
        <v>0</v>
      </c>
      <c r="F23" s="54" cm="1">
        <f t="array" ref="F23">F10</f>
        <v>0</v>
      </c>
      <c r="G23" s="54" cm="1">
        <f t="array" ref="G23">G10</f>
        <v>0</v>
      </c>
      <c r="H23" s="54" cm="1">
        <f t="array" ref="H23">H10</f>
        <v>0</v>
      </c>
    </row>
    <row r="24" ht="16.5" customHeight="1">
      <c r="B24" t="s">
        <v>88</v>
      </c>
      <c r="C24" s="5">
        <v>0</v>
      </c>
      <c r="D24" s="17">
        <f>-Debt_Schedule!D20</f>
        <v>0</v>
      </c>
      <c r="E24" s="17">
        <f>-Debt_Schedule!E20</f>
        <v>0</v>
      </c>
      <c r="F24" s="17">
        <f>-Debt_Schedule!F20</f>
        <v>0</v>
      </c>
      <c r="G24" s="17">
        <f>-Debt_Schedule!G20</f>
        <v>0</v>
      </c>
      <c r="H24" s="17">
        <f>-Debt_Schedule!H20</f>
        <v>0</v>
      </c>
    </row>
    <row r="25" ht="16.5" customHeight="1">
      <c r="B25" s="60" t="s">
        <v>89</v>
      </c>
      <c r="C25" s="61">
        <f t="shared" si="2" ref="C25:H25">C21+C23+C24</f>
        <v>35</v>
      </c>
      <c r="D25" s="61">
        <f t="shared" si="2"/>
        <v>35.25</v>
      </c>
      <c r="E25" s="61">
        <f t="shared" si="2"/>
        <v>52.5</v>
      </c>
      <c r="F25" s="61">
        <f t="shared" si="2"/>
        <v>52.5</v>
      </c>
      <c r="G25" s="61">
        <f t="shared" si="2"/>
        <v>52.5</v>
      </c>
      <c r="H25" s="61">
        <f t="shared" si="2"/>
        <v>52.5</v>
      </c>
    </row>
    <row r="27" ht="15" customHeight="1">
      <c r="B27">
        <v>0</v>
      </c>
    </row>
    <row r="28" ht="15.75" customHeight="1">
      <c r="B28" s="62" t="s">
        <v>90</v>
      </c>
      <c r="C28" s="63"/>
      <c r="D28" s="63"/>
      <c r="E28" s="63"/>
      <c r="F28" s="63"/>
      <c r="G28" s="63"/>
      <c r="H28" s="63"/>
    </row>
    <row r="29" ht="16.5" customHeight="1">
      <c r="B29" t="s">
        <v>91</v>
      </c>
      <c r="C29" s="64">
        <v>0</v>
      </c>
      <c r="D29" s="65">
        <f t="shared" si="3" ref="D29:H29">D6/C6-1</f>
        <v>0.05</v>
      </c>
      <c r="E29" s="65">
        <f t="shared" si="3"/>
        <v>0</v>
      </c>
      <c r="F29" s="65">
        <f t="shared" si="3"/>
        <v>0</v>
      </c>
      <c r="G29" s="65">
        <f t="shared" si="3"/>
        <v>0</v>
      </c>
      <c r="H29" s="65">
        <f t="shared" si="3"/>
        <v>0</v>
      </c>
    </row>
    <row r="30" ht="16.5" customHeight="1">
      <c r="B30" t="s">
        <v>14</v>
      </c>
      <c r="C30" s="65">
        <f t="shared" si="4" ref="C30:H30">C7/C6</f>
        <v>0.25</v>
      </c>
      <c r="D30" s="65">
        <f t="shared" si="4"/>
        <v>0.25</v>
      </c>
      <c r="E30" s="65">
        <f t="shared" si="4"/>
        <v>0.25</v>
      </c>
      <c r="F30" s="65">
        <f t="shared" si="4"/>
        <v>0.25</v>
      </c>
      <c r="G30" s="65">
        <f t="shared" si="4"/>
        <v>0.25</v>
      </c>
      <c r="H30" s="65">
        <f t="shared" si="4"/>
        <v>0.25</v>
      </c>
    </row>
    <row r="31" ht="16.5" customHeight="1">
      <c r="B31" s="66" t="s">
        <v>46</v>
      </c>
      <c r="C31" s="67">
        <v>0</v>
      </c>
      <c r="D31" s="68">
        <f>Debt_Schedule!D37/D7</f>
        <v>4.76190476190476</v>
      </c>
      <c r="E31" s="68">
        <f>Debt_Schedule!E37/E7</f>
        <v>4.71428571428571</v>
      </c>
      <c r="F31" s="68">
        <f>Debt_Schedule!F37/F7</f>
        <v>4.71428571428571</v>
      </c>
      <c r="G31" s="68">
        <f>Debt_Schedule!G37/G7</f>
        <v>4.71428571428571</v>
      </c>
      <c r="H31" s="68">
        <f>Debt_Schedule!H37/H7</f>
        <v>0</v>
      </c>
    </row>
    <row r="33" ht="15" customHeight="1">
      <c r="B33">
        <v>0</v>
      </c>
    </row>
    <row r="34" ht="15.75" customHeight="1">
      <c r="B34" s="39" t="s">
        <v>92</v>
      </c>
      <c r="C34" s="39"/>
      <c r="D34" s="39"/>
      <c r="E34" s="39"/>
      <c r="F34" s="39"/>
      <c r="G34" s="39"/>
      <c r="H34" s="39"/>
    </row>
    <row r="35" ht="16.5" customHeight="1">
      <c r="B35" t="s">
        <v>93</v>
      </c>
      <c r="C35" s="20">
        <f>C6*Inputs!C20</f>
        <v>20</v>
      </c>
      <c r="D35" s="20">
        <f>D6*Inputs!D20</f>
        <v>0</v>
      </c>
      <c r="E35" s="20">
        <f>E6*Inputs!E20</f>
        <v>0</v>
      </c>
      <c r="F35" s="20">
        <f>F6*Inputs!F20</f>
        <v>0</v>
      </c>
      <c r="G35" s="20">
        <f>G6*Inputs!G20</f>
        <v>0</v>
      </c>
      <c r="H35" s="20">
        <f>H6*Inputs!H20</f>
        <v>0</v>
      </c>
    </row>
    <row r="36" ht="16.5" customHeight="1">
      <c r="B36" t="s">
        <v>94</v>
      </c>
      <c r="C36" s="20">
        <f>C6*Inputs!C20</f>
        <v>20</v>
      </c>
      <c r="D36" s="20">
        <f>D6*Inputs!C20</f>
        <v>21</v>
      </c>
      <c r="E36" s="20">
        <f>E6*Inputs!D20</f>
        <v>0</v>
      </c>
      <c r="F36" s="20">
        <f>F6*Inputs!E20</f>
        <v>0</v>
      </c>
      <c r="G36" s="20">
        <f>G6*Inputs!F20</f>
        <v>0</v>
      </c>
      <c r="H36" s="20">
        <f>H6*Inputs!G20</f>
        <v>0</v>
      </c>
    </row>
    <row r="37" ht="16.5" customHeight="1">
      <c r="B37" s="40" t="s">
        <v>95</v>
      </c>
      <c r="C37" s="41">
        <f t="shared" si="5" ref="C37:H37">C36-C35</f>
        <v>0</v>
      </c>
      <c r="D37" s="69">
        <f t="shared" si="5"/>
        <v>21</v>
      </c>
      <c r="E37" s="69">
        <f t="shared" si="5"/>
        <v>0</v>
      </c>
      <c r="F37" s="69">
        <f t="shared" si="5"/>
        <v>0</v>
      </c>
      <c r="G37" s="69">
        <f t="shared" si="5"/>
        <v>0</v>
      </c>
      <c r="H37" s="69">
        <f t="shared" si="5"/>
        <v>0</v>
      </c>
    </row>
    <row r="39" ht="15" customHeight="1">
      <c r="B39">
        <v>0</v>
      </c>
    </row>
    <row r="40" ht="15.75" customHeight="1">
      <c r="B40" s="70" t="s">
        <v>96</v>
      </c>
      <c r="C40" s="70"/>
      <c r="D40" s="70"/>
      <c r="E40" s="70"/>
      <c r="F40" s="70"/>
      <c r="G40" s="70"/>
      <c r="H40" s="70"/>
    </row>
    <row r="41" ht="16.5" customHeight="1">
      <c r="B41" t="s">
        <v>97</v>
      </c>
      <c r="C41">
        <v>0</v>
      </c>
      <c r="D41" s="20" cm="1">
        <f t="array" ref="D41">Debt_Schedule!D37</f>
        <v>250</v>
      </c>
      <c r="E41" s="20" cm="1">
        <f t="array" ref="E41">Debt_Schedule!E37</f>
        <v>247.5</v>
      </c>
      <c r="F41" s="20" cm="1">
        <f t="array" ref="F41">Debt_Schedule!F37</f>
        <v>247.5</v>
      </c>
      <c r="G41" s="20" cm="1">
        <f t="array" ref="G41">Debt_Schedule!G37</f>
        <v>247.5</v>
      </c>
      <c r="H41" s="20" cm="1">
        <f t="array" ref="H41">Debt_Schedule!H37</f>
        <v>0</v>
      </c>
    </row>
    <row r="42" ht="16.5" customHeight="1">
      <c r="B42" t="s">
        <v>98</v>
      </c>
      <c r="C42">
        <v>0</v>
      </c>
      <c r="D42" s="22">
        <f>D41-Inputs!C42</f>
        <v>235</v>
      </c>
      <c r="E42" s="71">
        <f>E41-Inputs!D42</f>
        <v>247.5</v>
      </c>
      <c r="F42" s="71">
        <f>F41-Inputs!E42</f>
        <v>247.5</v>
      </c>
      <c r="G42" s="71">
        <f>G41-Inputs!F42</f>
        <v>247.5</v>
      </c>
      <c r="H42" s="71">
        <f>H41-Inputs!G42</f>
        <v>0</v>
      </c>
    </row>
    <row r="43" ht="16.5" customHeight="1">
      <c r="B43" t="s">
        <v>99</v>
      </c>
      <c r="C43">
        <v>0</v>
      </c>
      <c r="D43" s="72">
        <f t="shared" si="6" ref="D43:H43">D42/D7</f>
        <v>4.47619047619048</v>
      </c>
      <c r="E43" s="73">
        <f t="shared" si="6"/>
        <v>4.71428571428571</v>
      </c>
      <c r="F43" s="73">
        <f t="shared" si="6"/>
        <v>4.71428571428571</v>
      </c>
      <c r="G43" s="73">
        <f t="shared" si="6"/>
        <v>4.71428571428571</v>
      </c>
      <c r="H43" s="73">
        <f t="shared" si="6"/>
        <v>0</v>
      </c>
    </row>
    <row r="44" ht="16.5" customHeight="1">
      <c r="B44" t="s">
        <v>100</v>
      </c>
      <c r="C44">
        <v>0</v>
      </c>
      <c r="D44" s="74">
        <f t="shared" si="7" ref="D44:H44">IF(-D10&gt;0,D9/(-D10),"N/A")</f>
        <v>3.23076923076923</v>
      </c>
      <c r="E44" s="75" t="str">
        <f t="shared" si="7"/>
        <v>N/A</v>
      </c>
      <c r="F44" s="75" t="str">
        <f t="shared" si="7"/>
        <v>N/A</v>
      </c>
      <c r="G44" s="75" t="str">
        <f t="shared" si="7"/>
        <v>N/A</v>
      </c>
      <c r="H44" s="75" t="str">
        <f t="shared" si="7"/>
        <v>N/A</v>
      </c>
    </row>
    <row r="45" ht="16.5" customHeight="1">
      <c r="B45" t="s">
        <v>102</v>
      </c>
      <c r="C45" s="20">
        <f t="shared" si="8" ref="C45:H45">C7+C19</f>
        <v>46</v>
      </c>
      <c r="D45" s="20">
        <f t="shared" si="8"/>
        <v>52.5</v>
      </c>
      <c r="E45" s="20">
        <f t="shared" si="8"/>
        <v>52.5</v>
      </c>
      <c r="F45" s="20">
        <f t="shared" si="8"/>
        <v>52.5</v>
      </c>
      <c r="G45" s="20">
        <f t="shared" si="8"/>
        <v>52.5</v>
      </c>
      <c r="H45" s="20">
        <f t="shared" si="8"/>
        <v>52.5</v>
      </c>
    </row>
    <row r="46" ht="16.5" customHeight="1">
      <c r="B46" t="s">
        <v>103</v>
      </c>
      <c r="C46" s="76">
        <f>C21/Inputs!C6</f>
        <v>0.07</v>
      </c>
      <c r="D46" s="77">
        <f>D21/Inputs!C6</f>
        <v>0.103</v>
      </c>
      <c r="E46" s="77">
        <f>E21/Inputs!C6</f>
        <v>0.105</v>
      </c>
      <c r="F46" s="77">
        <f>F21/Inputs!C6</f>
        <v>0.105</v>
      </c>
      <c r="G46" s="77">
        <f>G21/Inputs!C6</f>
        <v>0.105</v>
      </c>
      <c r="H46" s="77">
        <f>H21/Inputs!C6</f>
        <v>0.105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B38D0B8-2B98-ABD4-19E8-E20FC2D38D72}" mc:Ignorable="x14ac xr xr2 xr3">
  <dimension ref="A1:GR50000"/>
  <sheetViews>
    <sheetView showGridLines="0" topLeftCell="A1" workbookViewId="0">
      <selection activeCell="D34" sqref="D34"/>
    </sheetView>
  </sheetViews>
  <sheetFormatPr defaultRowHeight="15" defaultColWidth="7.75390625" customHeight="1"/>
  <cols>
    <col min="2" max="2" width="27.50390625" customWidth="1"/>
    <col min="3" max="7" width="11.25390625" customWidth="1"/>
  </cols>
  <sheetData>
    <row r="2" ht="18.75" customHeight="1">
      <c r="B2" s="78" t="s">
        <v>104</v>
      </c>
    </row>
    <row r="4" ht="15.75" customHeight="1">
      <c r="B4" s="79" t="s">
        <v>68</v>
      </c>
      <c r="C4" s="80" t="s">
        <v>70</v>
      </c>
      <c r="D4" s="80" t="s">
        <v>71</v>
      </c>
      <c r="E4" s="80" t="s">
        <v>72</v>
      </c>
      <c r="F4" s="80" t="s">
        <v>73</v>
      </c>
      <c r="G4" s="80" t="s">
        <v>74</v>
      </c>
    </row>
    <row r="6" ht="16.5" customHeight="1">
      <c r="B6" s="23" t="s">
        <v>105</v>
      </c>
    </row>
    <row r="7" ht="16.5" customHeight="1">
      <c r="B7" t="s">
        <v>106</v>
      </c>
      <c r="C7" s="5">
        <v>0</v>
      </c>
      <c r="D7" s="54" cm="1">
        <f t="array" ref="D7">C8</f>
        <v>0</v>
      </c>
      <c r="E7" s="54" cm="1">
        <f t="array" ref="E7">D8</f>
        <v>0</v>
      </c>
      <c r="F7" s="54" cm="1">
        <f t="array" ref="F7">E8</f>
        <v>0</v>
      </c>
      <c r="G7" s="54" cm="1">
        <f t="array" ref="G7">F8</f>
        <v>0</v>
      </c>
    </row>
    <row r="8" ht="16.5" customHeight="1">
      <c r="B8" s="81" t="s">
        <v>107</v>
      </c>
      <c r="C8" s="82">
        <v>0</v>
      </c>
      <c r="D8" s="82">
        <v>0</v>
      </c>
      <c r="E8" s="82">
        <v>0</v>
      </c>
      <c r="F8" s="82">
        <v>0</v>
      </c>
      <c r="G8" s="82">
        <v>0</v>
      </c>
    </row>
    <row r="10" ht="16.5" customHeight="1">
      <c r="B10" s="83" t="s">
        <v>108</v>
      </c>
    </row>
    <row r="11" ht="16.5" customHeight="1">
      <c r="B11" s="84" t="s">
        <v>106</v>
      </c>
      <c r="C11" s="85" cm="1">
        <f t="array" ref="C11">Inputs!C27</f>
        <v>250</v>
      </c>
      <c r="D11" s="86" cm="1">
        <f t="array" ref="D11">C12</f>
        <v>247.5</v>
      </c>
      <c r="E11" s="86" cm="1">
        <f t="array" ref="E11">D12</f>
        <v>247.5</v>
      </c>
      <c r="F11" s="86" cm="1">
        <f t="array" ref="F11">E12</f>
        <v>247.5</v>
      </c>
      <c r="G11" s="86" cm="1">
        <f t="array" ref="G11">F12</f>
        <v>247.5</v>
      </c>
    </row>
    <row r="12" ht="16.5" customHeight="1">
      <c r="B12" s="84" t="s">
        <v>109</v>
      </c>
      <c r="C12" s="86">
        <f t="shared" si="0" ref="C12:G12">C11-C20</f>
        <v>247.5</v>
      </c>
      <c r="D12" s="86">
        <f t="shared" si="0"/>
        <v>247.5</v>
      </c>
      <c r="E12" s="86">
        <f t="shared" si="0"/>
        <v>247.5</v>
      </c>
      <c r="F12" s="86">
        <f t="shared" si="0"/>
        <v>247.5</v>
      </c>
      <c r="G12" s="86">
        <f t="shared" si="0"/>
        <v>247.5</v>
      </c>
    </row>
    <row r="13" ht="15" customHeight="1">
      <c r="B13">
        <v>0</v>
      </c>
    </row>
    <row r="14" ht="15.75" customHeight="1">
      <c r="B14" s="87" t="s">
        <v>110</v>
      </c>
      <c r="C14" s="88"/>
      <c r="D14" s="88"/>
      <c r="E14" s="88"/>
      <c r="F14" s="88"/>
      <c r="G14" s="88"/>
    </row>
    <row r="15" ht="16.5" customHeight="1">
      <c r="B15" s="89" t="s">
        <v>111</v>
      </c>
      <c r="C15" s="90" cm="1">
        <f t="array" ref="C15">Financial_Model!C25</f>
        <v>35</v>
      </c>
      <c r="D15" s="91" cm="1">
        <f t="array" ref="D15">Financial_Model!D25</f>
        <v>35.25</v>
      </c>
      <c r="E15" s="91" cm="1">
        <f t="array" ref="E15">Financial_Model!E25</f>
        <v>52.5</v>
      </c>
      <c r="F15" s="91" cm="1">
        <f t="array" ref="F15">Financial_Model!F25</f>
        <v>52.5</v>
      </c>
      <c r="G15" s="91" cm="1">
        <f t="array" ref="G15">Financial_Model!G25</f>
        <v>52.5</v>
      </c>
    </row>
    <row r="16" ht="16.5" customHeight="1">
      <c r="B16" s="84" t="s">
        <v>112</v>
      </c>
      <c r="C16" s="92">
        <f t="shared" si="1" ref="C16:G16">MIN(C15,C12)</f>
        <v>35</v>
      </c>
      <c r="D16" s="93">
        <f t="shared" si="1"/>
        <v>35.25</v>
      </c>
      <c r="E16" s="93">
        <f t="shared" si="1"/>
        <v>52.5</v>
      </c>
      <c r="F16" s="93">
        <f t="shared" si="1"/>
        <v>52.5</v>
      </c>
      <c r="G16" s="93">
        <f t="shared" si="1"/>
        <v>52.5</v>
      </c>
    </row>
    <row r="17" ht="16.5" customHeight="1">
      <c r="B17" s="94" t="s">
        <v>113</v>
      </c>
      <c r="C17" s="95">
        <f t="shared" si="2" ref="C17:G17">C12-C16</f>
        <v>212.5</v>
      </c>
      <c r="D17" s="96">
        <f t="shared" si="2"/>
        <v>212.25</v>
      </c>
      <c r="E17" s="96">
        <f t="shared" si="2"/>
        <v>195</v>
      </c>
      <c r="F17" s="96">
        <f t="shared" si="2"/>
        <v>195</v>
      </c>
      <c r="G17" s="96">
        <f t="shared" si="2"/>
        <v>195</v>
      </c>
    </row>
    <row r="18" ht="15" customHeight="1">
      <c r="B18" s="83"/>
    </row>
    <row r="19" ht="16.5" customHeight="1">
      <c r="B19" s="84" t="s">
        <v>106</v>
      </c>
      <c r="C19" s="85" cm="1">
        <f t="array" ref="C19">Inputs!C35</f>
        <v>50</v>
      </c>
      <c r="D19" s="86" cm="1">
        <f t="array" ref="D19">C20</f>
        <v>2.5</v>
      </c>
      <c r="E19" s="86" cm="1">
        <f t="array" ref="E19">D20</f>
        <v>0</v>
      </c>
      <c r="F19" s="86" cm="1">
        <f t="array" ref="F19">E20</f>
        <v>0</v>
      </c>
      <c r="G19" s="86" cm="1">
        <f t="array" ref="G19">F20</f>
        <v>0</v>
      </c>
    </row>
    <row r="20" ht="16.5" customHeight="1">
      <c r="B20" s="84" t="s">
        <v>114</v>
      </c>
      <c r="C20" s="85">
        <f>C11*Inputs!C29</f>
        <v>2.5</v>
      </c>
      <c r="D20" s="85">
        <f>D11*Inputs!D29</f>
        <v>0</v>
      </c>
      <c r="E20" s="85">
        <f>E11*Inputs!E29</f>
        <v>0</v>
      </c>
      <c r="F20" s="85">
        <f>F11*Inputs!F29</f>
        <v>0</v>
      </c>
      <c r="G20" s="85">
        <f>G11*Inputs!G29</f>
        <v>0</v>
      </c>
    </row>
    <row r="21" ht="16.5" customHeight="1">
      <c r="B21" s="84" t="s">
        <v>107</v>
      </c>
      <c r="C21" s="86" cm="1">
        <f t="array" ref="C21">C19</f>
        <v>50</v>
      </c>
      <c r="D21" s="86" cm="1">
        <f t="array" ref="D21">D19</f>
        <v>2.5</v>
      </c>
      <c r="E21" s="86" cm="1">
        <f t="array" ref="E21">E19</f>
        <v>0</v>
      </c>
      <c r="F21" s="86" cm="1">
        <f t="array" ref="F21">F19</f>
        <v>0</v>
      </c>
      <c r="G21" s="86" cm="1">
        <f t="array" ref="G21">G19</f>
        <v>0</v>
      </c>
    </row>
    <row r="23" ht="15" customHeight="1">
      <c r="B23">
        <v>0</v>
      </c>
    </row>
    <row r="24" ht="15.75" customHeight="1">
      <c r="B24" s="97" t="s">
        <v>115</v>
      </c>
      <c r="C24" s="98"/>
      <c r="D24" s="98"/>
      <c r="E24" s="98"/>
      <c r="F24" s="98"/>
      <c r="G24" s="98"/>
    </row>
    <row r="25" ht="16.5" customHeight="1">
      <c r="B25" t="s">
        <v>116</v>
      </c>
      <c r="C25" s="17">
        <f>C7*Inputs!C25</f>
        <v>0</v>
      </c>
      <c r="D25" s="17">
        <f>D7*Inputs!D25</f>
        <v>0</v>
      </c>
      <c r="E25" s="17">
        <f>E7*Inputs!E25</f>
        <v>0</v>
      </c>
      <c r="F25" s="17">
        <f>F7*Inputs!F25</f>
        <v>0</v>
      </c>
      <c r="G25" s="17">
        <f>G7*Inputs!G25</f>
        <v>0</v>
      </c>
    </row>
    <row r="26" ht="16.5" customHeight="1">
      <c r="B26" t="s">
        <v>117</v>
      </c>
      <c r="C26" s="17">
        <f>C11*Inputs!C28</f>
        <v>16.25</v>
      </c>
      <c r="D26" s="17">
        <f>D11*Inputs!D28</f>
        <v>0</v>
      </c>
      <c r="E26" s="17">
        <f>E11*Inputs!E28</f>
        <v>0</v>
      </c>
      <c r="F26" s="17">
        <f>F11*Inputs!F28</f>
        <v>0</v>
      </c>
      <c r="G26" s="17">
        <f>G11*Inputs!G28</f>
        <v>0</v>
      </c>
    </row>
    <row r="27" ht="16.5" customHeight="1">
      <c r="B27" t="s">
        <v>118</v>
      </c>
      <c r="C27" s="17">
        <f>C15*Inputs!C32</f>
        <v>2.625</v>
      </c>
      <c r="D27" s="17">
        <f>D15*Inputs!D32</f>
        <v>0</v>
      </c>
      <c r="E27" s="17">
        <f>E15*Inputs!E32</f>
        <v>0</v>
      </c>
      <c r="F27" s="17">
        <f>F15*Inputs!F32</f>
        <v>0</v>
      </c>
      <c r="G27" s="17">
        <f>G15*Inputs!G32</f>
        <v>0</v>
      </c>
    </row>
    <row r="28" ht="16.5" customHeight="1">
      <c r="B28" t="s">
        <v>119</v>
      </c>
      <c r="C28" s="17">
        <f>C19*Inputs!C36</f>
        <v>4.75</v>
      </c>
      <c r="D28" s="17">
        <f>D19*Inputs!D36</f>
        <v>0</v>
      </c>
      <c r="E28" s="17">
        <f>E19*Inputs!E36</f>
        <v>0</v>
      </c>
      <c r="F28" s="17">
        <f>F19*Inputs!F36</f>
        <v>0</v>
      </c>
      <c r="G28" s="17">
        <f>G19*Inputs!G36</f>
        <v>0</v>
      </c>
    </row>
    <row r="29" ht="16.5" customHeight="1">
      <c r="B29" s="99" t="s">
        <v>120</v>
      </c>
      <c r="C29" s="100">
        <f t="shared" si="3" ref="C29:G37">C25+C26+C27+C28</f>
        <v>23.625</v>
      </c>
      <c r="D29" s="100">
        <f t="shared" si="3"/>
        <v>0</v>
      </c>
      <c r="E29" s="100">
        <f t="shared" si="3"/>
        <v>0</v>
      </c>
      <c r="F29" s="100">
        <f t="shared" si="3"/>
        <v>0</v>
      </c>
      <c r="G29" s="100">
        <f t="shared" si="3"/>
        <v>0</v>
      </c>
    </row>
    <row r="31" ht="15" customHeight="1">
      <c r="B31">
        <v>0</v>
      </c>
    </row>
    <row r="32" ht="15.75" customHeight="1">
      <c r="B32" s="57" t="s">
        <v>121</v>
      </c>
      <c r="C32" s="2"/>
      <c r="D32" s="2"/>
      <c r="E32" s="2"/>
      <c r="F32" s="2"/>
      <c r="G32" s="2"/>
    </row>
    <row r="33" ht="16.5" customHeight="1">
      <c r="B33" t="s">
        <v>40</v>
      </c>
      <c r="C33" s="54" cm="1">
        <f t="array" ref="C33">C8</f>
        <v>0</v>
      </c>
      <c r="D33" s="54" cm="1">
        <f t="array" ref="D33">D8</f>
        <v>0</v>
      </c>
      <c r="E33" s="54" cm="1">
        <f t="array" ref="E33">E8</f>
        <v>0</v>
      </c>
      <c r="F33" s="54" cm="1">
        <f t="array" ref="F33">F8</f>
        <v>0</v>
      </c>
      <c r="G33" s="54" cm="1">
        <f t="array" ref="G33">G8</f>
        <v>0</v>
      </c>
    </row>
    <row r="34" ht="16.5" customHeight="1">
      <c r="B34" t="s">
        <v>41</v>
      </c>
      <c r="C34" s="54" cm="1">
        <f t="array" ref="C34">C17</f>
        <v>212.5</v>
      </c>
      <c r="D34" s="54" cm="1">
        <f t="array" ref="D34">D17</f>
        <v>212.25</v>
      </c>
      <c r="E34" s="54" cm="1">
        <f t="array" ref="E34">E17</f>
        <v>195</v>
      </c>
      <c r="F34" s="54" cm="1">
        <f t="array" ref="F34">F17</f>
        <v>195</v>
      </c>
      <c r="G34" s="54" cm="1">
        <f t="array" ref="G34">G17</f>
        <v>195</v>
      </c>
    </row>
    <row r="35" ht="16.5" customHeight="1">
      <c r="B35" t="s">
        <v>43</v>
      </c>
      <c r="C35" s="54" cm="1">
        <f t="array" ref="C35">C16</f>
        <v>35</v>
      </c>
      <c r="D35" s="54" cm="1">
        <f t="array" ref="D35">D16</f>
        <v>35.25</v>
      </c>
      <c r="E35" s="54" cm="1">
        <f t="array" ref="E35">E16</f>
        <v>52.5</v>
      </c>
      <c r="F35" s="54" cm="1">
        <f t="array" ref="F35">F16</f>
        <v>52.5</v>
      </c>
      <c r="G35" s="54" cm="1">
        <f t="array" ref="G35">G16</f>
        <v>52.5</v>
      </c>
    </row>
    <row r="36" ht="16.5" customHeight="1">
      <c r="B36" t="s">
        <v>45</v>
      </c>
      <c r="C36" s="54" cm="1">
        <f t="array" ref="C36">C21</f>
        <v>50</v>
      </c>
      <c r="D36" s="54" cm="1">
        <f t="array" ref="D36">D21</f>
        <v>2.5</v>
      </c>
      <c r="E36" s="54" cm="1">
        <f t="array" ref="E36">E21</f>
        <v>0</v>
      </c>
      <c r="F36" s="54" cm="1">
        <f t="array" ref="F36">F21</f>
        <v>0</v>
      </c>
      <c r="G36" s="54" cm="1">
        <f t="array" ref="G36">G21</f>
        <v>0</v>
      </c>
    </row>
    <row r="37" ht="16.5" customHeight="1">
      <c r="B37" s="58" t="s">
        <v>122</v>
      </c>
      <c r="C37" s="59">
        <f t="shared" si="3"/>
        <v>297.5</v>
      </c>
      <c r="D37" s="59">
        <f t="shared" si="3"/>
        <v>250</v>
      </c>
      <c r="E37" s="59">
        <f t="shared" si="3"/>
        <v>247.5</v>
      </c>
      <c r="F37" s="59">
        <f t="shared" si="3"/>
        <v>247.5</v>
      </c>
      <c r="G37" s="59">
        <f t="shared" si="3"/>
        <v>247.5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E414D28-DA98-AB04-7E77-CC0ED3C5EF0E}" mc:Ignorable="x14ac xr xr2 xr3">
  <dimension ref="A1:GR50000"/>
  <sheetViews>
    <sheetView showGridLines="0" topLeftCell="A1" workbookViewId="0" tabSelected="1">
      <selection activeCell="A1" sqref="A1"/>
    </sheetView>
  </sheetViews>
  <sheetFormatPr defaultRowHeight="15" defaultColWidth="7.75390625" customHeight="1"/>
  <cols>
    <col min="2" max="2" width="31.25390625" customWidth="1"/>
    <col min="3" max="3" width="13.75390625" customWidth="1"/>
    <col min="4" max="7" width="11.25390625" customWidth="1"/>
  </cols>
  <sheetData>
    <row r="2" ht="18.75" customHeight="1">
      <c r="B2" s="101" t="s">
        <v>123</v>
      </c>
    </row>
    <row r="4" ht="15.75" customHeight="1">
      <c r="B4" s="14" t="s">
        <v>124</v>
      </c>
      <c r="C4" s="15"/>
    </row>
    <row r="5" ht="16.5" customHeight="1">
      <c r="B5" t="s">
        <v>125</v>
      </c>
      <c r="C5" s="102" cm="1">
        <f t="array" ref="C5">Inputs!C40</f>
        <v>5</v>
      </c>
    </row>
    <row r="6" ht="16.5" customHeight="1">
      <c r="B6" t="s">
        <v>126</v>
      </c>
      <c r="C6" s="103" cm="1">
        <f t="array" ref="C6">Financial_Model!H7</f>
        <v>52.5</v>
      </c>
    </row>
    <row r="7" ht="16.5" customHeight="1">
      <c r="B7" t="s">
        <v>33</v>
      </c>
      <c r="C7" s="17" cm="1">
        <f t="array" ref="C7">Inputs!C41</f>
        <v>10.5</v>
      </c>
    </row>
    <row r="8" ht="16.5" customHeight="1">
      <c r="B8" s="104" t="s">
        <v>127</v>
      </c>
      <c r="C8" s="105">
        <f>C6*C7</f>
        <v>551.25</v>
      </c>
    </row>
    <row r="9" ht="15" customHeight="1">
      <c r="B9">
        <v>0</v>
      </c>
    </row>
    <row r="10" ht="16.5" customHeight="1">
      <c r="B10" t="s">
        <v>128</v>
      </c>
      <c r="C10" s="17">
        <f>-Debt_Schedule!G37</f>
        <v>-247.5</v>
      </c>
    </row>
    <row r="11" ht="16.5" customHeight="1">
      <c r="B11" t="s">
        <v>129</v>
      </c>
      <c r="C11" s="17" cm="1">
        <f t="array" ref="C11">Inputs!C42</f>
        <v>15</v>
      </c>
    </row>
    <row r="12" ht="16.5" customHeight="1">
      <c r="B12" s="106" t="s">
        <v>130</v>
      </c>
      <c r="C12" s="107">
        <f>C8+C10+C11</f>
        <v>318.75</v>
      </c>
    </row>
    <row r="14" ht="15" customHeight="1">
      <c r="B14">
        <v>0</v>
      </c>
    </row>
    <row r="15" ht="15.75" customHeight="1">
      <c r="B15" s="108" t="s">
        <v>131</v>
      </c>
      <c r="C15" s="109"/>
    </row>
    <row r="16" ht="16.5" customHeight="1">
      <c r="B16" t="s">
        <v>132</v>
      </c>
      <c r="C16" s="110" cm="1">
        <f t="array" ref="C16">Transaction!C9</f>
        <v>87.75</v>
      </c>
    </row>
    <row r="17" ht="16.5" customHeight="1">
      <c r="B17" t="s">
        <v>130</v>
      </c>
      <c r="C17" s="54" cm="1">
        <f t="array" ref="C17">C12</f>
        <v>318.75</v>
      </c>
    </row>
    <row r="18" ht="15" customHeight="1">
      <c r="B18">
        <v>0</v>
      </c>
    </row>
    <row r="19" ht="16.5" customHeight="1">
      <c r="B19" s="111" t="s">
        <v>133</v>
      </c>
      <c r="C19" s="112">
        <f>C17/C16</f>
        <v>3.63247863247863</v>
      </c>
    </row>
    <row r="20" ht="16.5" customHeight="1">
      <c r="B20" s="113" t="s">
        <v>134</v>
      </c>
      <c r="C20" s="114">
        <f>(C17/C16)^(1/C5)-1</f>
        <v>0.294316875658168</v>
      </c>
    </row>
    <row r="22" ht="15" customHeight="1">
      <c r="B22">
        <v>0</v>
      </c>
    </row>
    <row r="23" ht="15.75" customHeight="1">
      <c r="B23" s="57" t="s">
        <v>135</v>
      </c>
      <c r="C23" s="2"/>
      <c r="D23" s="2"/>
      <c r="E23" s="2"/>
      <c r="F23" s="2"/>
      <c r="G23" s="2"/>
    </row>
    <row r="24" ht="16.5" customHeight="1">
      <c r="B24" s="115" t="s">
        <v>136</v>
      </c>
      <c r="C24" s="116">
        <v>9</v>
      </c>
      <c r="D24" s="116">
        <v>9.5</v>
      </c>
      <c r="E24" s="116">
        <v>10</v>
      </c>
      <c r="F24" s="116">
        <v>10.5</v>
      </c>
      <c r="G24" s="116">
        <v>11</v>
      </c>
    </row>
    <row r="25" ht="16.5" customHeight="1">
      <c r="B25" s="115" t="s">
        <v>137</v>
      </c>
      <c r="C25" s="117">
        <f>((C6*C24-Debt_Schedule!G37+Inputs!C42)/C16)^(1/C5)-1</f>
        <v>0.222905289036837</v>
      </c>
      <c r="D25" s="118">
        <f>((C6*D24-Debt_Schedule!G37+Inputs!C42)/C16)^(1/C5)-1</f>
        <v>0.248557357654505</v>
      </c>
      <c r="E25" s="119">
        <f>((C6*E24-Debt_Schedule!G37+Inputs!C42)/C16)^(1/C5)-1</f>
        <v>0.272259636539392</v>
      </c>
      <c r="F25" s="120">
        <f>((C6*F24-Debt_Schedule!G37+Inputs!C42)/C16)^(1/C5)-1</f>
        <v>0.294316875658168</v>
      </c>
      <c r="G25" s="121">
        <f>((C6*G24-Debt_Schedule!G37+Inputs!C42)/C16)^(1/C5)-1</f>
        <v>0.314965607028935</v>
      </c>
    </row>
    <row r="27" ht="15" customHeight="1">
      <c r="B27">
        <v>0</v>
      </c>
    </row>
    <row r="28" ht="15.75" customHeight="1">
      <c r="B28" s="122" t="s">
        <v>138</v>
      </c>
      <c r="C28" s="122"/>
      <c r="D28" s="122"/>
      <c r="E28" s="122"/>
      <c r="F28" s="122"/>
      <c r="G28" s="122"/>
    </row>
    <row r="29" ht="16.5" customHeight="1">
      <c r="B29">
        <v>0</v>
      </c>
      <c r="C29" s="123" t="s">
        <v>70</v>
      </c>
      <c r="D29" s="123" t="s">
        <v>71</v>
      </c>
      <c r="E29" s="123" t="s">
        <v>72</v>
      </c>
      <c r="F29" s="123" t="s">
        <v>73</v>
      </c>
      <c r="G29" s="123" t="s">
        <v>74</v>
      </c>
    </row>
    <row r="30" ht="16.5" customHeight="1">
      <c r="B30" t="s">
        <v>87</v>
      </c>
      <c r="C30" s="20" cm="1">
        <f t="array" ref="C30">Financial_Model!D21</f>
        <v>51.5</v>
      </c>
      <c r="D30" s="20" cm="1">
        <f t="array" ref="D30">Financial_Model!E21</f>
        <v>52.5</v>
      </c>
      <c r="E30" s="20" cm="1">
        <f t="array" ref="E30">Financial_Model!F21</f>
        <v>52.5</v>
      </c>
      <c r="F30" s="20" cm="1">
        <f t="array" ref="F30">Financial_Model!G21</f>
        <v>52.5</v>
      </c>
      <c r="G30" s="20" cm="1">
        <f t="array" ref="G30">Financial_Model!H21</f>
        <v>52.5</v>
      </c>
    </row>
    <row r="31" ht="16.5" customHeight="1">
      <c r="B31" t="s">
        <v>139</v>
      </c>
      <c r="C31" s="124">
        <v>0.12</v>
      </c>
      <c r="D31" s="125">
        <v>0.12</v>
      </c>
      <c r="E31" s="125">
        <v>0.12</v>
      </c>
      <c r="F31" s="125">
        <v>0.12</v>
      </c>
      <c r="G31" s="125">
        <v>0.12</v>
      </c>
    </row>
    <row r="32" ht="16.5" customHeight="1">
      <c r="B32" t="s">
        <v>140</v>
      </c>
      <c r="C32" s="126">
        <f>1/(1+C31)^1</f>
        <v>0.892857142857143</v>
      </c>
      <c r="D32" s="126">
        <f>1/(1+D31)^2</f>
        <v>0.79719387755102</v>
      </c>
      <c r="E32" s="126">
        <f>1/(1+E31)^3</f>
        <v>0.711780247813411</v>
      </c>
      <c r="F32" s="126">
        <f>1/(1+F31)^4</f>
        <v>0.635518078404831</v>
      </c>
      <c r="G32" s="126">
        <f>1/(1+G31)^5</f>
        <v>0.567426855718599</v>
      </c>
    </row>
    <row r="33" ht="16.5" customHeight="1">
      <c r="B33" t="s">
        <v>141</v>
      </c>
      <c r="C33" s="127">
        <f t="shared" si="0" ref="C33:G33">C30*C32</f>
        <v>45.9821428571429</v>
      </c>
      <c r="D33" s="128">
        <f t="shared" si="0"/>
        <v>41.8526785714285</v>
      </c>
      <c r="E33" s="128">
        <f t="shared" si="0"/>
        <v>37.3684630102041</v>
      </c>
      <c r="F33" s="128">
        <f t="shared" si="0"/>
        <v>33.3646991162536</v>
      </c>
      <c r="G33" s="128">
        <f t="shared" si="0"/>
        <v>29.7899099252264</v>
      </c>
    </row>
    <row r="34" ht="16.5" customHeight="1">
      <c r="B34" t="s">
        <v>142</v>
      </c>
      <c r="G34" s="129">
        <f>C8*G32</f>
        <v>312.794054214878</v>
      </c>
    </row>
    <row r="35" ht="16.5" customHeight="1">
      <c r="B35" s="130" t="s">
        <v>143</v>
      </c>
      <c r="C35" s="131">
        <f>SUM(C33:G33)+G34</f>
        <v>501.151947695133</v>
      </c>
    </row>
    <row r="37" ht="15" customHeight="1">
      <c r="B37">
        <v>0</v>
      </c>
    </row>
    <row r="38" ht="15.75" customHeight="1">
      <c r="B38" s="88" t="s">
        <v>144</v>
      </c>
      <c r="C38" s="88"/>
      <c r="D38" s="88"/>
      <c r="E38" s="88"/>
      <c r="F38" s="88"/>
      <c r="G38" s="88"/>
    </row>
    <row r="39" ht="16.5" customHeight="1">
      <c r="B39" t="s">
        <v>136</v>
      </c>
      <c r="C39" s="132">
        <v>9</v>
      </c>
      <c r="D39" s="132">
        <v>9.5</v>
      </c>
      <c r="E39" s="132">
        <v>10</v>
      </c>
      <c r="F39" s="132">
        <v>10.5</v>
      </c>
      <c r="G39" s="132">
        <v>11</v>
      </c>
    </row>
    <row r="40" ht="16.5" customHeight="1">
      <c r="B40" t="s">
        <v>145</v>
      </c>
      <c r="C40" s="22">
        <f>((C6*C39-Debt_Schedule!G37+Inputs!C42)/C16)</f>
        <v>2.73504273504274</v>
      </c>
      <c r="D40" s="133">
        <f>((C6*D39-Debt_Schedule!G37+Inputs!C42)/C16)</f>
        <v>3.03418803418803</v>
      </c>
      <c r="E40" s="134">
        <f>((C6*E39-Debt_Schedule!G37+Inputs!C42)/C16)</f>
        <v>3.33333333333333</v>
      </c>
      <c r="F40" s="135">
        <f>((C6*F39-Debt_Schedule!G37+Inputs!C42)/C16)</f>
        <v>3.63247863247863</v>
      </c>
      <c r="G40" s="136">
        <f>((C6*G39-Debt_Schedule!G37+Inputs!C42)/C16)</f>
        <v>3.93162393162393</v>
      </c>
    </row>
    <row r="42" ht="15" customHeight="1">
      <c r="B42">
        <v>0</v>
      </c>
    </row>
    <row r="43" ht="15.75" customHeight="1">
      <c r="B43" s="137" t="s">
        <v>146</v>
      </c>
      <c r="C43" s="137"/>
      <c r="D43" s="137"/>
    </row>
    <row r="44" ht="16.5" customHeight="1">
      <c r="B44" t="s">
        <v>147</v>
      </c>
      <c r="C44" s="138" t="str">
        <f>IF(C20&gt;=0.20,"YES ✓","NO ✗")</f>
        <v>YES ✓</v>
      </c>
    </row>
    <row r="45" ht="16.5" customHeight="1">
      <c r="B45" t="s">
        <v>149</v>
      </c>
      <c r="C45" s="135">
        <f>Debt_Schedule!C37-Debt_Schedule!G37</f>
        <v>50</v>
      </c>
      <c r="D45" s="76">
        <f>(Debt_Schedule!C37-Debt_Schedule!G37)/Debt_Schedule!C37</f>
        <v>0.168067226890756</v>
      </c>
    </row>
    <row r="46" ht="16.5" customHeight="1">
      <c r="B46" t="s">
        <v>150</v>
      </c>
      <c r="C46" s="139">
        <f>C12-C16</f>
        <v>231</v>
      </c>
      <c r="D46" s="124">
        <f>(C12-C16)/C16</f>
        <v>2.63247863247863</v>
      </c>
    </row>
    <row r="47" ht="16.5" customHeight="1">
      <c r="B47" t="s">
        <v>151</v>
      </c>
      <c r="C47" s="140" cm="1">
        <f t="array" ref="C47">C20</f>
        <v>0.294316875658168</v>
      </c>
      <c r="D47" s="141" cm="1">
        <f t="array" ref="D47">Inputs!C7</f>
        <v>10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