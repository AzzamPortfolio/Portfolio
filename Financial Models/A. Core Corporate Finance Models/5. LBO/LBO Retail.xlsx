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CFF5F0A-A8E3-41D8-BA25-A5C0883F96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mptions" sheetId="1" r:id="rId1"/>
    <sheet name="Calcs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3" l="1" a="1"/>
  <c r="G17" i="3" s="1"/>
  <c r="G15" i="3" a="1"/>
  <c r="G15" i="3" s="1"/>
  <c r="C11" i="3" a="1"/>
  <c r="C11" i="3" s="1"/>
  <c r="C8" i="3" a="1"/>
  <c r="C8" i="3" s="1"/>
  <c r="C7" i="3" a="1"/>
  <c r="C7" i="3" s="1"/>
  <c r="C76" i="2" a="1"/>
  <c r="C76" i="2" s="1"/>
  <c r="C71" i="2"/>
  <c r="C64" i="2" a="1"/>
  <c r="C64" i="2" s="1"/>
  <c r="C54" i="2"/>
  <c r="C25" i="2" a="1"/>
  <c r="C25" i="2" s="1"/>
  <c r="C14" i="2" a="1"/>
  <c r="C14" i="2" s="1"/>
  <c r="C45" i="1"/>
  <c r="C46" i="1" s="1"/>
  <c r="C7" i="1"/>
  <c r="C61" i="2" l="1"/>
  <c r="D25" i="2"/>
  <c r="C27" i="2"/>
  <c r="C25" i="3" a="1"/>
  <c r="C25" i="3" s="1"/>
  <c r="G16" i="3" a="1"/>
  <c r="G16" i="3" s="1"/>
  <c r="C9" i="1"/>
  <c r="C26" i="2" a="1"/>
  <c r="C26" i="2" s="1"/>
  <c r="E25" i="2" l="1"/>
  <c r="D26" i="2"/>
  <c r="D27" i="2"/>
  <c r="D63" i="2"/>
  <c r="D61" i="2"/>
  <c r="C63" i="2"/>
  <c r="C35" i="3" a="1"/>
  <c r="C35" i="3" s="1"/>
  <c r="C12" i="1"/>
  <c r="C14" i="1"/>
  <c r="C15" i="2" s="1" a="1"/>
  <c r="C15" i="2" s="1"/>
  <c r="C5" i="2"/>
  <c r="C6" i="2"/>
  <c r="C7" i="2"/>
  <c r="C8" i="2"/>
  <c r="C6" i="3" a="1"/>
  <c r="C6" i="3" s="1"/>
  <c r="C28" i="2"/>
  <c r="C30" i="2" s="1"/>
  <c r="C60" i="2" a="1"/>
  <c r="C60" i="2" s="1"/>
  <c r="F25" i="2" l="1"/>
  <c r="E26" i="2"/>
  <c r="E27" i="2"/>
  <c r="E61" i="2"/>
  <c r="E63" i="2"/>
  <c r="D35" i="3" a="1"/>
  <c r="D35" i="3" s="1"/>
  <c r="D28" i="2"/>
  <c r="D60" i="2" a="1"/>
  <c r="D60" i="2" s="1"/>
  <c r="C36" i="3" a="1"/>
  <c r="C36" i="3" s="1"/>
  <c r="C13" i="2" a="1"/>
  <c r="C13" i="2" s="1"/>
  <c r="C9" i="3" a="1"/>
  <c r="C9" i="3" s="1"/>
  <c r="C26" i="3" a="1"/>
  <c r="C26" i="3" s="1"/>
  <c r="C16" i="3" a="1"/>
  <c r="C16" i="3" s="1"/>
  <c r="C38" i="2" a="1"/>
  <c r="C38" i="2" s="1"/>
  <c r="C16" i="2"/>
  <c r="D42" i="2"/>
  <c r="G42" i="2"/>
  <c r="C17" i="3" a="1"/>
  <c r="C17" i="3" s="1"/>
  <c r="C41" i="2" a="1"/>
  <c r="C41" i="2" s="1"/>
  <c r="E42" i="2"/>
  <c r="H42" i="2"/>
  <c r="F42" i="2"/>
  <c r="D46" i="2"/>
  <c r="G46" i="2"/>
  <c r="C18" i="3" a="1"/>
  <c r="C18" i="3" s="1"/>
  <c r="C45" i="2" a="1"/>
  <c r="C45" i="2" s="1"/>
  <c r="E46" i="2"/>
  <c r="F46" i="2"/>
  <c r="H46" i="2"/>
  <c r="C19" i="3" a="1"/>
  <c r="C19" i="3" s="1"/>
  <c r="C49" i="2" a="1"/>
  <c r="C49" i="2" s="1"/>
  <c r="C31" i="2"/>
  <c r="C62" i="2" s="1" a="1"/>
  <c r="C62" i="2" s="1"/>
  <c r="C65" i="2" s="1"/>
  <c r="C32" i="2"/>
  <c r="G25" i="2" l="1"/>
  <c r="F26" i="2"/>
  <c r="F27" i="2"/>
  <c r="F63" i="2"/>
  <c r="F61" i="2"/>
  <c r="E35" i="3" a="1"/>
  <c r="E35" i="3" s="1"/>
  <c r="E28" i="2"/>
  <c r="E60" i="2" a="1"/>
  <c r="E60" i="2" s="1"/>
  <c r="D36" i="3" a="1"/>
  <c r="D36" i="3" s="1"/>
  <c r="C37" i="3"/>
  <c r="L35" i="3" a="1"/>
  <c r="L35" i="3" s="1"/>
  <c r="C24" i="3" a="1"/>
  <c r="C24" i="3" s="1"/>
  <c r="C17" i="2"/>
  <c r="D16" i="2" s="1"/>
  <c r="D27" i="3" s="1" a="1"/>
  <c r="D27" i="3" s="1"/>
  <c r="D13" i="2"/>
  <c r="D38" i="2" a="1"/>
  <c r="D38" i="2" s="1"/>
  <c r="D39" i="2"/>
  <c r="C40" i="2" a="1"/>
  <c r="C40" i="2" s="1"/>
  <c r="C27" i="3" a="1"/>
  <c r="C27" i="3" s="1"/>
  <c r="D43" i="2"/>
  <c r="C44" i="2" a="1"/>
  <c r="C44" i="2" s="1"/>
  <c r="D41" i="2" s="1" a="1"/>
  <c r="D41" i="2" s="1"/>
  <c r="C48" i="2" a="1"/>
  <c r="C48" i="2" s="1"/>
  <c r="D45" i="2" s="1" a="1"/>
  <c r="D45" i="2" s="1"/>
  <c r="D47" i="2"/>
  <c r="D50" i="2"/>
  <c r="C51" i="2" a="1"/>
  <c r="C51" i="2" s="1"/>
  <c r="D49" i="2" s="1" a="1"/>
  <c r="D49" i="2" s="1"/>
  <c r="H25" i="2" l="1"/>
  <c r="G26" i="2"/>
  <c r="G27" i="2"/>
  <c r="G61" i="2"/>
  <c r="G63" i="2"/>
  <c r="F35" i="3" a="1"/>
  <c r="F35" i="3" s="1"/>
  <c r="F28" i="2"/>
  <c r="F60" i="2" a="1"/>
  <c r="F60" i="2" s="1"/>
  <c r="E36" i="3" a="1"/>
  <c r="E36" i="3" s="1"/>
  <c r="L36" i="3" a="1"/>
  <c r="L36" i="3" s="1"/>
  <c r="D37" i="3"/>
  <c r="D15" i="2"/>
  <c r="D14" i="2"/>
  <c r="D25" i="3" s="1" a="1"/>
  <c r="D25" i="3" s="1"/>
  <c r="C9" i="2"/>
  <c r="C28" i="3" a="1"/>
  <c r="C28" i="3" s="1"/>
  <c r="D24" i="3" a="1"/>
  <c r="D24" i="3" s="1"/>
  <c r="E38" i="2" a="1"/>
  <c r="E38" i="2" s="1"/>
  <c r="E39" i="2"/>
  <c r="D40" i="2" a="1"/>
  <c r="D40" i="2" s="1"/>
  <c r="E43" i="2"/>
  <c r="D44" i="2"/>
  <c r="E41" i="2" s="1" a="1"/>
  <c r="E41" i="2" s="1"/>
  <c r="E47" i="2"/>
  <c r="D48" i="2"/>
  <c r="E45" i="2" s="1" a="1"/>
  <c r="E45" i="2" s="1"/>
  <c r="E50" i="2"/>
  <c r="D51" i="2" a="1"/>
  <c r="D51" i="2" s="1"/>
  <c r="E49" i="2" s="1" a="1"/>
  <c r="E49" i="2" s="1"/>
  <c r="C53" i="2"/>
  <c r="C70" i="2" s="1"/>
  <c r="D54" i="2"/>
  <c r="H26" i="2" l="1"/>
  <c r="H27" i="2"/>
  <c r="H63" i="2"/>
  <c r="H61" i="2"/>
  <c r="G35" i="3" a="1"/>
  <c r="G35" i="3" s="1"/>
  <c r="G28" i="2"/>
  <c r="G60" i="2" a="1"/>
  <c r="G60" i="2" s="1"/>
  <c r="F36" i="3" a="1"/>
  <c r="F36" i="3" s="1"/>
  <c r="E37" i="3"/>
  <c r="L37" i="3" a="1"/>
  <c r="L37" i="3" s="1"/>
  <c r="C10" i="2"/>
  <c r="D9" i="2" s="1"/>
  <c r="D20" i="3" s="1" a="1"/>
  <c r="D20" i="3" s="1"/>
  <c r="C80" i="2" a="1"/>
  <c r="C80" i="2" s="1"/>
  <c r="C45" i="3" s="1" a="1"/>
  <c r="C45" i="3" s="1"/>
  <c r="C20" i="3" a="1"/>
  <c r="C20" i="3" s="1"/>
  <c r="F38" i="2" a="1"/>
  <c r="F38" i="2" s="1"/>
  <c r="F39" i="2"/>
  <c r="E40" i="2" a="1"/>
  <c r="E40" i="2" s="1"/>
  <c r="F43" i="2"/>
  <c r="E44" i="2"/>
  <c r="F41" i="2" s="1" a="1"/>
  <c r="F41" i="2" s="1"/>
  <c r="F47" i="2"/>
  <c r="E48" i="2"/>
  <c r="F45" i="2" s="1" a="1"/>
  <c r="F45" i="2" s="1"/>
  <c r="F50" i="2"/>
  <c r="E51" i="2" a="1"/>
  <c r="E51" i="2" s="1"/>
  <c r="F49" i="2" s="1" a="1"/>
  <c r="F49" i="2" s="1"/>
  <c r="D29" i="2" a="1"/>
  <c r="D29" i="2" s="1"/>
  <c r="D30" i="2" s="1"/>
  <c r="D71" i="2"/>
  <c r="C41" i="3" s="1" a="1"/>
  <c r="C41" i="3" s="1"/>
  <c r="L43" i="3" s="1" a="1"/>
  <c r="L43" i="3" s="1"/>
  <c r="D64" i="2" a="1"/>
  <c r="D64" i="2" s="1"/>
  <c r="D53" i="2"/>
  <c r="E54" i="2"/>
  <c r="D26" i="3" a="1"/>
  <c r="D26" i="3" s="1"/>
  <c r="D17" i="2"/>
  <c r="D28" i="3" s="1" a="1"/>
  <c r="D28" i="3" s="1"/>
  <c r="H28" i="2" l="1"/>
  <c r="H60" i="2" a="1"/>
  <c r="H60" i="2" s="1"/>
  <c r="C75" i="2" a="1"/>
  <c r="C75" i="2" s="1"/>
  <c r="C77" i="2" s="1"/>
  <c r="G36" i="3" a="1"/>
  <c r="G36" i="3" s="1"/>
  <c r="F37" i="3"/>
  <c r="L38" i="3" a="1"/>
  <c r="L38" i="3" s="1"/>
  <c r="C21" i="3" a="1"/>
  <c r="C21" i="3" s="1"/>
  <c r="C19" i="2"/>
  <c r="D8" i="2"/>
  <c r="D19" i="3" s="1" a="1"/>
  <c r="D19" i="3" s="1"/>
  <c r="D7" i="2"/>
  <c r="D18" i="3" s="1" a="1"/>
  <c r="D18" i="3" s="1"/>
  <c r="D6" i="2"/>
  <c r="D17" i="3" s="1" a="1"/>
  <c r="D17" i="3" s="1"/>
  <c r="D5" i="2"/>
  <c r="G38" i="2" a="1"/>
  <c r="G38" i="2" s="1"/>
  <c r="G39" i="2"/>
  <c r="F40" i="2" a="1"/>
  <c r="F40" i="2" s="1"/>
  <c r="F53" i="2" s="1"/>
  <c r="G43" i="2"/>
  <c r="F44" i="2"/>
  <c r="G41" i="2" s="1" a="1"/>
  <c r="G41" i="2" s="1"/>
  <c r="G47" i="2"/>
  <c r="F48" i="2"/>
  <c r="G45" i="2" s="1" a="1"/>
  <c r="G45" i="2" s="1"/>
  <c r="G50" i="2"/>
  <c r="F51" i="2" a="1"/>
  <c r="F51" i="2" s="1"/>
  <c r="G49" i="2" s="1" a="1"/>
  <c r="G49" i="2" s="1"/>
  <c r="D31" i="2"/>
  <c r="C39" i="3" a="1"/>
  <c r="C39" i="3" s="1"/>
  <c r="D70" i="2"/>
  <c r="C40" i="3" s="1" a="1"/>
  <c r="C40" i="3" s="1"/>
  <c r="K43" i="3" s="1" a="1"/>
  <c r="K43" i="3" s="1"/>
  <c r="E29" i="2" a="1"/>
  <c r="E29" i="2" s="1"/>
  <c r="E30" i="2" s="1"/>
  <c r="E71" i="2"/>
  <c r="D41" i="3" s="1" a="1"/>
  <c r="D41" i="3" s="1"/>
  <c r="L44" i="3" s="1" a="1"/>
  <c r="L44" i="3" s="1"/>
  <c r="E64" i="2" a="1"/>
  <c r="E64" i="2" s="1"/>
  <c r="F54" i="2"/>
  <c r="E53" i="2"/>
  <c r="G37" i="3" l="1"/>
  <c r="L39" i="3" a="1"/>
  <c r="L39" i="3" s="1"/>
  <c r="G19" i="3"/>
  <c r="C30" i="3"/>
  <c r="G6" i="3" s="1"/>
  <c r="D16" i="3" a="1"/>
  <c r="D16" i="3" s="1"/>
  <c r="D10" i="2"/>
  <c r="D21" i="3" s="1" a="1"/>
  <c r="D21" i="3" s="1"/>
  <c r="H38" i="2" a="1"/>
  <c r="H38" i="2" s="1"/>
  <c r="H40" i="2" s="1" a="1"/>
  <c r="H40" i="2" s="1"/>
  <c r="H39" i="2"/>
  <c r="G40" i="2" a="1"/>
  <c r="G40" i="2" s="1"/>
  <c r="F70" i="2"/>
  <c r="E40" i="3" s="1" a="1"/>
  <c r="E40" i="3" s="1"/>
  <c r="K45" i="3" s="1" a="1"/>
  <c r="K45" i="3" s="1"/>
  <c r="E39" i="3" a="1"/>
  <c r="E39" i="3" s="1"/>
  <c r="K37" i="3" s="1" a="1"/>
  <c r="K37" i="3" s="1"/>
  <c r="H43" i="2"/>
  <c r="G44" i="2"/>
  <c r="H41" i="2" s="1" a="1"/>
  <c r="H41" i="2" s="1"/>
  <c r="H44" i="2" s="1"/>
  <c r="H47" i="2"/>
  <c r="G48" i="2"/>
  <c r="H45" i="2" s="1" a="1"/>
  <c r="H45" i="2" s="1"/>
  <c r="H48" i="2" s="1"/>
  <c r="H50" i="2"/>
  <c r="G51" i="2" a="1"/>
  <c r="G51" i="2" s="1"/>
  <c r="H49" i="2" s="1" a="1"/>
  <c r="H49" i="2" s="1"/>
  <c r="H51" i="2" s="1" a="1"/>
  <c r="H51" i="2" s="1"/>
  <c r="G18" i="3"/>
  <c r="G7" i="3" a="1"/>
  <c r="G7" i="3" s="1"/>
  <c r="K35" i="3" a="1"/>
  <c r="K35" i="3" s="1"/>
  <c r="E31" i="2"/>
  <c r="F29" i="2" a="1"/>
  <c r="F29" i="2" s="1"/>
  <c r="F30" i="2" s="1"/>
  <c r="F71" i="2"/>
  <c r="E41" i="3" s="1" a="1"/>
  <c r="E41" i="3" s="1"/>
  <c r="L45" i="3" s="1" a="1"/>
  <c r="L45" i="3" s="1"/>
  <c r="F64" i="2" a="1"/>
  <c r="F64" i="2" s="1"/>
  <c r="D39" i="3" a="1"/>
  <c r="D39" i="3" s="1"/>
  <c r="K36" i="3" s="1" a="1"/>
  <c r="K36" i="3" s="1"/>
  <c r="E70" i="2"/>
  <c r="D40" i="3" s="1" a="1"/>
  <c r="D40" i="3" s="1"/>
  <c r="K44" i="3" s="1" a="1"/>
  <c r="K44" i="3" s="1"/>
  <c r="G54" i="2"/>
  <c r="D62" i="2" a="1"/>
  <c r="D62" i="2" s="1"/>
  <c r="D65" i="2" s="1"/>
  <c r="C38" i="3" s="1" a="1"/>
  <c r="C38" i="3" s="1"/>
  <c r="D32" i="2"/>
  <c r="F31" i="2" l="1"/>
  <c r="G29" i="2" a="1"/>
  <c r="G29" i="2" s="1"/>
  <c r="G30" i="2" s="1"/>
  <c r="G71" i="2"/>
  <c r="F41" i="3" s="1" a="1"/>
  <c r="F41" i="3" s="1"/>
  <c r="L46" i="3" s="1" a="1"/>
  <c r="L46" i="3" s="1"/>
  <c r="G64" i="2" a="1"/>
  <c r="G64" i="2" s="1"/>
  <c r="H53" i="2"/>
  <c r="H54" i="2"/>
  <c r="G53" i="2"/>
  <c r="E62" i="2" a="1"/>
  <c r="E62" i="2" s="1"/>
  <c r="E65" i="2" s="1"/>
  <c r="D38" i="3" s="1" a="1"/>
  <c r="D38" i="3" s="1"/>
  <c r="E32" i="2"/>
  <c r="G31" i="2" l="1"/>
  <c r="G39" i="3" a="1"/>
  <c r="G39" i="3" s="1"/>
  <c r="H70" i="2"/>
  <c r="G40" i="3" s="1" a="1"/>
  <c r="G40" i="3" s="1"/>
  <c r="K47" i="3" s="1" a="1"/>
  <c r="K47" i="3" s="1"/>
  <c r="C78" i="2" a="1"/>
  <c r="C78" i="2" s="1"/>
  <c r="C79" i="2" s="1"/>
  <c r="H29" i="2" a="1"/>
  <c r="H29" i="2" s="1"/>
  <c r="H30" i="2" s="1"/>
  <c r="H71" i="2"/>
  <c r="G41" i="3" s="1" a="1"/>
  <c r="G41" i="3" s="1"/>
  <c r="L47" i="3" s="1" a="1"/>
  <c r="L47" i="3" s="1"/>
  <c r="H64" i="2" a="1"/>
  <c r="H64" i="2" s="1"/>
  <c r="F39" i="3" a="1"/>
  <c r="F39" i="3" s="1"/>
  <c r="K38" i="3" s="1" a="1"/>
  <c r="K38" i="3" s="1"/>
  <c r="G70" i="2"/>
  <c r="F40" i="3" s="1" a="1"/>
  <c r="F40" i="3" s="1"/>
  <c r="K46" i="3" s="1" a="1"/>
  <c r="K46" i="3" s="1"/>
  <c r="F62" i="2" a="1"/>
  <c r="F62" i="2" s="1"/>
  <c r="F65" i="2" s="1"/>
  <c r="E38" i="3" s="1" a="1"/>
  <c r="E38" i="3" s="1"/>
  <c r="F32" i="2"/>
  <c r="G8" i="3" l="1"/>
  <c r="G9" i="3" s="1"/>
  <c r="K39" i="3" a="1"/>
  <c r="K39" i="3" s="1"/>
  <c r="C46" i="3" a="1"/>
  <c r="C46" i="3" s="1"/>
  <c r="C81" i="2"/>
  <c r="C47" i="3" s="1" a="1"/>
  <c r="C47" i="3" s="1"/>
  <c r="C48" i="3" s="1"/>
  <c r="H31" i="2"/>
  <c r="G62" i="2" a="1"/>
  <c r="G62" i="2" s="1"/>
  <c r="G65" i="2" s="1"/>
  <c r="F38" i="3" s="1" a="1"/>
  <c r="F38" i="3" s="1"/>
  <c r="G32" i="2"/>
  <c r="H62" i="2" l="1" a="1"/>
  <c r="H62" i="2" s="1"/>
  <c r="H65" i="2" s="1"/>
  <c r="G38" i="3" s="1" a="1"/>
  <c r="G38" i="3" s="1"/>
  <c r="H3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<sst xmlns="http://schemas.openxmlformats.org/spreadsheetml/2006/main" count="199" uniqueCount="144">
  <si>
    <t>LBO MODEL ASSUMPTIONS</t>
  </si>
  <si>
    <t>TRANSACTION ASSUMPTIONS</t>
  </si>
  <si>
    <t>Target Company Revenue (LTM)</t>
  </si>
  <si>
    <t>$ millions</t>
  </si>
  <si>
    <t>Target EBITDA Margin (LTM)</t>
  </si>
  <si>
    <t>Target EBITDA (LTM)</t>
  </si>
  <si>
    <t>Purchase Price Multiple (EV/EBITDA)</t>
  </si>
  <si>
    <t>x</t>
  </si>
  <si>
    <t>Enterprise Value</t>
  </si>
  <si>
    <t>Less: Existing Debt</t>
  </si>
  <si>
    <t>Plus: Cash</t>
  </si>
  <si>
    <t>Equity Value</t>
  </si>
  <si>
    <t>Transaction Fees (% of EV)</t>
  </si>
  <si>
    <t>Transaction Fees ($)</t>
  </si>
  <si>
    <t>Financing Fees (% of Debt)</t>
  </si>
  <si>
    <t>OPERATING ASSUMPTIONS</t>
  </si>
  <si>
    <t>Revenue Growth - Year 1</t>
  </si>
  <si>
    <t>Revenue Growth - Year 2</t>
  </si>
  <si>
    <t>Revenue Growth - Year 3</t>
  </si>
  <si>
    <t>Revenue Growth - Year 4</t>
  </si>
  <si>
    <t>Revenue Growth - Year 5</t>
  </si>
  <si>
    <t>EBITDA Margin - Year 1</t>
  </si>
  <si>
    <t>EBITDA Margin - Year 2</t>
  </si>
  <si>
    <t>EBITDA Margin - Year 3</t>
  </si>
  <si>
    <t>EBITDA Margin - Year 4</t>
  </si>
  <si>
    <t>EBITDA Margin - Year 5</t>
  </si>
  <si>
    <t>CapEx (% of Revenue)</t>
  </si>
  <si>
    <t>Net Working Capital (% of Revenue)</t>
  </si>
  <si>
    <t>Tax Rate</t>
  </si>
  <si>
    <t>D&amp;A (% of Revenue)</t>
  </si>
  <si>
    <t>DEBT STRUCTURE</t>
  </si>
  <si>
    <t>Revolver (% of EV)</t>
  </si>
  <si>
    <t>Revolver Interest Rate</t>
  </si>
  <si>
    <t>Term Loan A (% of EV)</t>
  </si>
  <si>
    <t>TLA Interest Rate</t>
  </si>
  <si>
    <t>TLA Amortization (% per year)</t>
  </si>
  <si>
    <t>Term Loan B (% of EV)</t>
  </si>
  <si>
    <t>TLB Interest Rate</t>
  </si>
  <si>
    <t>TLB Amortization (% per year)</t>
  </si>
  <si>
    <t>Subordinated Debt (% of EV)</t>
  </si>
  <si>
    <t>Sub Debt Interest Rate</t>
  </si>
  <si>
    <t>Sub Debt Amortization</t>
  </si>
  <si>
    <t>Bullet at exit</t>
  </si>
  <si>
    <t>Total Debt (% of EV)</t>
  </si>
  <si>
    <t>Sponsor Equity (% of EV)</t>
  </si>
  <si>
    <t>EXIT ASSUMPTIONS</t>
  </si>
  <si>
    <t>Exit Multiple (EV/EBITDA)</t>
  </si>
  <si>
    <t>Exit Year</t>
  </si>
  <si>
    <t>SOURCES &amp; USES</t>
  </si>
  <si>
    <t>SOURCES</t>
  </si>
  <si>
    <t>$M</t>
  </si>
  <si>
    <t>%</t>
  </si>
  <si>
    <t>Revolver</t>
  </si>
  <si>
    <t>Term Loan A</t>
  </si>
  <si>
    <t>Term Loan B</t>
  </si>
  <si>
    <t>Subordinated Debt</t>
  </si>
  <si>
    <t>Sponsor Equity</t>
  </si>
  <si>
    <t>Total Sources</t>
  </si>
  <si>
    <t>USES</t>
  </si>
  <si>
    <t>Cash to Target Equity Holders</t>
  </si>
  <si>
    <t>Refinance Existing Debt</t>
  </si>
  <si>
    <t>Transaction Fees</t>
  </si>
  <si>
    <t>Financing Fees</t>
  </si>
  <si>
    <t>Total Uses</t>
  </si>
  <si>
    <t>Sources - Uses</t>
  </si>
  <si>
    <t>PROFIT &amp; LOSS PROJECTION</t>
  </si>
  <si>
    <t>($M)</t>
  </si>
  <si>
    <t>Year 0</t>
  </si>
  <si>
    <t>Year 1</t>
  </si>
  <si>
    <t>Year 2</t>
  </si>
  <si>
    <t>Year 3</t>
  </si>
  <si>
    <t>Year 4</t>
  </si>
  <si>
    <t>Year 5</t>
  </si>
  <si>
    <t>Revenue</t>
  </si>
  <si>
    <t>EBITDA</t>
  </si>
  <si>
    <t>Less: D&amp;A</t>
  </si>
  <si>
    <t>EBIT</t>
  </si>
  <si>
    <t>Less: Interest Expense</t>
  </si>
  <si>
    <t>EBT</t>
  </si>
  <si>
    <t>Less: Tax</t>
  </si>
  <si>
    <t>Net Income</t>
  </si>
  <si>
    <t>DEBT SCHEDULE</t>
  </si>
  <si>
    <t>Revolver - Beginning</t>
  </si>
  <si>
    <t>Revolver - Interest</t>
  </si>
  <si>
    <t>Revolver - Ending</t>
  </si>
  <si>
    <t>TLA - Beginning</t>
  </si>
  <si>
    <t>TLA - Amortization</t>
  </si>
  <si>
    <t>TLA - Interest</t>
  </si>
  <si>
    <t>TLA - Ending</t>
  </si>
  <si>
    <t>TLB - Beginning</t>
  </si>
  <si>
    <t>TLB - Amortization</t>
  </si>
  <si>
    <t>TLB - Interest</t>
  </si>
  <si>
    <t>TLB - Ending</t>
  </si>
  <si>
    <t>Sub Debt - Beginning</t>
  </si>
  <si>
    <t>Sub Debt - Interest</t>
  </si>
  <si>
    <t>Sub Debt - Ending</t>
  </si>
  <si>
    <t>Total Debt - Ending</t>
  </si>
  <si>
    <t>Total Interest Expense</t>
  </si>
  <si>
    <t>FREE CASH FLOW</t>
  </si>
  <si>
    <t>Less: CapEx</t>
  </si>
  <si>
    <t>Less: Cash Tax</t>
  </si>
  <si>
    <t>Less: Change in NWC</t>
  </si>
  <si>
    <t>Less: Cash Interest</t>
  </si>
  <si>
    <t>Free Cash Flow</t>
  </si>
  <si>
    <t>KEY METRICS</t>
  </si>
  <si>
    <t>Net Debt / EBITDA</t>
  </si>
  <si>
    <t>DSCR (EBITDA / Interest)</t>
  </si>
  <si>
    <t>EXIT ANALYSIS</t>
  </si>
  <si>
    <t>Exit EBITDA</t>
  </si>
  <si>
    <t>Exit Multiple</t>
  </si>
  <si>
    <t>Exit EV</t>
  </si>
  <si>
    <t>Less: Net Debt at Exit</t>
  </si>
  <si>
    <t>Exit Equity Value</t>
  </si>
  <si>
    <t>Initial Sponsor Equity</t>
  </si>
  <si>
    <t>Cash-on-Cash Multiple</t>
  </si>
  <si>
    <t>LBO MODEL DASHBOARD</t>
  </si>
  <si>
    <t>PURCHASE PRICE</t>
  </si>
  <si>
    <t>MODEL CHECKS</t>
  </si>
  <si>
    <t>Sources = Uses?</t>
  </si>
  <si>
    <t>Initial Debt Balance</t>
  </si>
  <si>
    <t>Debt Paydown (5 yrs)</t>
  </si>
  <si>
    <t>% Debt Reduction</t>
  </si>
  <si>
    <t>Purchase Multiple (EV/EBITDA)</t>
  </si>
  <si>
    <t>TRANSACTION SUMMARY</t>
  </si>
  <si>
    <t>Target LTM Revenue</t>
  </si>
  <si>
    <t>Target LTM EBITDA</t>
  </si>
  <si>
    <t>Purchase Multiple</t>
  </si>
  <si>
    <t>Total Debt / EBITDA</t>
  </si>
  <si>
    <t>Equity / Total Capital</t>
  </si>
  <si>
    <t>Cash to Target Equity</t>
  </si>
  <si>
    <t>5-YEAR FORECAST</t>
  </si>
  <si>
    <t>2023F</t>
  </si>
  <si>
    <t>2024F</t>
  </si>
  <si>
    <t>2025F</t>
  </si>
  <si>
    <t>2026F</t>
  </si>
  <si>
    <t>2027F</t>
  </si>
  <si>
    <t>Year</t>
  </si>
  <si>
    <t>Total Debt</t>
  </si>
  <si>
    <t>EBITDA Margin</t>
  </si>
  <si>
    <t>DSCR</t>
  </si>
  <si>
    <t>Net Debt/EBITDA</t>
  </si>
  <si>
    <t>SPONSOR RETURNS</t>
  </si>
  <si>
    <t>Initial Equity Investment</t>
  </si>
  <si>
    <t>Implied IRR (approx)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</si>
</sst>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_([$$-409]* #,##0.00_);_([$$-409]* \(#,##0.00\);_([$$-409]* &quot;-&quot;??_);_(@_)"/>
  </numFmts>
  <fonts count="17">
    <font>
      <sz val="12"/>
      <color theme="1"/>
      <name val="Calibri"/>
      <scheme val="minor"/>
    </font>
    <font>
      <sz val="12"/>
      <color rgb="FF44729C"/>
      <name val="bold Arial"/>
    </font>
    <font>
      <sz val="8.25"/>
      <color rgb="FFFFFFFF"/>
      <name val="bold Arial"/>
    </font>
    <font>
      <sz val="12"/>
      <color rgb="FF0000FF"/>
      <name val="Calibri"/>
      <scheme val="minor"/>
    </font>
    <font>
      <sz val="12"/>
      <color rgb="FF000000"/>
      <name val="Calibri"/>
      <scheme val="minor"/>
    </font>
    <font>
      <sz val="9"/>
      <color rgb="FF44729C"/>
      <name val="bold Arial"/>
    </font>
    <font>
      <sz val="7.5"/>
      <name val="bold Arial"/>
    </font>
    <font>
      <sz val="12"/>
      <color rgb="FF008000"/>
      <name val="Calibri"/>
      <scheme val="minor"/>
    </font>
    <font>
      <sz val="7.5"/>
      <color rgb="FF000000"/>
      <name val="bold Arial"/>
    </font>
    <font>
      <sz val="12"/>
      <name val="Calibri"/>
      <scheme val="minor"/>
    </font>
    <font>
      <sz val="13.5"/>
      <color rgb="FF44729C"/>
      <name val="bold Arial"/>
    </font>
    <font>
      <sz val="9"/>
      <color rgb="FFFFFFFF"/>
      <name val="bold Arial"/>
    </font>
    <font>
      <sz val="8.25"/>
      <name val="bold Arial"/>
    </font>
    <font>
      <sz val="8.3000000000000007"/>
      <name val="bold Arial"/>
    </font>
    <font>
      <sz val="8.3000000000000007"/>
      <color rgb="FFFFFFFF"/>
      <name val="bold Arial"/>
    </font>
    <font>
      <sz val="7.5"/>
      <name val="bold Arial"/>
    </font>
    <font>
      <sz val="7.5"/>
      <color rgb="FF44729C"/>
      <name val="bold Arial"/>
    </font>
  </fonts>
  <fills count="4">
    <fill>
      <patternFill patternType="none"/>
    </fill>
    <fill>
      <patternFill patternType="gray125"/>
    </fill>
    <fill>
      <patternFill patternType="solid">
        <fgColor rgb="FF44729C"/>
      </patternFill>
    </fill>
    <fill>
      <patternFill patternType="solid">
        <fgColor rgb="FFD9E1F2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1"/>
  </cellStyleXfs>
  <cellXfs count="52">
    <xf numFmtId="0" fontId="0" fillId="0" borderId="1" xfId="0"/>
    <xf numFmtId="0" fontId="1" fillId="0" borderId="0" xfId="0" applyFont="1" applyBorder="1" applyAlignment="1">
      <alignment vertical="top"/>
    </xf>
    <xf numFmtId="0" fontId="2" fillId="2" borderId="0" xfId="0" applyFont="1" applyFill="1" applyBorder="1" applyAlignment="1">
      <alignment vertical="top"/>
    </xf>
    <xf numFmtId="3" fontId="3" fillId="0" borderId="0" xfId="0" applyNumberFormat="1" applyFont="1" applyBorder="1" applyAlignment="1">
      <alignment vertical="top"/>
    </xf>
    <xf numFmtId="10" fontId="3" fillId="0" borderId="0" xfId="0" applyNumberFormat="1" applyFont="1" applyBorder="1" applyAlignment="1">
      <alignment vertical="top"/>
    </xf>
    <xf numFmtId="3" fontId="4" fillId="0" borderId="0" xfId="0" applyNumberFormat="1" applyFont="1" applyBorder="1" applyAlignment="1">
      <alignment vertical="top"/>
    </xf>
    <xf numFmtId="164" fontId="3" fillId="0" borderId="0" xfId="0" applyNumberFormat="1" applyFont="1" applyBorder="1" applyAlignment="1">
      <alignment vertical="top"/>
    </xf>
    <xf numFmtId="0" fontId="3" fillId="0" borderId="0" xfId="0" applyFont="1" applyBorder="1" applyAlignment="1">
      <alignment vertical="top"/>
    </xf>
    <xf numFmtId="10" fontId="4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6" fillId="3" borderId="2" xfId="0" applyFont="1" applyFill="1" applyBorder="1" applyAlignment="1">
      <alignment vertical="top"/>
    </xf>
    <xf numFmtId="165" fontId="7" fillId="0" borderId="0" xfId="0" applyNumberFormat="1" applyFont="1" applyBorder="1" applyAlignment="1">
      <alignment vertical="top"/>
    </xf>
    <xf numFmtId="165" fontId="4" fillId="0" borderId="0" xfId="0" applyNumberFormat="1" applyFont="1" applyBorder="1" applyAlignment="1">
      <alignment vertical="top"/>
    </xf>
    <xf numFmtId="0" fontId="6" fillId="0" borderId="3" xfId="0" applyFont="1" applyBorder="1" applyAlignment="1">
      <alignment vertical="top"/>
    </xf>
    <xf numFmtId="165" fontId="8" fillId="0" borderId="3" xfId="0" applyNumberFormat="1" applyFont="1" applyBorder="1" applyAlignment="1">
      <alignment vertical="top"/>
    </xf>
    <xf numFmtId="165" fontId="9" fillId="0" borderId="0" xfId="0" applyNumberFormat="1" applyFont="1" applyBorder="1" applyAlignment="1">
      <alignment vertical="top"/>
    </xf>
    <xf numFmtId="165" fontId="6" fillId="3" borderId="2" xfId="0" applyNumberFormat="1" applyFont="1" applyFill="1" applyBorder="1" applyAlignment="1">
      <alignment vertical="top"/>
    </xf>
    <xf numFmtId="10" fontId="8" fillId="0" borderId="3" xfId="0" applyNumberFormat="1" applyFont="1" applyBorder="1" applyAlignment="1">
      <alignment vertical="top"/>
    </xf>
    <xf numFmtId="0" fontId="6" fillId="0" borderId="0" xfId="0" applyFont="1" applyBorder="1" applyAlignment="1">
      <alignment vertical="top"/>
    </xf>
    <xf numFmtId="165" fontId="8" fillId="0" borderId="0" xfId="0" applyNumberFormat="1" applyFont="1" applyBorder="1" applyAlignment="1">
      <alignment vertical="top"/>
    </xf>
    <xf numFmtId="165" fontId="3" fillId="0" borderId="0" xfId="0" applyNumberFormat="1" applyFont="1" applyBorder="1" applyAlignment="1">
      <alignment vertical="top"/>
    </xf>
    <xf numFmtId="0" fontId="6" fillId="0" borderId="4" xfId="0" applyFont="1" applyBorder="1" applyAlignment="1">
      <alignment vertical="top"/>
    </xf>
    <xf numFmtId="165" fontId="8" fillId="0" borderId="4" xfId="0" applyNumberFormat="1" applyFont="1" applyBorder="1" applyAlignment="1">
      <alignment vertical="top"/>
    </xf>
    <xf numFmtId="164" fontId="4" fillId="0" borderId="0" xfId="0" applyNumberFormat="1" applyFont="1" applyBorder="1" applyAlignment="1">
      <alignment vertical="top"/>
    </xf>
    <xf numFmtId="164" fontId="7" fillId="0" borderId="0" xfId="0" applyNumberFormat="1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11" fillId="2" borderId="2" xfId="0" applyFont="1" applyFill="1" applyBorder="1" applyAlignment="1">
      <alignment vertical="top"/>
    </xf>
    <xf numFmtId="0" fontId="9" fillId="2" borderId="2" xfId="0" applyFont="1" applyFill="1" applyBorder="1" applyAlignment="1">
      <alignment vertical="top"/>
    </xf>
    <xf numFmtId="0" fontId="9" fillId="0" borderId="5" xfId="0" applyFont="1" applyBorder="1" applyAlignment="1">
      <alignment vertical="top"/>
    </xf>
    <xf numFmtId="165" fontId="9" fillId="0" borderId="5" xfId="0" applyNumberFormat="1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12" fillId="0" borderId="6" xfId="0" applyFont="1" applyBorder="1" applyAlignment="1">
      <alignment vertical="top"/>
    </xf>
    <xf numFmtId="165" fontId="13" fillId="0" borderId="6" xfId="0" applyNumberFormat="1" applyFont="1" applyBorder="1" applyAlignment="1">
      <alignment vertical="top"/>
    </xf>
    <xf numFmtId="0" fontId="9" fillId="0" borderId="7" xfId="0" applyFont="1" applyBorder="1" applyAlignment="1">
      <alignment vertical="top"/>
    </xf>
    <xf numFmtId="10" fontId="9" fillId="0" borderId="7" xfId="0" applyNumberFormat="1" applyFont="1" applyBorder="1" applyAlignment="1">
      <alignment vertical="top"/>
    </xf>
    <xf numFmtId="0" fontId="12" fillId="0" borderId="2" xfId="0" applyFont="1" applyBorder="1" applyAlignment="1">
      <alignment vertical="top"/>
    </xf>
    <xf numFmtId="164" fontId="9" fillId="0" borderId="2" xfId="0" applyNumberFormat="1" applyFont="1" applyBorder="1" applyAlignment="1">
      <alignment vertical="top"/>
    </xf>
    <xf numFmtId="0" fontId="14" fillId="2" borderId="2" xfId="0" applyFont="1" applyFill="1" applyBorder="1" applyAlignment="1">
      <alignment vertical="top"/>
    </xf>
    <xf numFmtId="0" fontId="6" fillId="3" borderId="0" xfId="0" applyFont="1" applyFill="1" applyBorder="1" applyAlignment="1">
      <alignment vertical="top"/>
    </xf>
    <xf numFmtId="10" fontId="9" fillId="0" borderId="5" xfId="0" applyNumberFormat="1" applyFont="1" applyBorder="1" applyAlignment="1">
      <alignment vertical="top"/>
    </xf>
    <xf numFmtId="164" fontId="9" fillId="0" borderId="5" xfId="0" applyNumberFormat="1" applyFont="1" applyBorder="1" applyAlignment="1">
      <alignment vertical="top"/>
    </xf>
    <xf numFmtId="0" fontId="15" fillId="0" borderId="8" xfId="0" applyFont="1" applyBorder="1" applyAlignment="1">
      <alignment vertical="top"/>
    </xf>
    <xf numFmtId="165" fontId="15" fillId="0" borderId="8" xfId="0" applyNumberFormat="1" applyFont="1" applyBorder="1" applyAlignment="1">
      <alignment vertical="top"/>
    </xf>
    <xf numFmtId="10" fontId="15" fillId="0" borderId="8" xfId="0" applyNumberFormat="1" applyFont="1" applyBorder="1" applyAlignment="1">
      <alignment vertical="top"/>
    </xf>
    <xf numFmtId="0" fontId="16" fillId="0" borderId="0" xfId="0" applyFont="1" applyBorder="1" applyAlignment="1">
      <alignment vertical="top"/>
    </xf>
    <xf numFmtId="165" fontId="16" fillId="0" borderId="0" xfId="0" applyNumberFormat="1" applyFont="1" applyBorder="1" applyAlignment="1">
      <alignment vertical="top"/>
    </xf>
    <xf numFmtId="0" fontId="12" fillId="0" borderId="5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164" fontId="9" fillId="0" borderId="7" xfId="0" applyNumberFormat="1" applyFont="1" applyBorder="1" applyAlignment="1">
      <alignment vertical="top"/>
    </xf>
    <xf numFmtId="164" fontId="12" fillId="0" borderId="5" xfId="0" applyNumberFormat="1" applyFont="1" applyBorder="1" applyAlignment="1">
      <alignment vertical="top"/>
    </xf>
    <xf numFmtId="0" fontId="13" fillId="0" borderId="6" xfId="0" applyFont="1" applyBorder="1" applyAlignment="1">
      <alignment vertical="top"/>
    </xf>
    <xf numFmtId="10" fontId="13" fillId="0" borderId="6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en-ID" sz="1050" b="0">
                <a:solidFill>
                  <a:srgbClr val="333333"/>
                </a:solidFill>
                <a:latin typeface="Arial"/>
              </a:rPr>
              <a:t>Total Debt vs. EBITDA</a:t>
            </a:r>
            <a:endParaRPr lang="en-ID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Dashboard!$D$16:$D$20</c:f>
              <c:numCache>
                <c:formatCode>0.00%</c:formatCode>
                <c:ptCount val="5"/>
                <c:pt idx="0">
                  <c:v>4.5892611289582379E-2</c:v>
                </c:pt>
                <c:pt idx="1">
                  <c:v>0.18357044515832951</c:v>
                </c:pt>
                <c:pt idx="2">
                  <c:v>0.27535566773749426</c:v>
                </c:pt>
                <c:pt idx="3">
                  <c:v>9.1785222579164757E-2</c:v>
                </c:pt>
                <c:pt idx="4">
                  <c:v>0.4033960532354291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7-4191-9816-BE5C9F5B4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0598509"/>
        <c:axId val="67980383"/>
      </c:barChart>
      <c:catAx>
        <c:axId val="7059850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67980383"/>
        <c:crosses val="autoZero"/>
        <c:auto val="1"/>
        <c:lblAlgn val="ctr"/>
        <c:lblOffset val="0"/>
        <c:tickMarkSkip val="1"/>
        <c:noMultiLvlLbl val="1"/>
      </c:catAx>
      <c:valAx>
        <c:axId val="67980383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0.00%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70598509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en-ID" sz="1050" b="0">
                <a:solidFill>
                  <a:srgbClr val="333333"/>
                </a:solidFill>
                <a:latin typeface="Arial"/>
              </a:rPr>
              <a:t>Leverage Metrics Trend</a:t>
            </a:r>
            <a:endParaRPr lang="en-ID"/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/>
          </c:spPr>
          <c:marker>
            <c:symbol val="none"/>
          </c:marker>
          <c:val>
            <c:numRef>
              <c:f>Dashboard!$G$35:$G$41</c:f>
              <c:numCache>
                <c:formatCode>_([$$-409]* #,##0.00_);_([$$-409]* \(#,##0.00\);_([$$-409]* "-"??_);_(@_)</c:formatCode>
                <c:ptCount val="7"/>
                <c:pt idx="0">
                  <c:v>755.19734400000016</c:v>
                </c:pt>
                <c:pt idx="1">
                  <c:v>166.14341568000003</c:v>
                </c:pt>
                <c:pt idx="2" formatCode="0.00%">
                  <c:v>0.22</c:v>
                </c:pt>
                <c:pt idx="3">
                  <c:v>98.315785200000022</c:v>
                </c:pt>
                <c:pt idx="4">
                  <c:v>585</c:v>
                </c:pt>
                <c:pt idx="5" formatCode="#,##0.0">
                  <c:v>3.5210543710425291</c:v>
                </c:pt>
                <c:pt idx="6" formatCode="#,##0.0">
                  <c:v>3.6818485469252087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E4-4E8E-AD04-9D71EE6EA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27042"/>
        <c:axId val="16319130"/>
      </c:lineChart>
      <c:catAx>
        <c:axId val="1602704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16319130"/>
        <c:crosses val="autoZero"/>
        <c:auto val="1"/>
        <c:lblAlgn val="ctr"/>
        <c:lblOffset val="0"/>
        <c:tickMarkSkip val="1"/>
        <c:noMultiLvlLbl val="1"/>
      </c:catAx>
      <c:valAx>
        <c:axId val="16319130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16027042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329565</xdr:colOff>
      <xdr:row>7</xdr:row>
      <xdr:rowOff>169545</xdr:rowOff>
    </xdr:from>
    <xdr:to>
      <xdr:col>18</xdr:col>
      <xdr:colOff>62865</xdr:colOff>
      <xdr:row>23</xdr:row>
      <xdr:rowOff>83820</xdr:rowOff>
    </xdr:to>
    <xdr:graphicFrame macro="">
      <xdr:nvGraphicFramePr>
        <xdr:cNvPr id="2" name="DebtVsEBITD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346710</xdr:colOff>
      <xdr:row>23</xdr:row>
      <xdr:rowOff>148590</xdr:rowOff>
    </xdr:from>
    <xdr:to>
      <xdr:col>18</xdr:col>
      <xdr:colOff>45720</xdr:colOff>
      <xdr:row>38</xdr:row>
      <xdr:rowOff>127635</xdr:rowOff>
    </xdr:to>
    <xdr:graphicFrame macro="">
      <xdr:nvGraphicFramePr>
        <xdr:cNvPr id="3" name="LeverageMetrics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13708-6388-BAD8-72E8-2BB4B80D8F7D}">
  <dimension ref="B2:D51"/>
  <sheetViews>
    <sheetView showGridLines="0" tabSelected="1" topLeftCell="A40" workbookViewId="0"/>
  </sheetViews>
  <sheetFormatPr defaultColWidth="7.796875" defaultRowHeight="15" customHeight="1"/>
  <cols>
    <col min="2" max="2" width="31.296875" customWidth="1"/>
    <col min="3" max="4" width="12.5" customWidth="1"/>
  </cols>
  <sheetData>
    <row r="2" spans="2:4" ht="15.75" customHeight="1">
      <c r="B2" s="1" t="s">
        <v>0</v>
      </c>
    </row>
    <row r="4" spans="2:4" ht="12.75" customHeight="1">
      <c r="B4" s="2" t="s">
        <v>1</v>
      </c>
    </row>
    <row r="5" spans="2:4" ht="15.75" customHeight="1">
      <c r="B5" t="s">
        <v>2</v>
      </c>
      <c r="C5" s="3">
        <v>500</v>
      </c>
      <c r="D5" t="s">
        <v>3</v>
      </c>
    </row>
    <row r="6" spans="2:4" ht="15.75" customHeight="1">
      <c r="B6" t="s">
        <v>4</v>
      </c>
      <c r="C6" s="4">
        <v>0.2</v>
      </c>
    </row>
    <row r="7" spans="2:4" ht="15.75" customHeight="1">
      <c r="B7" t="s">
        <v>5</v>
      </c>
      <c r="C7" s="5">
        <f t="shared" ref="C7:C9" si="0">C5*C6</f>
        <v>100</v>
      </c>
      <c r="D7" t="s">
        <v>3</v>
      </c>
    </row>
    <row r="8" spans="2:4" ht="15.75" customHeight="1">
      <c r="B8" t="s">
        <v>6</v>
      </c>
      <c r="C8" s="6">
        <v>10</v>
      </c>
      <c r="D8" t="s">
        <v>7</v>
      </c>
    </row>
    <row r="9" spans="2:4" ht="15.75" customHeight="1">
      <c r="B9" t="s">
        <v>8</v>
      </c>
      <c r="C9" s="5">
        <f t="shared" si="0"/>
        <v>1000</v>
      </c>
      <c r="D9" t="s">
        <v>3</v>
      </c>
    </row>
    <row r="10" spans="2:4" ht="15.75" customHeight="1">
      <c r="B10" t="s">
        <v>9</v>
      </c>
      <c r="C10" s="3">
        <v>150</v>
      </c>
      <c r="D10" t="s">
        <v>3</v>
      </c>
    </row>
    <row r="11" spans="2:4" ht="15.75" customHeight="1">
      <c r="B11" t="s">
        <v>10</v>
      </c>
      <c r="C11" s="3">
        <v>50</v>
      </c>
      <c r="D11" t="s">
        <v>3</v>
      </c>
    </row>
    <row r="12" spans="2:4" ht="15.75" customHeight="1">
      <c r="B12" t="s">
        <v>11</v>
      </c>
      <c r="C12" s="5">
        <f>C9-C10+C11</f>
        <v>900</v>
      </c>
      <c r="D12" t="s">
        <v>3</v>
      </c>
    </row>
    <row r="13" spans="2:4" ht="15.75" customHeight="1">
      <c r="B13" t="s">
        <v>12</v>
      </c>
      <c r="C13" s="4">
        <v>0.02</v>
      </c>
    </row>
    <row r="14" spans="2:4" ht="15.75" customHeight="1">
      <c r="B14" t="s">
        <v>13</v>
      </c>
      <c r="C14" s="5">
        <f>C9*C13</f>
        <v>20</v>
      </c>
      <c r="D14" t="s">
        <v>3</v>
      </c>
    </row>
    <row r="15" spans="2:4" ht="15.75" customHeight="1">
      <c r="B15" t="s">
        <v>14</v>
      </c>
      <c r="C15" s="4">
        <v>0.03</v>
      </c>
    </row>
    <row r="16" spans="2:4" ht="15" customHeight="1">
      <c r="C16" s="7"/>
    </row>
    <row r="17" spans="2:3" ht="12.75" customHeight="1">
      <c r="B17" s="2" t="s">
        <v>15</v>
      </c>
      <c r="C17" s="7"/>
    </row>
    <row r="18" spans="2:3" ht="15.75" customHeight="1">
      <c r="B18" t="s">
        <v>16</v>
      </c>
      <c r="C18" s="4">
        <v>0.1</v>
      </c>
    </row>
    <row r="19" spans="2:3" ht="15.75" customHeight="1">
      <c r="B19" t="s">
        <v>17</v>
      </c>
      <c r="C19" s="4">
        <v>0.09</v>
      </c>
    </row>
    <row r="20" spans="2:3" ht="15.75" customHeight="1">
      <c r="B20" t="s">
        <v>18</v>
      </c>
      <c r="C20" s="4">
        <v>0.08</v>
      </c>
    </row>
    <row r="21" spans="2:3" ht="15.75" customHeight="1">
      <c r="B21" t="s">
        <v>19</v>
      </c>
      <c r="C21" s="4">
        <v>0.08</v>
      </c>
    </row>
    <row r="22" spans="2:3" ht="15.75" customHeight="1">
      <c r="B22" t="s">
        <v>20</v>
      </c>
      <c r="C22" s="4">
        <v>0.08</v>
      </c>
    </row>
    <row r="23" spans="2:3" ht="15.75" customHeight="1">
      <c r="B23" t="s">
        <v>21</v>
      </c>
      <c r="C23" s="4">
        <v>0.2</v>
      </c>
    </row>
    <row r="24" spans="2:3" ht="15.75" customHeight="1">
      <c r="B24" t="s">
        <v>22</v>
      </c>
      <c r="C24" s="4">
        <v>0.21</v>
      </c>
    </row>
    <row r="25" spans="2:3" ht="15.75" customHeight="1">
      <c r="B25" t="s">
        <v>23</v>
      </c>
      <c r="C25" s="4">
        <v>0.21</v>
      </c>
    </row>
    <row r="26" spans="2:3" ht="15.75" customHeight="1">
      <c r="B26" t="s">
        <v>24</v>
      </c>
      <c r="C26" s="4">
        <v>0.22</v>
      </c>
    </row>
    <row r="27" spans="2:3" ht="15.75" customHeight="1">
      <c r="B27" t="s">
        <v>25</v>
      </c>
      <c r="C27" s="4">
        <v>0.22</v>
      </c>
    </row>
    <row r="28" spans="2:3" ht="15.75" customHeight="1">
      <c r="B28" t="s">
        <v>26</v>
      </c>
      <c r="C28" s="4">
        <v>0.03</v>
      </c>
    </row>
    <row r="29" spans="2:3" ht="15.75" customHeight="1">
      <c r="B29" t="s">
        <v>27</v>
      </c>
      <c r="C29" s="4">
        <v>0.1</v>
      </c>
    </row>
    <row r="30" spans="2:3" ht="15.75" customHeight="1">
      <c r="B30" t="s">
        <v>28</v>
      </c>
      <c r="C30" s="4">
        <v>0.25</v>
      </c>
    </row>
    <row r="31" spans="2:3" ht="15.75" customHeight="1">
      <c r="B31" t="s">
        <v>29</v>
      </c>
      <c r="C31" s="4">
        <v>0.04</v>
      </c>
    </row>
    <row r="32" spans="2:3" ht="15" customHeight="1">
      <c r="C32" s="7"/>
    </row>
    <row r="33" spans="2:4" ht="12.75" customHeight="1">
      <c r="B33" s="2" t="s">
        <v>30</v>
      </c>
      <c r="C33" s="7"/>
    </row>
    <row r="34" spans="2:4" ht="15.75" customHeight="1">
      <c r="B34" t="s">
        <v>31</v>
      </c>
      <c r="C34" s="4">
        <v>0.05</v>
      </c>
    </row>
    <row r="35" spans="2:4" ht="15.75" customHeight="1">
      <c r="B35" t="s">
        <v>32</v>
      </c>
      <c r="C35" s="4">
        <v>5.5E-2</v>
      </c>
    </row>
    <row r="36" spans="2:4" ht="15.75" customHeight="1">
      <c r="B36" t="s">
        <v>33</v>
      </c>
      <c r="C36" s="4">
        <v>0.2</v>
      </c>
    </row>
    <row r="37" spans="2:4" ht="15.75" customHeight="1">
      <c r="B37" t="s">
        <v>34</v>
      </c>
      <c r="C37" s="4">
        <v>6.5000000000000002E-2</v>
      </c>
    </row>
    <row r="38" spans="2:4" ht="15.75" customHeight="1">
      <c r="B38" t="s">
        <v>35</v>
      </c>
      <c r="C38" s="4">
        <v>0.05</v>
      </c>
    </row>
    <row r="39" spans="2:4" ht="15.75" customHeight="1">
      <c r="B39" t="s">
        <v>36</v>
      </c>
      <c r="C39" s="4">
        <v>0.3</v>
      </c>
    </row>
    <row r="40" spans="2:4" ht="15.75" customHeight="1">
      <c r="B40" t="s">
        <v>37</v>
      </c>
      <c r="C40" s="4">
        <v>7.4999999999999997E-2</v>
      </c>
    </row>
    <row r="41" spans="2:4" ht="15.75" customHeight="1">
      <c r="B41" t="s">
        <v>38</v>
      </c>
      <c r="C41" s="4">
        <v>0.01</v>
      </c>
    </row>
    <row r="42" spans="2:4" ht="15.75" customHeight="1">
      <c r="B42" t="s">
        <v>39</v>
      </c>
      <c r="C42" s="4">
        <v>0.1</v>
      </c>
    </row>
    <row r="43" spans="2:4" ht="15.75" customHeight="1">
      <c r="B43" t="s">
        <v>40</v>
      </c>
      <c r="C43" s="4">
        <v>9.5000000000000001E-2</v>
      </c>
    </row>
    <row r="44" spans="2:4" ht="15.75" customHeight="1">
      <c r="B44" t="s">
        <v>41</v>
      </c>
      <c r="C44" s="4">
        <v>0</v>
      </c>
      <c r="D44" t="s">
        <v>42</v>
      </c>
    </row>
    <row r="45" spans="2:4" ht="15.75" customHeight="1">
      <c r="B45" t="s">
        <v>43</v>
      </c>
      <c r="C45" s="8">
        <f>C34+C36+C39+C42</f>
        <v>0.65</v>
      </c>
    </row>
    <row r="46" spans="2:4" ht="15.75" customHeight="1">
      <c r="B46" t="s">
        <v>44</v>
      </c>
      <c r="C46" s="8">
        <f>1-C45</f>
        <v>0.35</v>
      </c>
    </row>
    <row r="47" spans="2:4" ht="15" customHeight="1">
      <c r="C47" s="7"/>
    </row>
    <row r="48" spans="2:4" ht="12.75" customHeight="1">
      <c r="B48" s="2" t="s">
        <v>45</v>
      </c>
      <c r="C48" s="7"/>
    </row>
    <row r="49" spans="2:4" ht="15.75" customHeight="1">
      <c r="B49" t="s">
        <v>46</v>
      </c>
      <c r="C49" s="6">
        <v>10</v>
      </c>
      <c r="D49" t="s">
        <v>7</v>
      </c>
    </row>
    <row r="50" spans="2:4" ht="15.75" customHeight="1">
      <c r="B50" t="s">
        <v>47</v>
      </c>
      <c r="C50" s="3">
        <v>5</v>
      </c>
    </row>
    <row r="51" spans="2:4" ht="15" customHeight="1">
      <c r="C51" s="7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FBA28-7CC8-F448-0F95-0D2952BD368C}">
  <dimension ref="B2:H81"/>
  <sheetViews>
    <sheetView showGridLines="0" workbookViewId="0"/>
  </sheetViews>
  <sheetFormatPr defaultColWidth="7.796875" defaultRowHeight="15" customHeight="1"/>
  <sheetData>
    <row r="2" spans="2:4" ht="12.75" customHeight="1">
      <c r="B2" s="9" t="s">
        <v>48</v>
      </c>
    </row>
    <row r="4" spans="2:4" ht="12" customHeight="1">
      <c r="B4" s="10" t="s">
        <v>49</v>
      </c>
      <c r="C4" s="10" t="s">
        <v>50</v>
      </c>
      <c r="D4" s="10" t="s">
        <v>51</v>
      </c>
    </row>
    <row r="5" spans="2:4" ht="15.75" customHeight="1">
      <c r="B5" t="s">
        <v>52</v>
      </c>
      <c r="C5" s="11">
        <f>Assumptions!C9*Assumptions!C34</f>
        <v>50</v>
      </c>
      <c r="D5" s="12">
        <f>C5/C10</f>
        <v>4.5892611289582379E-2</v>
      </c>
    </row>
    <row r="6" spans="2:4" ht="15.75" customHeight="1">
      <c r="B6" t="s">
        <v>53</v>
      </c>
      <c r="C6" s="11">
        <f>Assumptions!C9*Assumptions!C36</f>
        <v>200</v>
      </c>
      <c r="D6" s="12">
        <f t="shared" ref="D6:D13" si="0">C6/C10</f>
        <v>0.18357044515832951</v>
      </c>
    </row>
    <row r="7" spans="2:4" ht="15.75" customHeight="1">
      <c r="B7" t="s">
        <v>54</v>
      </c>
      <c r="C7" s="11">
        <f>Assumptions!C9*Assumptions!C39</f>
        <v>300</v>
      </c>
      <c r="D7" s="12">
        <f t="shared" ref="D7:D14" si="1">C7/C10</f>
        <v>0.27535566773749426</v>
      </c>
    </row>
    <row r="8" spans="2:4" ht="15.75" customHeight="1">
      <c r="B8" t="s">
        <v>55</v>
      </c>
      <c r="C8" s="11">
        <f>Assumptions!C9*Assumptions!C42</f>
        <v>100</v>
      </c>
      <c r="D8" s="12">
        <f t="shared" ref="D8:D15" si="2">C8/C10</f>
        <v>9.1785222579164757E-2</v>
      </c>
    </row>
    <row r="9" spans="2:4" ht="15.75" customHeight="1">
      <c r="B9" t="s">
        <v>56</v>
      </c>
      <c r="C9" s="12">
        <f>C17-C5-C6-C7-C8</f>
        <v>439.5</v>
      </c>
      <c r="D9" s="12">
        <f t="shared" ref="D9:D16" si="3">C9/C10</f>
        <v>0.4033960532354291</v>
      </c>
    </row>
    <row r="10" spans="2:4" ht="12" customHeight="1">
      <c r="B10" s="13" t="s">
        <v>57</v>
      </c>
      <c r="C10" s="14">
        <f t="shared" ref="C10:D10" si="4">SUM(C5:C9)</f>
        <v>1089.5</v>
      </c>
      <c r="D10" s="14">
        <f t="shared" si="4"/>
        <v>1</v>
      </c>
    </row>
    <row r="11" spans="2:4" ht="15" customHeight="1">
      <c r="C11" s="15"/>
      <c r="D11" s="15"/>
    </row>
    <row r="12" spans="2:4" ht="12" customHeight="1">
      <c r="B12" s="10" t="s">
        <v>58</v>
      </c>
      <c r="C12" s="16"/>
      <c r="D12" s="16"/>
    </row>
    <row r="13" spans="2:4" ht="15.75" customHeight="1">
      <c r="B13" t="s">
        <v>59</v>
      </c>
      <c r="C13" s="11" cm="1">
        <f t="array" ref="C13">Assumptions!C12</f>
        <v>900</v>
      </c>
      <c r="D13" s="8">
        <f t="shared" si="0"/>
        <v>0.82606700321248283</v>
      </c>
    </row>
    <row r="14" spans="2:4" ht="15.75" customHeight="1">
      <c r="B14" t="s">
        <v>60</v>
      </c>
      <c r="C14" s="11" cm="1">
        <f t="array" ref="C14">Assumptions!C10</f>
        <v>150</v>
      </c>
      <c r="D14" s="8">
        <f t="shared" si="1"/>
        <v>0.13767783386874713</v>
      </c>
    </row>
    <row r="15" spans="2:4" ht="15.75" customHeight="1">
      <c r="B15" t="s">
        <v>61</v>
      </c>
      <c r="C15" s="11" cm="1">
        <f t="array" ref="C15">Assumptions!C14</f>
        <v>20</v>
      </c>
      <c r="D15" s="8">
        <f t="shared" si="2"/>
        <v>1.8357044515832952E-2</v>
      </c>
    </row>
    <row r="16" spans="2:4" ht="15.75" customHeight="1">
      <c r="B16" t="s">
        <v>62</v>
      </c>
      <c r="C16" s="11">
        <f>(C5+C6+C7+C8)*Assumptions!C15</f>
        <v>19.5</v>
      </c>
      <c r="D16" s="8">
        <f t="shared" si="3"/>
        <v>1.7898118402937126E-2</v>
      </c>
    </row>
    <row r="17" spans="2:8" ht="12" customHeight="1">
      <c r="B17" s="13" t="s">
        <v>63</v>
      </c>
      <c r="C17" s="14">
        <f t="shared" ref="C17:D17" si="5">SUM(C13:C16)</f>
        <v>1089.5</v>
      </c>
      <c r="D17" s="17">
        <f t="shared" si="5"/>
        <v>1</v>
      </c>
    </row>
    <row r="18" spans="2:8" ht="15" customHeight="1">
      <c r="C18" s="15"/>
      <c r="D18" s="15"/>
    </row>
    <row r="19" spans="2:8" ht="12" customHeight="1">
      <c r="B19" s="18" t="s">
        <v>64</v>
      </c>
      <c r="C19" s="19">
        <f>C10-C17</f>
        <v>0</v>
      </c>
      <c r="D19" s="15"/>
    </row>
    <row r="20" spans="2:8" ht="15" customHeight="1">
      <c r="C20" s="15"/>
      <c r="D20" s="15"/>
    </row>
    <row r="21" spans="2:8" ht="15" customHeight="1">
      <c r="C21" s="15"/>
      <c r="D21" s="15"/>
    </row>
    <row r="22" spans="2:8" ht="12.75" customHeight="1">
      <c r="B22" s="9" t="s">
        <v>65</v>
      </c>
    </row>
    <row r="24" spans="2:8" ht="12" customHeight="1">
      <c r="B24" s="10" t="s">
        <v>66</v>
      </c>
      <c r="C24" s="10" t="s">
        <v>67</v>
      </c>
      <c r="D24" s="10" t="s">
        <v>68</v>
      </c>
      <c r="E24" s="10" t="s">
        <v>69</v>
      </c>
      <c r="F24" s="10" t="s">
        <v>70</v>
      </c>
      <c r="G24" s="10" t="s">
        <v>71</v>
      </c>
      <c r="H24" s="10" t="s">
        <v>72</v>
      </c>
    </row>
    <row r="25" spans="2:8" ht="15.75" customHeight="1">
      <c r="B25" t="s">
        <v>73</v>
      </c>
      <c r="C25" s="11" cm="1">
        <f t="array" ref="C25">Assumptions!C5</f>
        <v>500</v>
      </c>
      <c r="D25" s="11">
        <f>C25*(1+Assumptions!C18)</f>
        <v>550</v>
      </c>
      <c r="E25" s="11">
        <f>D25*(1+Assumptions!C19)</f>
        <v>599.5</v>
      </c>
      <c r="F25" s="11">
        <f>E25*(1+Assumptions!C20)</f>
        <v>647.46</v>
      </c>
      <c r="G25" s="11">
        <f>F25*(1+Assumptions!C21)</f>
        <v>699.25680000000011</v>
      </c>
      <c r="H25" s="11">
        <f>G25*(1+Assumptions!C22)</f>
        <v>755.19734400000016</v>
      </c>
    </row>
    <row r="26" spans="2:8" ht="15.75" customHeight="1">
      <c r="B26" t="s">
        <v>74</v>
      </c>
      <c r="C26" s="11" cm="1">
        <f t="array" ref="C26">Assumptions!C7</f>
        <v>100</v>
      </c>
      <c r="D26" s="11">
        <f>D25*Assumptions!C23</f>
        <v>110</v>
      </c>
      <c r="E26" s="11">
        <f>E25*Assumptions!C24</f>
        <v>125.895</v>
      </c>
      <c r="F26" s="11">
        <f>F25*Assumptions!C25</f>
        <v>135.9666</v>
      </c>
      <c r="G26" s="11">
        <f>G25*Assumptions!C26</f>
        <v>153.83649600000004</v>
      </c>
      <c r="H26" s="11">
        <f>H25*Assumptions!C27</f>
        <v>166.14341568000003</v>
      </c>
    </row>
    <row r="27" spans="2:8" ht="15.75" customHeight="1">
      <c r="B27" t="s">
        <v>75</v>
      </c>
      <c r="C27" s="11">
        <f>C25*Assumptions!C31</f>
        <v>20</v>
      </c>
      <c r="D27" s="11">
        <f>D25*Assumptions!C31</f>
        <v>22</v>
      </c>
      <c r="E27" s="11">
        <f>E25*Assumptions!C31</f>
        <v>23.98</v>
      </c>
      <c r="F27" s="11">
        <f>F25*Assumptions!C31</f>
        <v>25.898400000000002</v>
      </c>
      <c r="G27" s="11">
        <f>G25*Assumptions!C31</f>
        <v>27.970272000000005</v>
      </c>
      <c r="H27" s="11">
        <f>H25*Assumptions!C31</f>
        <v>30.207893760000008</v>
      </c>
    </row>
    <row r="28" spans="2:8" ht="15.75" customHeight="1">
      <c r="B28" t="s">
        <v>76</v>
      </c>
      <c r="C28" s="12">
        <f t="shared" ref="C28:H79" si="6">C26-C27</f>
        <v>80</v>
      </c>
      <c r="D28" s="12">
        <f t="shared" si="6"/>
        <v>88</v>
      </c>
      <c r="E28" s="12">
        <f t="shared" si="6"/>
        <v>101.91499999999999</v>
      </c>
      <c r="F28" s="12">
        <f t="shared" si="6"/>
        <v>110.06819999999999</v>
      </c>
      <c r="G28" s="12">
        <f t="shared" si="6"/>
        <v>125.86622400000003</v>
      </c>
      <c r="H28" s="12">
        <f t="shared" si="6"/>
        <v>135.93552192000001</v>
      </c>
    </row>
    <row r="29" spans="2:8" ht="15.75" customHeight="1">
      <c r="B29" t="s">
        <v>77</v>
      </c>
      <c r="C29" s="20">
        <v>0</v>
      </c>
      <c r="D29" s="12" cm="1">
        <f t="array" ref="D29">D54</f>
        <v>47.75</v>
      </c>
      <c r="E29" s="12" cm="1">
        <f t="array" ref="E29">E54</f>
        <v>47.75</v>
      </c>
      <c r="F29" s="12" cm="1">
        <f t="array" ref="F29">F54</f>
        <v>46.875</v>
      </c>
      <c r="G29" s="12" cm="1">
        <f t="array" ref="G29">G54</f>
        <v>46</v>
      </c>
      <c r="H29" s="12" cm="1">
        <f t="array" ref="H29">H54</f>
        <v>45.125</v>
      </c>
    </row>
    <row r="30" spans="2:8" ht="15.75" customHeight="1">
      <c r="B30" t="s">
        <v>78</v>
      </c>
      <c r="C30" s="12">
        <f t="shared" si="6"/>
        <v>80</v>
      </c>
      <c r="D30" s="12">
        <f t="shared" si="6"/>
        <v>40.25</v>
      </c>
      <c r="E30" s="12">
        <f t="shared" si="6"/>
        <v>54.164999999999992</v>
      </c>
      <c r="F30" s="12">
        <f t="shared" si="6"/>
        <v>63.19319999999999</v>
      </c>
      <c r="G30" s="12">
        <f t="shared" si="6"/>
        <v>79.866224000000031</v>
      </c>
      <c r="H30" s="12">
        <f t="shared" si="6"/>
        <v>90.810521920000014</v>
      </c>
    </row>
    <row r="31" spans="2:8" ht="15.75" customHeight="1">
      <c r="B31" t="s">
        <v>79</v>
      </c>
      <c r="C31" s="11">
        <f>C30*Assumptions!C30</f>
        <v>20</v>
      </c>
      <c r="D31" s="11">
        <f>D30*Assumptions!C30</f>
        <v>10.0625</v>
      </c>
      <c r="E31" s="11">
        <f>E30*Assumptions!C30</f>
        <v>13.541249999999998</v>
      </c>
      <c r="F31" s="11">
        <f>F30*Assumptions!C30</f>
        <v>15.798299999999998</v>
      </c>
      <c r="G31" s="11">
        <f>G30*Assumptions!C30</f>
        <v>19.966556000000008</v>
      </c>
      <c r="H31" s="11">
        <f>H30*Assumptions!C30</f>
        <v>22.702630480000003</v>
      </c>
    </row>
    <row r="32" spans="2:8" ht="12" customHeight="1">
      <c r="B32" s="21" t="s">
        <v>80</v>
      </c>
      <c r="C32" s="22">
        <f t="shared" si="6"/>
        <v>60</v>
      </c>
      <c r="D32" s="22">
        <f t="shared" si="6"/>
        <v>30.1875</v>
      </c>
      <c r="E32" s="22">
        <f t="shared" si="6"/>
        <v>40.623749999999994</v>
      </c>
      <c r="F32" s="22">
        <f t="shared" si="6"/>
        <v>47.394899999999993</v>
      </c>
      <c r="G32" s="22">
        <f t="shared" si="6"/>
        <v>59.89966800000002</v>
      </c>
      <c r="H32" s="22">
        <f t="shared" si="6"/>
        <v>68.107891440000003</v>
      </c>
    </row>
    <row r="35" spans="2:8" ht="12.75" customHeight="1">
      <c r="B35" s="9" t="s">
        <v>81</v>
      </c>
    </row>
    <row r="37" spans="2:8" ht="12" customHeight="1">
      <c r="B37" s="10" t="s">
        <v>66</v>
      </c>
      <c r="C37" s="10" t="s">
        <v>67</v>
      </c>
      <c r="D37" s="10" t="s">
        <v>68</v>
      </c>
      <c r="E37" s="10" t="s">
        <v>69</v>
      </c>
      <c r="F37" s="10" t="s">
        <v>70</v>
      </c>
      <c r="G37" s="10" t="s">
        <v>71</v>
      </c>
      <c r="H37" s="10" t="s">
        <v>72</v>
      </c>
    </row>
    <row r="38" spans="2:8" ht="15.75" customHeight="1">
      <c r="B38" t="s">
        <v>82</v>
      </c>
      <c r="C38" s="12" cm="1">
        <f t="array" ref="C38">C5</f>
        <v>50</v>
      </c>
      <c r="D38" s="12" cm="1">
        <f t="array" ref="D38">C38</f>
        <v>50</v>
      </c>
      <c r="E38" s="12" cm="1">
        <f t="array" ref="E38">D38</f>
        <v>50</v>
      </c>
      <c r="F38" s="12" cm="1">
        <f t="array" ref="F38">E38</f>
        <v>50</v>
      </c>
      <c r="G38" s="12" cm="1">
        <f t="array" ref="G38">F38</f>
        <v>50</v>
      </c>
      <c r="H38" s="12" cm="1">
        <f t="array" ref="H38">G38</f>
        <v>50</v>
      </c>
    </row>
    <row r="39" spans="2:8" ht="15.75" customHeight="1">
      <c r="B39" t="s">
        <v>83</v>
      </c>
      <c r="C39" s="20">
        <v>0</v>
      </c>
      <c r="D39" s="11">
        <f>C38*Assumptions!C35</f>
        <v>2.75</v>
      </c>
      <c r="E39" s="11">
        <f>D38*Assumptions!C35</f>
        <v>2.75</v>
      </c>
      <c r="F39" s="11">
        <f>E38*Assumptions!C35</f>
        <v>2.75</v>
      </c>
      <c r="G39" s="11">
        <f>F38*Assumptions!C35</f>
        <v>2.75</v>
      </c>
      <c r="H39" s="11">
        <f>G38*Assumptions!C35</f>
        <v>2.75</v>
      </c>
    </row>
    <row r="40" spans="2:8" ht="15.75" customHeight="1">
      <c r="B40" t="s">
        <v>84</v>
      </c>
      <c r="C40" s="12" cm="1">
        <f t="array" ref="C40">C38</f>
        <v>50</v>
      </c>
      <c r="D40" s="12" cm="1">
        <f t="array" ref="D40">D38</f>
        <v>50</v>
      </c>
      <c r="E40" s="12" cm="1">
        <f t="array" ref="E40">E38</f>
        <v>50</v>
      </c>
      <c r="F40" s="12" cm="1">
        <f t="array" ref="F40">F38</f>
        <v>50</v>
      </c>
      <c r="G40" s="12" cm="1">
        <f t="array" ref="G40">G38</f>
        <v>50</v>
      </c>
      <c r="H40" s="12" cm="1">
        <f t="array" ref="H40">H38</f>
        <v>50</v>
      </c>
    </row>
    <row r="41" spans="2:8" ht="15.75" customHeight="1">
      <c r="B41" t="s">
        <v>85</v>
      </c>
      <c r="C41" s="12" cm="1">
        <f t="array" ref="C41">C6</f>
        <v>200</v>
      </c>
      <c r="D41" s="12" cm="1">
        <f t="array" ref="D41">C44</f>
        <v>200</v>
      </c>
      <c r="E41" s="12" cm="1">
        <f t="array" ref="E41">D44</f>
        <v>190</v>
      </c>
      <c r="F41" s="12" cm="1">
        <f t="array" ref="F41">E44</f>
        <v>180</v>
      </c>
      <c r="G41" s="12" cm="1">
        <f t="array" ref="G41">F44</f>
        <v>170</v>
      </c>
      <c r="H41" s="12" cm="1">
        <f t="array" ref="H41">G44</f>
        <v>160</v>
      </c>
    </row>
    <row r="42" spans="2:8" ht="15.75" customHeight="1">
      <c r="B42" t="s">
        <v>86</v>
      </c>
      <c r="C42" s="20">
        <v>0</v>
      </c>
      <c r="D42" s="11">
        <f>C6*Assumptions!C38</f>
        <v>10</v>
      </c>
      <c r="E42" s="11">
        <f>C6*Assumptions!C38</f>
        <v>10</v>
      </c>
      <c r="F42" s="11">
        <f>C6*Assumptions!C38</f>
        <v>10</v>
      </c>
      <c r="G42" s="11">
        <f>C6*Assumptions!C38</f>
        <v>10</v>
      </c>
      <c r="H42" s="11">
        <f>C6*Assumptions!C38</f>
        <v>10</v>
      </c>
    </row>
    <row r="43" spans="2:8" ht="15.75" customHeight="1">
      <c r="B43" t="s">
        <v>87</v>
      </c>
      <c r="C43" s="20">
        <v>0</v>
      </c>
      <c r="D43" s="11">
        <f>C41*Assumptions!C37</f>
        <v>13</v>
      </c>
      <c r="E43" s="11">
        <f>D41*Assumptions!C37</f>
        <v>13</v>
      </c>
      <c r="F43" s="11">
        <f>E41*Assumptions!C37</f>
        <v>12.35</v>
      </c>
      <c r="G43" s="11">
        <f>F41*Assumptions!C37</f>
        <v>11.700000000000001</v>
      </c>
      <c r="H43" s="11">
        <f>G41*Assumptions!C37</f>
        <v>11.05</v>
      </c>
    </row>
    <row r="44" spans="2:8" ht="15.75" customHeight="1">
      <c r="B44" t="s">
        <v>88</v>
      </c>
      <c r="C44" s="12" cm="1">
        <f t="array" ref="C44">C41</f>
        <v>200</v>
      </c>
      <c r="D44" s="12">
        <f t="shared" ref="D44:H48" si="7">D41-D42</f>
        <v>190</v>
      </c>
      <c r="E44" s="12">
        <f t="shared" si="7"/>
        <v>180</v>
      </c>
      <c r="F44" s="12">
        <f t="shared" si="7"/>
        <v>170</v>
      </c>
      <c r="G44" s="12">
        <f t="shared" si="7"/>
        <v>160</v>
      </c>
      <c r="H44" s="12">
        <f t="shared" si="7"/>
        <v>150</v>
      </c>
    </row>
    <row r="45" spans="2:8" ht="15.75" customHeight="1">
      <c r="B45" t="s">
        <v>89</v>
      </c>
      <c r="C45" s="12" cm="1">
        <f t="array" ref="C45">C7</f>
        <v>300</v>
      </c>
      <c r="D45" s="12" cm="1">
        <f t="array" ref="D45">C48</f>
        <v>300</v>
      </c>
      <c r="E45" s="12" cm="1">
        <f t="array" ref="E45">D48</f>
        <v>297</v>
      </c>
      <c r="F45" s="12" cm="1">
        <f t="array" ref="F45">E48</f>
        <v>294</v>
      </c>
      <c r="G45" s="12" cm="1">
        <f t="array" ref="G45">F48</f>
        <v>291</v>
      </c>
      <c r="H45" s="12" cm="1">
        <f t="array" ref="H45">G48</f>
        <v>288</v>
      </c>
    </row>
    <row r="46" spans="2:8" ht="15.75" customHeight="1">
      <c r="B46" t="s">
        <v>90</v>
      </c>
      <c r="C46" s="20">
        <v>0</v>
      </c>
      <c r="D46" s="11">
        <f>C7*Assumptions!C41</f>
        <v>3</v>
      </c>
      <c r="E46" s="11">
        <f>C7*Assumptions!C41</f>
        <v>3</v>
      </c>
      <c r="F46" s="11">
        <f>C7*Assumptions!C41</f>
        <v>3</v>
      </c>
      <c r="G46" s="11">
        <f>C7*Assumptions!C41</f>
        <v>3</v>
      </c>
      <c r="H46" s="11">
        <f>C7*Assumptions!C41</f>
        <v>3</v>
      </c>
    </row>
    <row r="47" spans="2:8" ht="15.75" customHeight="1">
      <c r="B47" t="s">
        <v>91</v>
      </c>
      <c r="C47" s="20">
        <v>0</v>
      </c>
      <c r="D47" s="11">
        <f>C45*Assumptions!C40</f>
        <v>22.5</v>
      </c>
      <c r="E47" s="11">
        <f>D45*Assumptions!C40</f>
        <v>22.5</v>
      </c>
      <c r="F47" s="11">
        <f>E45*Assumptions!C40</f>
        <v>22.274999999999999</v>
      </c>
      <c r="G47" s="11">
        <f>F45*Assumptions!C40</f>
        <v>22.05</v>
      </c>
      <c r="H47" s="11">
        <f>G45*Assumptions!C40</f>
        <v>21.824999999999999</v>
      </c>
    </row>
    <row r="48" spans="2:8" ht="15.75" customHeight="1">
      <c r="B48" t="s">
        <v>92</v>
      </c>
      <c r="C48" s="12" cm="1">
        <f t="array" ref="C48">C45</f>
        <v>300</v>
      </c>
      <c r="D48" s="12">
        <f t="shared" si="7"/>
        <v>297</v>
      </c>
      <c r="E48" s="12">
        <f t="shared" si="7"/>
        <v>294</v>
      </c>
      <c r="F48" s="12">
        <f t="shared" si="7"/>
        <v>291</v>
      </c>
      <c r="G48" s="12">
        <f t="shared" si="7"/>
        <v>288</v>
      </c>
      <c r="H48" s="12">
        <f t="shared" si="7"/>
        <v>285</v>
      </c>
    </row>
    <row r="49" spans="2:8" ht="15.75" customHeight="1">
      <c r="B49" t="s">
        <v>93</v>
      </c>
      <c r="C49" s="12" cm="1">
        <f t="array" ref="C49">C8</f>
        <v>100</v>
      </c>
      <c r="D49" s="12" cm="1">
        <f t="array" ref="D49">C51</f>
        <v>100</v>
      </c>
      <c r="E49" s="12" cm="1">
        <f t="array" ref="E49">D51</f>
        <v>100</v>
      </c>
      <c r="F49" s="12" cm="1">
        <f t="array" ref="F49">E51</f>
        <v>100</v>
      </c>
      <c r="G49" s="12" cm="1">
        <f t="array" ref="G49">F51</f>
        <v>100</v>
      </c>
      <c r="H49" s="12" cm="1">
        <f t="array" ref="H49">G51</f>
        <v>100</v>
      </c>
    </row>
    <row r="50" spans="2:8" ht="15.75" customHeight="1">
      <c r="B50" t="s">
        <v>94</v>
      </c>
      <c r="C50" s="20">
        <v>0</v>
      </c>
      <c r="D50" s="11">
        <f>C49*Assumptions!C43</f>
        <v>9.5</v>
      </c>
      <c r="E50" s="11">
        <f>D49*Assumptions!C43</f>
        <v>9.5</v>
      </c>
      <c r="F50" s="11">
        <f>E49*Assumptions!C43</f>
        <v>9.5</v>
      </c>
      <c r="G50" s="11">
        <f>F49*Assumptions!C43</f>
        <v>9.5</v>
      </c>
      <c r="H50" s="11">
        <f>G49*Assumptions!C43</f>
        <v>9.5</v>
      </c>
    </row>
    <row r="51" spans="2:8" ht="15.75" customHeight="1">
      <c r="B51" t="s">
        <v>95</v>
      </c>
      <c r="C51" s="12" cm="1">
        <f t="array" ref="C51">C49</f>
        <v>100</v>
      </c>
      <c r="D51" s="12" cm="1">
        <f t="array" ref="D51">D49</f>
        <v>100</v>
      </c>
      <c r="E51" s="12" cm="1">
        <f t="array" ref="E51">E49</f>
        <v>100</v>
      </c>
      <c r="F51" s="12" cm="1">
        <f t="array" ref="F51">F49</f>
        <v>100</v>
      </c>
      <c r="G51" s="12" cm="1">
        <f t="array" ref="G51">G49</f>
        <v>100</v>
      </c>
      <c r="H51" s="12" cm="1">
        <f t="array" ref="H51">H49</f>
        <v>100</v>
      </c>
    </row>
    <row r="52" spans="2:8" ht="15" customHeight="1">
      <c r="C52" s="15"/>
      <c r="D52" s="15"/>
      <c r="E52" s="15"/>
      <c r="F52" s="15"/>
      <c r="G52" s="15"/>
      <c r="H52" s="15"/>
    </row>
    <row r="53" spans="2:8" ht="12" customHeight="1">
      <c r="B53" s="21" t="s">
        <v>96</v>
      </c>
      <c r="C53" s="22">
        <f t="shared" ref="C53:H53" si="8">C40+C44+C48+C51</f>
        <v>650</v>
      </c>
      <c r="D53" s="22">
        <f t="shared" si="8"/>
        <v>637</v>
      </c>
      <c r="E53" s="22">
        <f t="shared" si="8"/>
        <v>624</v>
      </c>
      <c r="F53" s="22">
        <f t="shared" si="8"/>
        <v>611</v>
      </c>
      <c r="G53" s="22">
        <f t="shared" si="8"/>
        <v>598</v>
      </c>
      <c r="H53" s="22">
        <f t="shared" si="8"/>
        <v>585</v>
      </c>
    </row>
    <row r="54" spans="2:8" ht="12" customHeight="1">
      <c r="B54" s="18" t="s">
        <v>97</v>
      </c>
      <c r="C54" s="19">
        <f t="shared" ref="C54:H54" si="9">C39+C43+C47+C50</f>
        <v>0</v>
      </c>
      <c r="D54" s="19">
        <f t="shared" si="9"/>
        <v>47.75</v>
      </c>
      <c r="E54" s="19">
        <f t="shared" si="9"/>
        <v>47.75</v>
      </c>
      <c r="F54" s="19">
        <f t="shared" si="9"/>
        <v>46.875</v>
      </c>
      <c r="G54" s="19">
        <f t="shared" si="9"/>
        <v>46</v>
      </c>
      <c r="H54" s="19">
        <f t="shared" si="9"/>
        <v>45.125</v>
      </c>
    </row>
    <row r="57" spans="2:8" ht="12.75" customHeight="1">
      <c r="B57" s="9" t="s">
        <v>98</v>
      </c>
    </row>
    <row r="59" spans="2:8" ht="12" customHeight="1">
      <c r="B59" s="10" t="s">
        <v>66</v>
      </c>
      <c r="C59" s="10" t="s">
        <v>67</v>
      </c>
      <c r="D59" s="10" t="s">
        <v>68</v>
      </c>
      <c r="E59" s="10" t="s">
        <v>69</v>
      </c>
      <c r="F59" s="10" t="s">
        <v>70</v>
      </c>
      <c r="G59" s="10" t="s">
        <v>71</v>
      </c>
      <c r="H59" s="10" t="s">
        <v>72</v>
      </c>
    </row>
    <row r="60" spans="2:8" ht="15.75" customHeight="1">
      <c r="B60" t="s">
        <v>74</v>
      </c>
      <c r="C60" s="12" cm="1">
        <f t="array" ref="C60">C26</f>
        <v>100</v>
      </c>
      <c r="D60" s="12" cm="1">
        <f t="array" ref="D60">D26</f>
        <v>110</v>
      </c>
      <c r="E60" s="12" cm="1">
        <f t="array" ref="E60">E26</f>
        <v>125.895</v>
      </c>
      <c r="F60" s="12" cm="1">
        <f t="array" ref="F60">F26</f>
        <v>135.9666</v>
      </c>
      <c r="G60" s="12" cm="1">
        <f t="array" ref="G60">G26</f>
        <v>153.83649600000004</v>
      </c>
      <c r="H60" s="12" cm="1">
        <f t="array" ref="H60">H26</f>
        <v>166.14341568000003</v>
      </c>
    </row>
    <row r="61" spans="2:8" ht="15.75" customHeight="1">
      <c r="B61" t="s">
        <v>99</v>
      </c>
      <c r="C61" s="11">
        <f>C25*Assumptions!C28</f>
        <v>15</v>
      </c>
      <c r="D61" s="11">
        <f>D25*Assumptions!D28</f>
        <v>0</v>
      </c>
      <c r="E61" s="11">
        <f>E25*Assumptions!E28</f>
        <v>0</v>
      </c>
      <c r="F61" s="11">
        <f>F25*Assumptions!F28</f>
        <v>0</v>
      </c>
      <c r="G61" s="11">
        <f>G25*Assumptions!G28</f>
        <v>0</v>
      </c>
      <c r="H61" s="11">
        <f>H25*Assumptions!H28</f>
        <v>0</v>
      </c>
    </row>
    <row r="62" spans="2:8" ht="15.75" customHeight="1">
      <c r="B62" t="s">
        <v>100</v>
      </c>
      <c r="C62" s="12" cm="1">
        <f t="array" ref="C62">C31</f>
        <v>20</v>
      </c>
      <c r="D62" s="12" cm="1">
        <f t="array" ref="D62">D31</f>
        <v>10.0625</v>
      </c>
      <c r="E62" s="12" cm="1">
        <f t="array" ref="E62">E31</f>
        <v>13.541249999999998</v>
      </c>
      <c r="F62" s="12" cm="1">
        <f t="array" ref="F62">F31</f>
        <v>15.798299999999998</v>
      </c>
      <c r="G62" s="12" cm="1">
        <f t="array" ref="G62">G31</f>
        <v>19.966556000000008</v>
      </c>
      <c r="H62" s="12" cm="1">
        <f t="array" ref="H62">H31</f>
        <v>22.702630480000003</v>
      </c>
    </row>
    <row r="63" spans="2:8" ht="15.75" customHeight="1">
      <c r="B63" t="s">
        <v>101</v>
      </c>
      <c r="C63" s="11">
        <f>D25*Assumptions!C29</f>
        <v>55</v>
      </c>
      <c r="D63" s="11">
        <f>(D25-C25)*Assumptions!C29</f>
        <v>5</v>
      </c>
      <c r="E63" s="11">
        <f>(E25-D25)*Assumptions!D29</f>
        <v>0</v>
      </c>
      <c r="F63" s="11">
        <f>(F25-E25)*Assumptions!E29</f>
        <v>0</v>
      </c>
      <c r="G63" s="11">
        <f>(G25-F25)*Assumptions!F29</f>
        <v>0</v>
      </c>
      <c r="H63" s="11">
        <f>(H25-G25)*Assumptions!G29</f>
        <v>0</v>
      </c>
    </row>
    <row r="64" spans="2:8" ht="15.75" customHeight="1">
      <c r="B64" t="s">
        <v>102</v>
      </c>
      <c r="C64" s="12" cm="1">
        <f t="array" ref="C64">C54</f>
        <v>0</v>
      </c>
      <c r="D64" s="12" cm="1">
        <f t="array" ref="D64">D54</f>
        <v>47.75</v>
      </c>
      <c r="E64" s="12" cm="1">
        <f t="array" ref="E64">E54</f>
        <v>47.75</v>
      </c>
      <c r="F64" s="12" cm="1">
        <f t="array" ref="F64">F54</f>
        <v>46.875</v>
      </c>
      <c r="G64" s="12" cm="1">
        <f t="array" ref="G64">G54</f>
        <v>46</v>
      </c>
      <c r="H64" s="12" cm="1">
        <f t="array" ref="H64">H54</f>
        <v>45.125</v>
      </c>
    </row>
    <row r="65" spans="2:8" ht="12" customHeight="1">
      <c r="B65" s="21" t="s">
        <v>103</v>
      </c>
      <c r="C65" s="22">
        <f t="shared" ref="C65:H65" si="10">C60-C61-C62-C63-C64</f>
        <v>10</v>
      </c>
      <c r="D65" s="22">
        <f t="shared" si="10"/>
        <v>47.1875</v>
      </c>
      <c r="E65" s="22">
        <f t="shared" si="10"/>
        <v>64.603749999999991</v>
      </c>
      <c r="F65" s="22">
        <f t="shared" si="10"/>
        <v>73.293300000000002</v>
      </c>
      <c r="G65" s="22">
        <f t="shared" si="10"/>
        <v>87.869940000000042</v>
      </c>
      <c r="H65" s="22">
        <f t="shared" si="10"/>
        <v>98.315785200000022</v>
      </c>
    </row>
    <row r="68" spans="2:8" ht="12.75" customHeight="1">
      <c r="B68" s="9" t="s">
        <v>104</v>
      </c>
    </row>
    <row r="70" spans="2:8" ht="15.75" customHeight="1">
      <c r="B70" t="s">
        <v>105</v>
      </c>
      <c r="C70" s="23">
        <f t="shared" ref="C70:H70" si="11">C53/C26</f>
        <v>6.5</v>
      </c>
      <c r="D70" s="23">
        <f t="shared" si="11"/>
        <v>5.790909090909091</v>
      </c>
      <c r="E70" s="23">
        <f t="shared" si="11"/>
        <v>4.9565113785297275</v>
      </c>
      <c r="F70" s="23">
        <f t="shared" si="11"/>
        <v>4.4937506711207016</v>
      </c>
      <c r="G70" s="23">
        <f t="shared" si="11"/>
        <v>3.8872440256309519</v>
      </c>
      <c r="H70" s="23">
        <f t="shared" si="11"/>
        <v>3.5210543710425291</v>
      </c>
    </row>
    <row r="71" spans="2:8" ht="15.75" customHeight="1">
      <c r="B71" t="s">
        <v>106</v>
      </c>
      <c r="C71" s="23">
        <f t="shared" ref="C71:H71" si="12">IF(C54=0,0,C26/C54)</f>
        <v>0</v>
      </c>
      <c r="D71" s="23">
        <f t="shared" si="12"/>
        <v>2.3036649214659688</v>
      </c>
      <c r="E71" s="23">
        <f t="shared" si="12"/>
        <v>2.6365445026178009</v>
      </c>
      <c r="F71" s="23">
        <f t="shared" si="12"/>
        <v>2.9006208</v>
      </c>
      <c r="G71" s="23">
        <f t="shared" si="12"/>
        <v>3.344271652173914</v>
      </c>
      <c r="H71" s="23">
        <f t="shared" si="12"/>
        <v>3.6818485469252087</v>
      </c>
    </row>
    <row r="73" spans="2:8" ht="12.75" customHeight="1">
      <c r="B73" s="9" t="s">
        <v>107</v>
      </c>
    </row>
    <row r="75" spans="2:8" ht="15.75" customHeight="1">
      <c r="B75" t="s">
        <v>108</v>
      </c>
      <c r="C75" s="12" cm="1">
        <f t="array" ref="C75">H26</f>
        <v>166.14341568000003</v>
      </c>
    </row>
    <row r="76" spans="2:8" ht="15.75" customHeight="1">
      <c r="B76" t="s">
        <v>109</v>
      </c>
      <c r="C76" s="24" cm="1">
        <f t="array" ref="C76">Assumptions!C49</f>
        <v>10</v>
      </c>
    </row>
    <row r="77" spans="2:8" ht="15.75" customHeight="1">
      <c r="B77" t="s">
        <v>110</v>
      </c>
      <c r="C77" s="12">
        <f>C75*C76</f>
        <v>1661.4341568000004</v>
      </c>
    </row>
    <row r="78" spans="2:8" ht="15.75" customHeight="1">
      <c r="B78" t="s">
        <v>111</v>
      </c>
      <c r="C78" s="12" cm="1">
        <f t="array" ref="C78">H53</f>
        <v>585</v>
      </c>
    </row>
    <row r="79" spans="2:8" ht="15.75" customHeight="1">
      <c r="B79" t="s">
        <v>112</v>
      </c>
      <c r="C79" s="12">
        <f t="shared" si="6"/>
        <v>1076.4341568000004</v>
      </c>
    </row>
    <row r="80" spans="2:8" ht="15.75" customHeight="1">
      <c r="B80" t="s">
        <v>113</v>
      </c>
      <c r="C80" s="12" cm="1">
        <f t="array" ref="C80">C9</f>
        <v>439.5</v>
      </c>
    </row>
    <row r="81" spans="2:3" ht="15.75" customHeight="1">
      <c r="B81" t="s">
        <v>114</v>
      </c>
      <c r="C81" s="23">
        <f>C79/C80</f>
        <v>2.4492244750853254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8DDDB-94E8-C72A-D0A9-05AE2FBE77D8}">
  <dimension ref="B2:L48"/>
  <sheetViews>
    <sheetView showGridLines="0" topLeftCell="A37" workbookViewId="0">
      <selection activeCell="T24" sqref="T24"/>
    </sheetView>
  </sheetViews>
  <sheetFormatPr defaultColWidth="7.796875" defaultRowHeight="15" customHeight="1"/>
  <cols>
    <col min="2" max="2" width="25" customWidth="1"/>
    <col min="3" max="5" width="12.5" customWidth="1"/>
    <col min="6" max="6" width="18.8984375" bestFit="1" customWidth="1"/>
    <col min="7" max="7" width="12.5" customWidth="1"/>
    <col min="10" max="12" width="0" hidden="1" customWidth="1"/>
  </cols>
  <sheetData>
    <row r="2" spans="2:7" ht="18.75" customHeight="1">
      <c r="B2" s="25" t="s">
        <v>115</v>
      </c>
    </row>
    <row r="5" spans="2:7" ht="12.75" customHeight="1">
      <c r="B5" s="26" t="s">
        <v>116</v>
      </c>
      <c r="C5" s="27"/>
      <c r="D5" s="27"/>
      <c r="F5" s="26" t="s">
        <v>117</v>
      </c>
      <c r="G5" s="27"/>
    </row>
    <row r="6" spans="2:7" ht="15.75" customHeight="1">
      <c r="B6" s="28" t="s">
        <v>8</v>
      </c>
      <c r="C6" s="29" cm="1">
        <f t="array" ref="C6">Assumptions!C9</f>
        <v>1000</v>
      </c>
      <c r="F6" s="28" t="s">
        <v>118</v>
      </c>
      <c r="G6" s="30" t="str">
        <f>IF(ABS(C30)&lt;0.01,"PASS","FAIL")</f>
        <v>PASS</v>
      </c>
    </row>
    <row r="7" spans="2:7" ht="15.75" customHeight="1">
      <c r="B7" s="28" t="s">
        <v>9</v>
      </c>
      <c r="C7" s="29" cm="1">
        <f t="array" ref="C7">Assumptions!C10</f>
        <v>150</v>
      </c>
      <c r="F7" s="28" t="s">
        <v>119</v>
      </c>
      <c r="G7" s="29" cm="1">
        <f t="array" ref="G7">C39</f>
        <v>637</v>
      </c>
    </row>
    <row r="8" spans="2:7" ht="15.75" customHeight="1">
      <c r="B8" s="28" t="s">
        <v>10</v>
      </c>
      <c r="C8" s="29" cm="1">
        <f t="array" ref="C8">Assumptions!C11</f>
        <v>50</v>
      </c>
      <c r="F8" s="28" t="s">
        <v>120</v>
      </c>
      <c r="G8" s="29">
        <f>C39-G39</f>
        <v>52</v>
      </c>
    </row>
    <row r="9" spans="2:7" ht="15.75" customHeight="1">
      <c r="B9" s="31" t="s">
        <v>11</v>
      </c>
      <c r="C9" s="32" cm="1">
        <f t="array" ref="C9">Assumptions!C12</f>
        <v>900</v>
      </c>
      <c r="F9" s="33" t="s">
        <v>121</v>
      </c>
      <c r="G9" s="34">
        <f>G8/C39</f>
        <v>8.1632653061224483E-2</v>
      </c>
    </row>
    <row r="11" spans="2:7" ht="15.75" customHeight="1">
      <c r="B11" s="35" t="s">
        <v>122</v>
      </c>
      <c r="C11" s="36" cm="1">
        <f t="array" ref="C11">Assumptions!C8</f>
        <v>10</v>
      </c>
    </row>
    <row r="14" spans="2:7" ht="12.75" customHeight="1">
      <c r="B14" s="26" t="s">
        <v>48</v>
      </c>
      <c r="C14" s="27"/>
      <c r="D14" s="27"/>
      <c r="F14" s="37" t="s">
        <v>123</v>
      </c>
      <c r="G14" s="27"/>
    </row>
    <row r="15" spans="2:7" ht="15.75" customHeight="1">
      <c r="B15" s="38" t="s">
        <v>49</v>
      </c>
      <c r="C15" s="38" t="s">
        <v>50</v>
      </c>
      <c r="D15" s="38" t="s">
        <v>51</v>
      </c>
      <c r="F15" s="28" t="s">
        <v>124</v>
      </c>
      <c r="G15" s="29" cm="1">
        <f t="array" ref="G15">Assumptions!C5</f>
        <v>500</v>
      </c>
    </row>
    <row r="16" spans="2:7" ht="15.75" customHeight="1">
      <c r="B16" s="28" t="s">
        <v>52</v>
      </c>
      <c r="C16" s="29" cm="1">
        <f t="array" ref="C16">Calcs!C5</f>
        <v>50</v>
      </c>
      <c r="D16" s="39" cm="1">
        <f t="array" ref="D16">Calcs!D5</f>
        <v>4.5892611289582379E-2</v>
      </c>
      <c r="F16" s="28" t="s">
        <v>125</v>
      </c>
      <c r="G16" s="29" cm="1">
        <f t="array" ref="G16">Assumptions!C7</f>
        <v>100</v>
      </c>
    </row>
    <row r="17" spans="2:7" ht="15.75" customHeight="1">
      <c r="B17" s="28" t="s">
        <v>53</v>
      </c>
      <c r="C17" s="29" cm="1">
        <f t="array" ref="C17">Calcs!C6</f>
        <v>200</v>
      </c>
      <c r="D17" s="39" cm="1">
        <f t="array" ref="D17">Calcs!D6</f>
        <v>0.18357044515832951</v>
      </c>
      <c r="F17" s="28" t="s">
        <v>126</v>
      </c>
      <c r="G17" s="40" cm="1">
        <f t="array" ref="G17">Assumptions!C8</f>
        <v>10</v>
      </c>
    </row>
    <row r="18" spans="2:7" ht="15.75" customHeight="1">
      <c r="B18" s="28" t="s">
        <v>54</v>
      </c>
      <c r="C18" s="29" cm="1">
        <f t="array" ref="C18">Calcs!C7</f>
        <v>300</v>
      </c>
      <c r="D18" s="39" cm="1">
        <f t="array" ref="D18">Calcs!D7</f>
        <v>0.27535566773749426</v>
      </c>
      <c r="F18" s="28" t="s">
        <v>127</v>
      </c>
      <c r="G18" s="40">
        <f>C39/Assumptions!C7</f>
        <v>6.37</v>
      </c>
    </row>
    <row r="19" spans="2:7" ht="15.75" customHeight="1">
      <c r="B19" s="28" t="s">
        <v>55</v>
      </c>
      <c r="C19" s="29" cm="1">
        <f t="array" ref="C19">Calcs!C8</f>
        <v>100</v>
      </c>
      <c r="D19" s="39" cm="1">
        <f t="array" ref="D19">Calcs!D8</f>
        <v>9.1785222579164757E-2</v>
      </c>
      <c r="F19" s="33" t="s">
        <v>128</v>
      </c>
      <c r="G19" s="34">
        <f>C20/C21</f>
        <v>0.4033960532354291</v>
      </c>
    </row>
    <row r="20" spans="2:7" ht="15.75" customHeight="1">
      <c r="B20" s="28" t="s">
        <v>56</v>
      </c>
      <c r="C20" s="29" cm="1">
        <f t="array" ref="C20">Calcs!C9</f>
        <v>439.5</v>
      </c>
      <c r="D20" s="39" cm="1">
        <f t="array" ref="D20">Calcs!D9</f>
        <v>0.4033960532354291</v>
      </c>
    </row>
    <row r="21" spans="2:7" ht="12" customHeight="1">
      <c r="B21" s="41" t="s">
        <v>57</v>
      </c>
      <c r="C21" s="42" cm="1">
        <f t="array" ref="C21">Calcs!C10</f>
        <v>1089.5</v>
      </c>
      <c r="D21" s="43" cm="1">
        <f t="array" ref="D21">Calcs!D10</f>
        <v>1</v>
      </c>
    </row>
    <row r="23" spans="2:7" ht="12" customHeight="1">
      <c r="B23" s="38" t="s">
        <v>58</v>
      </c>
      <c r="C23" s="38" t="s">
        <v>50</v>
      </c>
      <c r="D23" s="38" t="s">
        <v>51</v>
      </c>
    </row>
    <row r="24" spans="2:7" ht="15.75" customHeight="1">
      <c r="B24" s="28" t="s">
        <v>129</v>
      </c>
      <c r="C24" s="29" cm="1">
        <f t="array" ref="C24">Calcs!C13</f>
        <v>900</v>
      </c>
      <c r="D24" s="39" cm="1">
        <f t="array" ref="D24">Calcs!D13</f>
        <v>0.82606700321248283</v>
      </c>
    </row>
    <row r="25" spans="2:7" ht="15.75" customHeight="1">
      <c r="B25" s="28" t="s">
        <v>60</v>
      </c>
      <c r="C25" s="29" cm="1">
        <f t="array" ref="C25">Calcs!C14</f>
        <v>150</v>
      </c>
      <c r="D25" s="39" cm="1">
        <f t="array" ref="D25">Calcs!D14</f>
        <v>0.13767783386874713</v>
      </c>
    </row>
    <row r="26" spans="2:7" ht="15.75" customHeight="1">
      <c r="B26" s="28" t="s">
        <v>61</v>
      </c>
      <c r="C26" s="29" cm="1">
        <f t="array" ref="C26">Calcs!C15</f>
        <v>20</v>
      </c>
      <c r="D26" s="39" cm="1">
        <f t="array" ref="D26">Calcs!D15</f>
        <v>1.8357044515832952E-2</v>
      </c>
    </row>
    <row r="27" spans="2:7" ht="15.75" customHeight="1">
      <c r="B27" s="28" t="s">
        <v>62</v>
      </c>
      <c r="C27" s="29" cm="1">
        <f t="array" ref="C27">Calcs!C16</f>
        <v>19.5</v>
      </c>
      <c r="D27" s="39" cm="1">
        <f t="array" ref="D27">Calcs!D16</f>
        <v>1.7898118402937126E-2</v>
      </c>
    </row>
    <row r="28" spans="2:7" ht="12" customHeight="1">
      <c r="B28" s="41" t="s">
        <v>63</v>
      </c>
      <c r="C28" s="42" cm="1">
        <f t="array" ref="C28">Calcs!C17</f>
        <v>1089.5</v>
      </c>
      <c r="D28" s="43" cm="1">
        <f t="array" ref="D28">Calcs!D17</f>
        <v>1</v>
      </c>
    </row>
    <row r="30" spans="2:7" ht="12" customHeight="1">
      <c r="B30" s="44" t="s">
        <v>64</v>
      </c>
      <c r="C30" s="45">
        <f>C21-C28</f>
        <v>0</v>
      </c>
    </row>
    <row r="33" spans="2:12" ht="12.75" customHeight="1">
      <c r="B33" s="26" t="s">
        <v>130</v>
      </c>
      <c r="C33" s="27"/>
      <c r="D33" s="27"/>
      <c r="E33" s="27"/>
      <c r="F33" s="27"/>
      <c r="G33" s="27"/>
      <c r="H33" s="27"/>
    </row>
    <row r="34" spans="2:12" ht="12" customHeight="1">
      <c r="B34" s="10" t="s">
        <v>66</v>
      </c>
      <c r="C34" s="10" t="s">
        <v>131</v>
      </c>
      <c r="D34" s="10" t="s">
        <v>132</v>
      </c>
      <c r="E34" s="10" t="s">
        <v>133</v>
      </c>
      <c r="F34" s="10" t="s">
        <v>134</v>
      </c>
      <c r="G34" s="10" t="s">
        <v>135</v>
      </c>
      <c r="J34" t="s">
        <v>136</v>
      </c>
      <c r="K34" t="s">
        <v>137</v>
      </c>
      <c r="L34" t="s">
        <v>74</v>
      </c>
    </row>
    <row r="35" spans="2:12" ht="15.75" customHeight="1">
      <c r="B35" s="28" t="s">
        <v>73</v>
      </c>
      <c r="C35" s="29" cm="1">
        <f t="array" ref="C35">Calcs!D25</f>
        <v>550</v>
      </c>
      <c r="D35" s="29" cm="1">
        <f t="array" ref="D35">Calcs!E25</f>
        <v>599.5</v>
      </c>
      <c r="E35" s="29" cm="1">
        <f t="array" ref="E35">Calcs!F25</f>
        <v>647.46</v>
      </c>
      <c r="F35" s="29" cm="1">
        <f t="array" ref="F35">Calcs!G25</f>
        <v>699.25680000000011</v>
      </c>
      <c r="G35" s="29" cm="1">
        <f t="array" ref="G35">Calcs!H25</f>
        <v>755.19734400000016</v>
      </c>
      <c r="J35">
        <v>2023</v>
      </c>
      <c r="K35" cm="1">
        <f t="array" ref="K35">C39</f>
        <v>637</v>
      </c>
      <c r="L35" cm="1">
        <f t="array" ref="L35">C36</f>
        <v>110</v>
      </c>
    </row>
    <row r="36" spans="2:12" ht="15.75" customHeight="1">
      <c r="B36" s="28" t="s">
        <v>74</v>
      </c>
      <c r="C36" s="29" cm="1">
        <f t="array" ref="C36">Calcs!D26</f>
        <v>110</v>
      </c>
      <c r="D36" s="29" cm="1">
        <f t="array" ref="D36">Calcs!E26</f>
        <v>125.895</v>
      </c>
      <c r="E36" s="29" cm="1">
        <f t="array" ref="E36">Calcs!F26</f>
        <v>135.9666</v>
      </c>
      <c r="F36" s="29" cm="1">
        <f t="array" ref="F36">Calcs!G26</f>
        <v>153.83649600000004</v>
      </c>
      <c r="G36" s="29" cm="1">
        <f t="array" ref="G36">Calcs!H26</f>
        <v>166.14341568000003</v>
      </c>
      <c r="J36">
        <v>2024</v>
      </c>
      <c r="K36" cm="1">
        <f t="array" ref="K36">D39</f>
        <v>624</v>
      </c>
      <c r="L36" cm="1">
        <f t="array" ref="L36">D36</f>
        <v>125.895</v>
      </c>
    </row>
    <row r="37" spans="2:12" ht="15.75" customHeight="1">
      <c r="B37" s="28" t="s">
        <v>138</v>
      </c>
      <c r="C37" s="39">
        <f t="shared" ref="C37:G37" si="0">C36/C35</f>
        <v>0.2</v>
      </c>
      <c r="D37" s="39">
        <f t="shared" si="0"/>
        <v>0.21</v>
      </c>
      <c r="E37" s="39">
        <f t="shared" si="0"/>
        <v>0.21</v>
      </c>
      <c r="F37" s="39">
        <f t="shared" si="0"/>
        <v>0.22000000000000003</v>
      </c>
      <c r="G37" s="39">
        <f t="shared" si="0"/>
        <v>0.22</v>
      </c>
      <c r="J37">
        <v>2025</v>
      </c>
      <c r="K37" cm="1">
        <f t="array" ref="K37">E39</f>
        <v>611</v>
      </c>
      <c r="L37" cm="1">
        <f t="array" ref="L37">E36</f>
        <v>135.9666</v>
      </c>
    </row>
    <row r="38" spans="2:12" ht="15.75" customHeight="1">
      <c r="B38" s="28" t="s">
        <v>103</v>
      </c>
      <c r="C38" s="29" cm="1">
        <f t="array" ref="C38">Calcs!D65</f>
        <v>47.1875</v>
      </c>
      <c r="D38" s="29" cm="1">
        <f t="array" ref="D38">Calcs!E65</f>
        <v>64.603749999999991</v>
      </c>
      <c r="E38" s="29" cm="1">
        <f t="array" ref="E38">Calcs!F65</f>
        <v>73.293300000000002</v>
      </c>
      <c r="F38" s="29" cm="1">
        <f t="array" ref="F38">Calcs!G65</f>
        <v>87.869940000000042</v>
      </c>
      <c r="G38" s="29" cm="1">
        <f t="array" ref="G38">Calcs!H65</f>
        <v>98.315785200000022</v>
      </c>
      <c r="J38">
        <v>2026</v>
      </c>
      <c r="K38" cm="1">
        <f t="array" ref="K38">F39</f>
        <v>598</v>
      </c>
      <c r="L38" cm="1">
        <f t="array" ref="L38">F36</f>
        <v>153.83649600000004</v>
      </c>
    </row>
    <row r="39" spans="2:12" ht="15.75" customHeight="1">
      <c r="B39" s="46" t="s">
        <v>137</v>
      </c>
      <c r="C39" s="29" cm="1">
        <f t="array" ref="C39">Calcs!D53</f>
        <v>637</v>
      </c>
      <c r="D39" s="29" cm="1">
        <f t="array" ref="D39">Calcs!E53</f>
        <v>624</v>
      </c>
      <c r="E39" s="29" cm="1">
        <f t="array" ref="E39">Calcs!F53</f>
        <v>611</v>
      </c>
      <c r="F39" s="29" cm="1">
        <f t="array" ref="F39">Calcs!G53</f>
        <v>598</v>
      </c>
      <c r="G39" s="29" cm="1">
        <f t="array" ref="G39">Calcs!H53</f>
        <v>585</v>
      </c>
      <c r="J39">
        <v>2027</v>
      </c>
      <c r="K39" cm="1">
        <f t="array" ref="K39">G39</f>
        <v>585</v>
      </c>
      <c r="L39" cm="1">
        <f t="array" ref="L39">G36</f>
        <v>166.14341568000003</v>
      </c>
    </row>
    <row r="40" spans="2:12" ht="15.75" customHeight="1">
      <c r="B40" s="46" t="s">
        <v>105</v>
      </c>
      <c r="C40" s="40" cm="1">
        <f t="array" ref="C40">Calcs!D70</f>
        <v>5.790909090909091</v>
      </c>
      <c r="D40" s="40" cm="1">
        <f t="array" ref="D40">Calcs!E70</f>
        <v>4.9565113785297275</v>
      </c>
      <c r="E40" s="40" cm="1">
        <f t="array" ref="E40">Calcs!F70</f>
        <v>4.4937506711207016</v>
      </c>
      <c r="F40" s="40" cm="1">
        <f t="array" ref="F40">Calcs!G70</f>
        <v>3.8872440256309519</v>
      </c>
      <c r="G40" s="40" cm="1">
        <f t="array" ref="G40">Calcs!H70</f>
        <v>3.5210543710425291</v>
      </c>
    </row>
    <row r="41" spans="2:12" ht="15.75" customHeight="1">
      <c r="B41" s="47" t="s">
        <v>139</v>
      </c>
      <c r="C41" s="48" cm="1">
        <f t="array" ref="C41">Calcs!D71</f>
        <v>2.3036649214659688</v>
      </c>
      <c r="D41" s="48" cm="1">
        <f t="array" ref="D41">Calcs!E71</f>
        <v>2.6365445026178009</v>
      </c>
      <c r="E41" s="48" cm="1">
        <f t="array" ref="E41">Calcs!F71</f>
        <v>2.9006208</v>
      </c>
      <c r="F41" s="48" cm="1">
        <f t="array" ref="F41">Calcs!G71</f>
        <v>3.344271652173914</v>
      </c>
      <c r="G41" s="48" cm="1">
        <f t="array" ref="G41">Calcs!H71</f>
        <v>3.6818485469252087</v>
      </c>
    </row>
    <row r="42" spans="2:12" ht="15" customHeight="1">
      <c r="J42" t="s">
        <v>136</v>
      </c>
      <c r="K42" t="s">
        <v>140</v>
      </c>
      <c r="L42" t="s">
        <v>139</v>
      </c>
    </row>
    <row r="43" spans="2:12" ht="15" customHeight="1">
      <c r="J43">
        <v>2023</v>
      </c>
      <c r="K43" cm="1">
        <f t="array" ref="K43">C40</f>
        <v>5.790909090909091</v>
      </c>
      <c r="L43" cm="1">
        <f t="array" ref="L43">C41</f>
        <v>2.3036649214659688</v>
      </c>
    </row>
    <row r="44" spans="2:12" ht="12.75" customHeight="1">
      <c r="B44" s="26" t="s">
        <v>141</v>
      </c>
      <c r="C44" s="27"/>
      <c r="D44" s="27"/>
      <c r="J44">
        <v>2024</v>
      </c>
      <c r="K44" cm="1">
        <f t="array" ref="K44">D40</f>
        <v>4.9565113785297275</v>
      </c>
      <c r="L44" cm="1">
        <f t="array" ref="L44">D41</f>
        <v>2.6365445026178009</v>
      </c>
    </row>
    <row r="45" spans="2:12" ht="15.75" customHeight="1">
      <c r="B45" s="28" t="s">
        <v>142</v>
      </c>
      <c r="C45" s="29" cm="1">
        <f t="array" ref="C45">Calcs!C80</f>
        <v>439.5</v>
      </c>
      <c r="J45">
        <v>2025</v>
      </c>
      <c r="K45" cm="1">
        <f t="array" ref="K45">E40</f>
        <v>4.4937506711207016</v>
      </c>
      <c r="L45" cm="1">
        <f t="array" ref="L45">E41</f>
        <v>2.9006208</v>
      </c>
    </row>
    <row r="46" spans="2:12" ht="15.75" customHeight="1">
      <c r="B46" s="28" t="s">
        <v>112</v>
      </c>
      <c r="C46" s="29" cm="1">
        <f t="array" ref="C46">Calcs!C79</f>
        <v>1076.4341568000004</v>
      </c>
      <c r="J46">
        <v>2026</v>
      </c>
      <c r="K46" cm="1">
        <f t="array" ref="K46">F40</f>
        <v>3.8872440256309519</v>
      </c>
      <c r="L46" cm="1">
        <f t="array" ref="L46">F41</f>
        <v>3.344271652173914</v>
      </c>
    </row>
    <row r="47" spans="2:12" ht="12.75" customHeight="1">
      <c r="B47" s="46" t="s">
        <v>114</v>
      </c>
      <c r="C47" s="49" cm="1">
        <f t="array" ref="C47">Calcs!C81</f>
        <v>2.4492244750853254</v>
      </c>
      <c r="J47">
        <v>2027</v>
      </c>
      <c r="K47" cm="1">
        <f t="array" ref="K47">G40</f>
        <v>3.5210543710425291</v>
      </c>
      <c r="L47" cm="1">
        <f t="array" ref="L47">G41</f>
        <v>3.6818485469252087</v>
      </c>
    </row>
    <row r="48" spans="2:12" ht="12.75" customHeight="1">
      <c r="B48" s="50" t="s">
        <v>143</v>
      </c>
      <c r="C48" s="51">
        <f>(C47^(1/5))-1</f>
        <v>0.19620528853723562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Calcs</vt:lpstr>
      <vt:lpstr>Dashboard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A. Azzam</cp:lastModifiedBy>
  <dcterms:created xsi:type="dcterms:W3CDTF">2025-05-22T23:41:35Z</dcterms:created>
  <dcterms:modified xsi:type="dcterms:W3CDTF">2025-11-19T07:00:53Z</dcterms:modified>
</cp:coreProperties>
</file>