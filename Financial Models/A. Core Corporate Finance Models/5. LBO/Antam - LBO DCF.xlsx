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6"/>
  <Override ContentType="application/binary" PartName="/xl/commentsmeta7"/>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Inc_St" sheetId="2" r:id="rId5"/>
    <sheet state="visible" name="Bal_Sheet" sheetId="3" r:id="rId6"/>
    <sheet state="visible" name="Cash_Flow" sheetId="4" r:id="rId7"/>
    <sheet state="visible" name="Depr_Amort" sheetId="5" r:id="rId8"/>
    <sheet state="visible" name="Income_Tax" sheetId="6" r:id="rId9"/>
    <sheet state="visible" name="WACC" sheetId="7" r:id="rId10"/>
    <sheet state="visible" name="DCF_Analysis" sheetId="8" r:id="rId11"/>
    <sheet state="visible" name="IRR_Returns" sheetId="9" r:id="rId12"/>
    <sheet state="visible" name="Ratios" sheetId="10" r:id="rId13"/>
  </sheets>
  <definedNames>
    <definedName name="sales_yr1">Input!$N$9</definedName>
    <definedName name="assumed_debt_maturity_year">Input!$I$9</definedName>
    <definedName name="sub_notes_avg_int">Input!$I$44</definedName>
    <definedName name="sga_exp_ann_incr">Input!$N$14</definedName>
    <definedName name="other_curr_assets_ann_incr">Input!$N$26</definedName>
    <definedName name="mezzdebt_prepay">Input!$I$53</definedName>
    <definedName name="goodwill_intang_deductible">Depr_Amort!$N$6</definedName>
    <definedName name="assumed_debt_prepay">Input!$I$13</definedName>
    <definedName name="prepaids_ann_incr">Input!$N$24</definedName>
    <definedName name="inventories_ann_incr">Input!$N$22</definedName>
    <definedName name="capex_interval">Input!$N$38</definedName>
    <definedName name="other_exp_ann_incr">Input!$N$16</definedName>
    <definedName name="sub_notes_years_PIK">Input!$I$45</definedName>
    <definedName name="termloanB_avg_int">Input!$I$32</definedName>
    <definedName name="seller_notes_cou_rate">Input!$I$58</definedName>
    <definedName name="acc_recv_ann_incr">Input!$N$20</definedName>
    <definedName name="seller_notes_years_PIK">Input!$I$60</definedName>
    <definedName name="seller_notes_ann_repay">Input!$I$57</definedName>
    <definedName name="year1">Input!$N$46</definedName>
    <definedName name="termloanA_avg_int">Input!$I$24</definedName>
    <definedName name="termloanA_prepay">Input!$I$25</definedName>
    <definedName name="ebitda_multiple_range">Input!$N$53</definedName>
    <definedName name="tax_rate">Input!$N$45</definedName>
    <definedName name="cash_min_amt">Input!$N$42</definedName>
    <definedName name="acc_exp">Input!$N$32</definedName>
    <definedName name="assumed_debt_ann_repay">Input!$I$10</definedName>
    <definedName name="mezzdebt_maturity_year">Input!$I$49</definedName>
    <definedName name="termloanB_term_years">Input!$I$28</definedName>
    <definedName name="cogs_ann_incr">Input!$N$12</definedName>
    <definedName name="sub_notes_mat_yr">Input!$I$42</definedName>
    <definedName name="perpetuity_growth_rate">Input!$N$54</definedName>
    <definedName name="discount_rate_range">Input!$N$51</definedName>
    <definedName name="sales_ann_incr">Input!$N$10</definedName>
    <definedName name="pref_stock_retired_year">Input!$I$66</definedName>
    <definedName name="pref_stock_div">Input!$I$64</definedName>
    <definedName name="sub_notes_prepay">Input!$I$46</definedName>
    <definedName name="prepaids">Input!$N$23</definedName>
    <definedName name="termloanB_ann_repay">Input!$I$29</definedName>
    <definedName name="termloanA_cou_rate">Input!$I$23</definedName>
    <definedName name="termloanA_term_years">Input!$I$21</definedName>
    <definedName name="acc_payable_ann_incr">Input!$N$31</definedName>
    <definedName name="acc_payable">Input!$N$30</definedName>
    <definedName name="acc_recv">Input!$N$19</definedName>
    <definedName name="sub_notes_cou_rate">Input!$I$43</definedName>
    <definedName name="other_curr_assets">Input!$N$25</definedName>
    <definedName name="senior_notes_mat_yr">Input!$I$36</definedName>
    <definedName name="sga_exp">Input!$N$13</definedName>
    <definedName name="seller_notes_avg_int">Input!$I$59</definedName>
    <definedName name="revolver_limit">Input!$I$17</definedName>
    <definedName name="other_longterm_assets">Input!$N$27</definedName>
    <definedName name="perpetuity_growth_range">Input!$N$55</definedName>
    <definedName name="termloanB_prepay">Input!$I$33</definedName>
    <definedName name="ebitda_multiple">Input!$N$52</definedName>
    <definedName name="exit_year">IRR_Returns!$B$4</definedName>
    <definedName name="capex_start_year">Input!$N$37</definedName>
    <definedName name="termloanB_bulletyr_repayment">Input!$I$30</definedName>
    <definedName name="senior_notes_prepay">Input!$I$39</definedName>
    <definedName name="assumed_debt_avg_int">Input!$I$12</definedName>
    <definedName name="other_curr_liab">Input!$N$34</definedName>
    <definedName name="seller_notes_prepay">Input!$I$61</definedName>
    <definedName name="WACC">Input!$N$50</definedName>
    <definedName name="capex">Input!$N$36</definedName>
    <definedName name="acc_exp_ann_incr">Input!$N$33</definedName>
    <definedName name="mezzdebt_avg_int">Input!$I$51</definedName>
    <definedName name="cogs">Input!$N$11</definedName>
    <definedName name="senior_notes_avg_int">Input!$I$38</definedName>
    <definedName name="seller_notes_term_year">Input!$I$56</definedName>
    <definedName name="other_curr_liab_ann_incr">Input!$N$35</definedName>
    <definedName name="termloanB_cou_rate">Input!$I$31</definedName>
    <definedName name="mezzdebt_cou_rate">Input!$I$50</definedName>
    <definedName name="senior_notes_cou_rate">Input!$I$37</definedName>
    <definedName name="other_exp">Input!$N$15</definedName>
    <definedName name="bank_revolver_cou_rate">Input!$I$16</definedName>
    <definedName name="cash_min">Input!$N$43</definedName>
    <definedName name="inventories">Input!$N$21</definedName>
    <definedName name="undrawn_commit_fee">Input!$I$18</definedName>
    <definedName name="other_longterm_assets_ann_incr">Input!$N$28</definedName>
    <definedName name="pref_stock_years_PIK">Input!$I$65</definedName>
    <definedName name="mezzdebt_years_PIK">Input!$I$52</definedName>
    <definedName name="termloanA_ann_repay">Input!$I$22</definedName>
    <definedName name="no_shares_outs">Input!$C$11</definedName>
    <definedName name="assumed_debt_cou_rate">Input!$I$11</definedName>
  </definedNames>
  <calcPr/>
  <extLst>
    <ext uri="GoogleSheetsCustomDataVersion2">
      <go:sheetsCustomData xmlns:go="http://customooxmlschemas.google.com/" r:id="rId14" roundtripDataChecksum="lX0n47kNHyC0ETVDPu4T7jvpjMWj487hysGC1LZa1V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1">
      <text>
        <t xml:space="preserve">======
ID#AAABwFJCdVU
Amit Tandon    (2025-11-13 00:17:47)
Any goodwill or deferred tax items existing on the target's balance sheet at the time of acquisition are written off.</t>
      </text>
    </comment>
    <comment authorId="0" ref="E35">
      <text>
        <t xml:space="preserve">======
ID#AAABwFJCdVE
Amit Tandon    (2025-11-13 00:17:47)
Equity issuance fees to be netted against proceeds from the offering. 
Issue Costs of Preferred Stock need to be adjusted against APIC (Additional Paid In Capital), which also includes any premium charged over par value. Preferred Dividend will be payable on par value of stock.
NOT being accounted for in this model presently.</t>
      </text>
    </comment>
    <comment authorId="0" ref="I46">
      <text>
        <t xml:space="preserve">======
ID#AAABwFJCdVI
Amit Tandon    (2025-11-13 00:17:47)
Leaving this field Blank will mean "No".</t>
      </text>
    </comment>
    <comment authorId="0" ref="B53">
      <text>
        <t xml:space="preserve">======
ID#AAABwFJCdU0
Amit Tandon    (2025-11-13 00:17:47)
Excess paid on acquisition is "Goodwill" which is amortized over a specific no. of years and immediately recognize "Gain from Bargain Purchase" in earnings (included in Retained Earnings) as a gain in accordance with FAS 141r.
FAS 141(R) amended FAS 109 to require a deferred tax asset to be recorded for the excess of tax deductible goodwill over book goodwill as of the acquisition date.</t>
      </text>
    </comment>
    <comment authorId="0" ref="H53">
      <text>
        <t xml:space="preserve">======
ID#AAABwFJCdU4
Amit Tandon    (2025-11-13 00:17:47)
Optional repayment option, subject to excess cash.</t>
      </text>
    </comment>
    <comment authorId="0" ref="H61">
      <text>
        <t xml:space="preserve">======
ID#AAABwFJCdUs
Amit Tandon    (2025-11-13 00:17:47)
Optional repayment option, subject to excess cash.</t>
      </text>
    </comment>
    <comment authorId="0" ref="C27">
      <text>
        <t xml:space="preserve">======
ID#AAABwFJCdUw
Amit Tandon    (2025-11-13 00:17:47)
Balance of Total Funds Requirement less Sources of Funds (exc.l revolver).</t>
      </text>
    </comment>
    <comment authorId="0" ref="B17">
      <text>
        <t xml:space="preserve">======
ID#AAABwFJCdUk
Amit Tandon    (2025-11-13 00:17:47)
Costs to issue debt and equity securities are excluded from Expensed Transaction Costs (per FAS 141r) and are to be accounted for under other applicable GAAP.</t>
      </text>
    </comment>
    <comment authorId="0" ref="B29">
      <text>
        <t xml:space="preserve">======
ID#AAABwFJCdUo
Amit Tandon    (2025-11-13 00:17:47)
Bank debt (Term Loan B), usually involves nominal amortization (repayment) overspecified no. of years, with a large bullet payment in the last year.</t>
      </text>
    </comment>
    <comment authorId="0" ref="C16">
      <text>
        <t xml:space="preserve">======
ID#AAABwFJCdUY
Amit Tandon    (2025-11-13 00:17:47)
Includes investment banking, legal, accounting &amp; other expenses related to the transaction/ acquisition, with the exception of debt and equity issuance costs.</t>
      </text>
    </comment>
    <comment authorId="0" ref="H30">
      <text>
        <t xml:space="preserve">======
ID#AAABwFJCdUc
Amit Tandon    (2025-11-13 00:17:47)
Bank debt (Term Loan B), usually involves nominal amortization (repayment) overspecified no. of years, with a large bullet payment in the last year.</t>
      </text>
    </comment>
    <comment authorId="0" ref="M43">
      <text>
        <t xml:space="preserve">======
ID#AAABwFJCdUg
Amit Tandon    (2025-11-13 00:17:47)
To maintain Cash Minimum, select 1. This will adjust excess cash with Revolver Loan. To not use this feature, select 0.</t>
      </text>
    </comment>
    <comment authorId="0" ref="B50">
      <text>
        <t xml:space="preserve">======
ID#AAABwFJCdUM
Amit Tandon    (2025-11-13 00:17:47)
Acquired intangible assets may represent indefinite-lived assets (e.g., certain trademarks or brands), determinable-lived intangibles (e.g., certain trademarks or brands, customer relationships, patents and technologies) or residual goodwill. Of these, only the costs of determinable-lived intangibles are amortized to expense over their estimated life. The value of indefinite-lived intangible assets and residual goodwill is not amortized, but is tested at least annually for impairment.</t>
      </text>
    </comment>
    <comment authorId="0" ref="B46">
      <text>
        <t xml:space="preserve">======
ID#AAABwFJCdUI
Amit Tandon    (2025-11-13 00:17:47)
Any goodwill or deferred tax items existing on the target's balance sheet at the time of acquisition are written off.</t>
      </text>
    </comment>
    <comment authorId="0" ref="A2">
      <text>
        <t xml:space="preserve">======
ID#AAABwFJCdUA
Amit Tandon    (2025-11-13 00:17:47)
A leveraged buyout (LBO) is an acquisition of a company or a segment of a company funded mostly with debt. A financial buyer (e.g. private equity fund) invests a small amount of equity (relative to the total purchase price) and uses leverage (debt or other non-equity sources of financing) to fund the remainder of the consideration paid to the seller.</t>
      </text>
    </comment>
    <comment authorId="0" ref="B23">
      <text>
        <t xml:space="preserve">======
ID#AAABwFJCdUE
Amit Tandon    (2025-11-13 00:17:47)
In a leveraged buyout (LBO), the target company's existing debt is usually refinanced (although it can be rolled over) and replaced with new debt to finance the transaction. Multiple tranches of debt are commonly used to finance LBOs.</t>
      </text>
    </comment>
    <comment authorId="0" ref="H66">
      <text>
        <t xml:space="preserve">======
ID#AAABwE3lFgs
Amit Tandon    (2025-11-13 00:17:47)
Leave Blank in case not repaid.</t>
      </text>
    </comment>
    <comment authorId="0" ref="H25">
      <text>
        <t xml:space="preserve">======
ID#AAABwE3lFgo
Amit Tandon    (2025-11-13 00:17:47)
Optional repayment option, subject to excess cash.</t>
      </text>
    </comment>
    <comment authorId="0" ref="B28">
      <text>
        <t xml:space="preserve">======
ID#AAABwE3lFgk
Amit Tandon    (2025-11-13 00:17:47)
Bank debt, typically amortized evenly over specified no. of years.</t>
      </text>
    </comment>
    <comment authorId="0" ref="B49">
      <text>
        <t xml:space="preserve">======
ID#AAABwE3lFgY
Amit Tandon    (2025-11-13 00:17:47)
Both Fixed Assets and Intangibles. Exceptions: the following are not measured at fair value:
1. Assets and liabilities arising from contingencies
2. Income taxes
3. Employee benefits
4. Indemnification assets
5. Reacquired rights
6. Share-based payment awards
7. Assets held for sale
Each of the above are to measured in accordance with the guidance of the Statements that they currently fall under. (I.e. Share-based payment awards follow the guidance in FAS123R)</t>
      </text>
    </comment>
    <comment authorId="0" ref="H46">
      <text>
        <t xml:space="preserve">======
ID#AAABwE3lFgQ
Amit Tandon    (2025-11-13 00:17:47)
Optional repayment option, subject to excess cash.</t>
      </text>
    </comment>
    <comment authorId="0" ref="B43">
      <text>
        <t xml:space="preserve">======
ID#AAABwE3lFgA
Amit Tandon    (2025-11-13 00:17:47)
Purchase price - Fair value of net assets acquired = Goodwill</t>
      </text>
    </comment>
    <comment authorId="0" ref="B32">
      <text>
        <t xml:space="preserve">======
ID#AAABwE3lFf0
Amit Tandon    (2025-11-13 00:17:47)
Carries bullet repayments with no amortization.
This is high-yield debt and the interest may be either cash-pay, payment-in-kind ("PIK"), or a combination of both. It may be structured so that the PIK option is available for the first few years of the debt's life, after which cash-pay becomes mandatory.</t>
      </text>
    </comment>
    <comment authorId="0" ref="H13">
      <text>
        <t xml:space="preserve">======
ID#AAABwE3lFf4
Amit Tandon    (2025-11-13 00:17:47)
Optional repayment option, subject to excess cash.</t>
      </text>
    </comment>
    <comment authorId="0" ref="I39">
      <text>
        <t xml:space="preserve">======
ID#AAABwE3lFfs
Amit Tandon    (2025-11-13 00:17:47)
Leaving this field Blank will mean "No".</t>
      </text>
    </comment>
    <comment authorId="0" ref="N56">
      <text>
        <t xml:space="preserve">======
ID#AAABwE3lFfk
Amit Tandon    (2025-11-13 00:17:47)
Debt + Preferred Stock - Cash.
Total Enterprise Value is equal to: company's market capitalization + preferred stock + debt - cash and cash equivalents. 
"Preferred Stock Redeemable" is treated as above. In case of "Preferred Stock Convertible", the portion/option which is converted to (ie. upon conversion to) Common Stock will be treated as Common Stock and  the balance amount as Debt, as above.</t>
      </text>
    </comment>
    <comment authorId="0" ref="B26">
      <text>
        <t xml:space="preserve">======
ID#AAABwE3lFfc
Amit Tandon    (2025-11-13 00:17:47)
Amortized evenly over specified no. of years.</t>
      </text>
    </comment>
    <comment authorId="0" ref="B16">
      <text>
        <t xml:space="preserve">======
ID#AAABwE3lFfY
Amit Tandon    (2025-11-13 00:17:47)
Expensed as incurred (in current period) in accordance with FAS 141r.</t>
      </text>
    </comment>
    <comment authorId="0" ref="I25">
      <text>
        <t xml:space="preserve">======
ID#AAABwE3lFfQ
Amit Tandon    (2025-11-13 00:17:47)
Leaving this field Blank will mean "No".</t>
      </text>
    </comment>
    <comment authorId="0" ref="I13">
      <text>
        <t xml:space="preserve">======
ID#AAABwE3lFfU
Amit Tandon    (2025-11-13 00:17:47)
Leaving this field Blank will mean "No".</t>
      </text>
    </comment>
    <comment authorId="0" ref="M36">
      <text>
        <t xml:space="preserve">======
ID#AAABwE3lFfI
Amit Tandon    (2025-11-13 00:17:47)
%age of revenue.</t>
      </text>
    </comment>
    <comment authorId="0" ref="B31">
      <text>
        <t xml:space="preserve">======
ID#AAABwE3lFfE
Amit Tandon    (2025-11-13 00:17:47)
Carries a bullet repayment with no amortization. 
This is high-yield debt and the interest may be either cash-pay, payment-in-kind ("PIK"), or a combination of both. It may be structured so that the PIK option is available for the first few years of the debt's life, after which cash-pay becomes mandatory.</t>
      </text>
    </comment>
    <comment authorId="0" ref="B33">
      <text>
        <t xml:space="preserve">======
ID#AAABwE3lFfA
Amit Tandon    (2025-11-13 00:17:47)
Amortize over fixed period of time.</t>
      </text>
    </comment>
    <comment authorId="0" ref="B30">
      <text>
        <t xml:space="preserve">======
ID#AAABwE3lFe8
Amit Tandon    (2025-11-13 00:17:47)
Carries a bullet repayment with no amortization. Categorized as Senior Debt.</t>
      </text>
    </comment>
    <comment authorId="0" ref="R25">
      <text>
        <t xml:space="preserve">======
ID#AAABwE3lFe4
Amit Tandon    (2025-11-13 00:17:47)
Amortized over the term of the debt, as per FAS 141r.</t>
      </text>
    </comment>
    <comment authorId="0" ref="B27">
      <text>
        <t xml:space="preserve">======
ID#AAABwE3lFew
Amit Tandon    (2025-11-13 00:17:47)
A revolver is a form of senior bank debt that acts like a credit card for companies and is generally used to help fund a company's working capital needs.</t>
      </text>
    </comment>
    <comment authorId="0" ref="R27">
      <text>
        <t xml:space="preserve">======
ID#AAABwE3lFeo
Amit Tandon    (2025-11-13 00:17:47)
Bank Revolver not having a maturity date, this can be spread over the revolver validity period ... presently we have taken the projected no. of years ie. 10.</t>
      </text>
    </comment>
    <comment authorId="0" ref="C17">
      <text>
        <t xml:space="preserve">======
ID#AAABwE3lFes
Amit Tandon    (2025-11-13 00:17:47)
Costs to issue debt and equity securities are excluded from Expensed Transaction Costs (per FAS 141r) and are to be accounted for under other applicable GAAP. 
Debt issuance fees, is to be capitalized (and amortized over the term of the debt) and Equity issuance fees to be netted against proceeds from the offering.</t>
      </text>
    </comment>
    <comment authorId="0" ref="Q35">
      <text>
        <t xml:space="preserve">======
ID#AAABwE3lFek
Amit Tandon    (2025-11-13 00:17:47)
Equity issuance fees to be netted against proceeds from the offering. 
Issue Costs of Preferred Stock need to be adjusted against APIC (Additional Paid In Capital), which also includes any premium charged over par value. Preferred Dividend will be payable on par value of stock.
Not being accounted for in this model presently.</t>
      </text>
    </comment>
    <comment authorId="0" ref="H33">
      <text>
        <t xml:space="preserve">======
ID#AAABwE3lFeQ
Amit Tandon    (2025-11-13 00:17:47)
Optional repayment option, subject to excess cash.</t>
      </text>
    </comment>
    <comment authorId="0" ref="M38">
      <text>
        <t xml:space="preserve">======
ID#AAABv8IJ8BI
Amit Tandon    (2025-11-13 00:17:47)
Select 1 for Annual Exp, 2 for Bi-Annual Exp, and so on.</t>
      </text>
    </comment>
    <comment authorId="0" ref="Q34">
      <text>
        <t xml:space="preserve">======
ID#AAABv8IJ8BE
Amit Tandon    (2025-11-13 00:17:47)
Debt issuance fees, to be capitalized and amortized over the term of the debt.</t>
      </text>
    </comment>
    <comment authorId="0" ref="H39">
      <text>
        <t xml:space="preserve">======
ID#AAABv8IJ8BA
Amit Tandon    (2025-11-13 00:17:47)
Optional repayment option, subject to excess cash.</t>
      </text>
    </comment>
    <comment authorId="0" ref="I61">
      <text>
        <t xml:space="preserve">======
ID#AAABv8IJ8Aw
Amit Tandon    (2025-11-13 00:17:47)
Leaving this field Blank will mean "No".</t>
      </text>
    </comment>
    <comment authorId="0" ref="I33">
      <text>
        <t xml:space="preserve">======
ID#AAABv8IJ8Ao
Amit Tandon    (2025-11-13 00:17:47)
Leaving this field Blank will mean "No".</t>
      </text>
    </comment>
    <comment authorId="0" ref="B20">
      <text>
        <t xml:space="preserve">======
ID#AAABv8IJ8Ak
Amit Tandon    (2025-11-13 00:17:47)
To reconcile with "Sources of Funds".</t>
      </text>
    </comment>
    <comment authorId="0" ref="E25">
      <text>
        <t xml:space="preserve">======
ID#AAABv8IJ8AM
Amit Tandon    (2025-11-13 00:17:47)
Issue Costs.</t>
      </text>
    </comment>
    <comment authorId="0" ref="I53">
      <text>
        <t xml:space="preserve">======
ID#AAABv8IJ8AQ
Amit Tandon    (2025-11-13 00:17:47)
Leaving this field Blank will mean "No".</t>
      </text>
    </comment>
  </commentList>
  <extLst>
    <ext uri="GoogleSheetsCustomDataVersion2">
      <go:sheetsCustomData xmlns:go="http://customooxmlschemas.google.com/" r:id="rId1" roundtripDataSignature="AMtx7mjDs1baFhC3oDVtNcNDwJI5KYEwN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ID#AAABwE3lFe0
Amit Tandon    (2025-11-13 00:17:47)
Includes Depreciation on PP&amp;E, Impairment of Goodwill and Amortization of Intangible Assets. Excludes Amortization of Capitalized Financing Costs.
With the introduction of impairment testing of goodwill, there is no regular charge to the income statement for goodwill. This might result in irregular income statement charges as and when impairments materialize and as a result of which EBIT volatility would increase. 
Free Cash Flows need to be normalized for any volatility on account of goodwill impairment charges, which might need to be excluded for EBIT.</t>
      </text>
    </comment>
    <comment authorId="0" ref="A46">
      <text>
        <t xml:space="preserve">======
ID#AAABv8IJ8Ac
Amit Tandon    (2025-11-13 00:17:47)
Preferred Dividend is payable on par value of stock.</t>
      </text>
    </comment>
  </commentList>
  <extLst>
    <ext uri="GoogleSheetsCustomDataVersion2">
      <go:sheetsCustomData xmlns:go="http://customooxmlschemas.google.com/" r:id="rId1" roundtripDataSignature="AMtx7mjz84a+WLOEjlaQdH4p9vxRNhsXE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ID#AAABwE3lFgE
Amit Tandon    (2025-11-13 00:17:47)
Post Acquisition Balance Sheet, Year 0, Opening Balances.</t>
      </text>
    </comment>
    <comment authorId="0" ref="A27">
      <text>
        <t xml:space="preserve">======
ID#AAABv8IJ8AY
Amit Tandon    (2025-11-13 00:17:47)
Includes current depreciation.</t>
      </text>
    </comment>
  </commentList>
  <extLst>
    <ext uri="GoogleSheetsCustomDataVersion2">
      <go:sheetsCustomData xmlns:go="http://customooxmlschemas.google.com/" r:id="rId1" roundtripDataSignature="AMtx7mgI6ORbZu89rIqUUYaQht1zZoeJX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6">
      <text>
        <t xml:space="preserve">======
ID#AAABwE3lFgw
Amit Tandon    (2025-11-13 00:17:47)
Includes all depreciation and amortization subtracted from EBITDA to arrive at EBIT, excluding non-deductible goodwill amortization &amp; non-deductible intangibles amortization..</t>
      </text>
    </comment>
    <comment authorId="0" ref="A96">
      <text>
        <t xml:space="preserve">======
ID#AAABwE3lFgg
Amit Tandon    (2025-11-13 00:17:47)
Bank Revolver is not incremented for Optional Repayments.</t>
      </text>
    </comment>
    <comment authorId="0" ref="A70">
      <text>
        <t xml:space="preserve">======
ID#AAABwE3lFf8
Amit Tandon    (2025-11-13 00:17:47)
Free cash flow equals EBIT less taxes plus D&amp;A less capital expenditures less the change in working capital (ie. any investments or increase in net working capital which is "current assets - current liabilities"). 
Unlevered Free Cash flows are available to both debt and equity holders.</t>
      </text>
    </comment>
    <comment authorId="0" ref="A69">
      <text>
        <t xml:space="preserve">======
ID#AAABwE3lFec
Amit Tandon    (2025-11-13 00:17:47)
Increase in Deferred Taxes will have a positive impact on Cash Flows.</t>
      </text>
    </comment>
    <comment authorId="0" ref="A64">
      <text>
        <t xml:space="preserve">======
ID#AAABv8IJ8Ag
Amit Tandon    (2025-11-13 00:17:47)
Calculated by multiplying the marginal tax rate by EBIT after adding back items which are not tax deductible such as non-deductible goodwill amortization &amp; non-deductible intangibles amortization..</t>
      </text>
    </comment>
    <comment authorId="0" ref="A61">
      <text>
        <t xml:space="preserve">======
ID#AAABv8IJ8AU
Amit Tandon    (2025-11-13 00:17:47)
With the introduction of impairment testing of goodwill, there is no regular charge to the income statement for goodwill. This might result in irregular income statement charges as and when impairments materialize and as a result of which EBIT volatility would increase. 
Free Cash Flows need to be normalized for any volatility on account of goodwill impairment charges, which might need to be excluded for EBIT.</t>
      </text>
    </comment>
  </commentList>
  <extLst>
    <ext uri="GoogleSheetsCustomDataVersion2">
      <go:sheetsCustomData xmlns:go="http://customooxmlschemas.google.com/" r:id="rId1" roundtripDataSignature="AMtx7mitcpSLEddZiYX7YSVRHuuWf0ahV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8">
      <text>
        <t xml:space="preserve">======
ID#AAABwFJCdVA
Amit Tandon    (2025-11-13 00:17:47)
As per  FAS 141r, for book accounting purpose, goodwill is not amortized but, rather, tested for impairment. For tax purposes, Section 197 of the IRS tax code requires straight-line amortization of all intangible assets (including goodwill) over 15 years only in an: (i) Asset acquisition or (ii) a Stock acquisition with a Section 338 election.</t>
      </text>
    </comment>
    <comment authorId="0" ref="N4">
      <text>
        <t xml:space="preserve">======
ID#AAABwFJCdUQ
Amit Tandon    (2025-11-13 00:17:47)
As per  SFAS 142, for book accounting purpose, goodwill is not amortized but, rather, tested for impairment. For tax purposes, Section 197 of the IRS tax code requires straight-line amortization of all intangible assets (including goodwill) over 15 years only in an: (i) Asset acquisition or (ii) a Stock acquisition with a Section 338 election.</t>
      </text>
    </comment>
    <comment authorId="0" ref="B63">
      <text>
        <t xml:space="preserve">======
ID#AAABwE3lFgc
Amit Tandon    (2025-11-13 00:17:47)
Beginning Amount is the "Net Depreciable PP&amp;E". Depreciable Amount = Beginning Amount minus Salvage Value, where Depreciable Amount will be the total Depreciation provided over the Remaining Useful Life of the asset.</t>
      </text>
    </comment>
    <comment authorId="0" ref="A43">
      <text>
        <t xml:space="preserve">======
ID#AAABwE3lFgI
Amit Tandon    (2025-11-13 00:17:47)
As per  SFAS 142, for book accounting purpose, goodwill is not amortized but, rather, tested for impairment. For tax purposes, Section 197 of the IRS tax code requires straight-line amortization of all intangible assets (including goodwill) over 15 years only in an: (i) Asset acquisition or (ii) a Stock acquisition with a Section 338 election.</t>
      </text>
    </comment>
    <comment authorId="0" ref="C15">
      <text>
        <t xml:space="preserve">======
ID#AAABwE3lFfw
Amit Tandon    (2025-11-13 00:17:47)
On acquisition, management determines the remaining useful life and salvage value.</t>
      </text>
    </comment>
    <comment authorId="0" ref="C63">
      <text>
        <t xml:space="preserve">======
ID#AAABwE3lFfM
Amit Tandon    (2025-11-13 00:17:47)
On acquisition, management determines the remaining useful life and salvage value.</t>
      </text>
    </comment>
    <comment authorId="0" ref="B15">
      <text>
        <t xml:space="preserve">======
ID#AAABwE3lFeU
Amit Tandon    (2025-11-13 00:17:47)
Beginning Amount is the "Net PP&amp;E". Depreciable Amount = Beginning Amount minus Salvage Value, where Depreciable Amount will be the total Depreciation provided over the Remaining Useful Life of the asset.</t>
      </text>
    </comment>
  </commentList>
  <extLst>
    <ext uri="GoogleSheetsCustomDataVersion2">
      <go:sheetsCustomData xmlns:go="http://customooxmlschemas.google.com/" r:id="rId1" roundtripDataSignature="AMtx7mhR6iXOCO4shddQ5MfPPsrZjkPQM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1">
      <text>
        <t xml:space="preserve">======
ID#AAABwE3lFgM
Amit Tandon    (2025-11-13 00:17:47)
Currently, only Book &amp; Tax Gain (Loss) on Sale have been taken in this model. The allocation to Balance Sheet &amp; Sale Proceeds are  yet to be accounted for.</t>
      </text>
    </comment>
    <comment authorId="0" ref="A29">
      <text>
        <t xml:space="preserve">======
ID#AAABwE3lFeY
Amit Tandon    (2025-11-13 00:17:47)
If Cash Taxes exceed Book Taxes, a Deferred Tax Asset (DTA) is created, which is similar to a reduction in DTL.</t>
      </text>
    </comment>
  </commentList>
  <extLst>
    <ext uri="GoogleSheetsCustomDataVersion2">
      <go:sheetsCustomData xmlns:go="http://customooxmlschemas.google.com/" r:id="rId1" roundtripDataSignature="AMtx7mhFq3YjA61VUkvolQh5nRB8d6cce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6">
      <text>
        <t xml:space="preserve">======
ID#AAABwFJCdUU
Amit Tandon    (2025-11-13 00:17:47)
Pre-Acquisition Market Values of Debt, Common Equity &amp; Preferred Stock to be taken.</t>
      </text>
    </comment>
    <comment authorId="0" ref="A7">
      <text>
        <t xml:space="preserve">======
ID#AAABwE3lFgU
Amit Tandon    (2025-11-13 00:17:47)
"Industry" Beta, of comparable companies.</t>
      </text>
    </comment>
    <comment authorId="0" ref="A32">
      <text>
        <t xml:space="preserve">======
ID#AAABwE3lFfo
Amit Tandon    (2025-11-13 00:17:47)
Equity investors have 2 risks - business risks and financial risks (due to gearing ie. debt &amp; preferred stock). Unlevering will get a Beta with only the business risks and this is required to be re-levered with the company's gearing.</t>
      </text>
    </comment>
    <comment authorId="0" ref="C27">
      <text>
        <t xml:space="preserve">======
ID#AAABwE3lFfg
Amit Tandon    (2025-11-13 00:17:47)
The Capital Asset Pricing Model (CAPM):  The CAPM formula states the cost of equity equals the risk free rate plus the multiplication of Beta (Relevered Beta) times the equity risk premium.</t>
      </text>
    </comment>
    <comment authorId="0" ref="A34">
      <text>
        <t xml:space="preserve">======
ID#AAABwE3lFeg
Amit Tandon    (2025-11-13 00:17:47)
"Industry" Beta, of comparable companies.</t>
      </text>
    </comment>
  </commentList>
  <extLst>
    <ext uri="GoogleSheetsCustomDataVersion2">
      <go:sheetsCustomData xmlns:go="http://customooxmlschemas.google.com/" r:id="rId1" roundtripDataSignature="AMtx7mjBCrWe67xADNPgP39yGN/eTvSRXA=="/>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3">
      <text>
        <t xml:space="preserve">======
ID#AAABwFJCdVg
Amit Tandon    (2025-11-13 00:17:47)
Also known as "Average Collection Period". This is the number of days that credit sales remain in accounts receivable before they are collected.</t>
      </text>
    </comment>
    <comment authorId="0" ref="A44">
      <text>
        <t xml:space="preserve">======
ID#AAABwFJCdVQ
Amit Tandon    (2025-11-13 00:17:47)
This ratio shows how many days it takes to pay accounts payable ie. the average length of time trade payables are outstanding before they are paid.</t>
      </text>
    </comment>
    <comment authorId="0" ref="A9">
      <text>
        <t xml:space="preserve">======
ID#AAABwFJCdVM
Amit Tandon    (2025-11-13 00:17:47)
Debt Ratio = Total Debt / Total Assets. Total debt is the sum of a company's current liabilities and long-term liabilities, and total assets are the sum of fixed assets and current assets and other assets such as 'goodwill'. 
A company's debt ratio should be compared with their industry average or other competing firms. The debt/asset ratio shows the proportion of a company's assets which are financed through debt. If the ratio is less than 0.5, most of the company's assets are financed through equity. If the ratio is greater than 0.5, most of the company's assets are financed through debt. Companies with high debt/asset ratios are said to be "highly leveraged", &amp; not highly liquid.</t>
      </text>
    </comment>
    <comment authorId="0" ref="A48">
      <text>
        <t xml:space="preserve">======
ID#AAABwFJCdU8
Amit Tandon    (2025-11-13 00:17:47)
A generally acceptable current ratio is 2 to 1. But whether or not a specific ratio is satisfactory depends on the nature of the business and the characteristics of its current assets and liabilities. The minimum acceptable current ratio is obviously 1:1, but that relationship is usually playing it too close for comfort.</t>
      </text>
    </comment>
    <comment authorId="0" ref="A49">
      <text>
        <t xml:space="preserve">======
ID#AAABv8IJ8A8
Amit Tandon    (2025-11-13 00:17:47)
An acid-test of 1:1 is considered satisfactory unless the majority of your "quick assets" are in accounts receivable, and the pattern of accounts receivable collection lags behind the schedule for paying current liabilities.</t>
      </text>
    </comment>
    <comment authorId="0" ref="A42">
      <text>
        <t xml:space="preserve">======
ID#AAABv8IJ8A4
Amit Tandon    (2025-11-13 00:17:47)
The number of days worth of inventory on hand.</t>
      </text>
    </comment>
    <comment authorId="0" ref="A39">
      <text>
        <t xml:space="preserve">======
ID#AAABv8IJ8A0
Amit Tandon    (2025-11-13 00:17:47)
This measures the number of times inventory is turned over. It is useful in determining whether a firm is carrying excess stock in inventory.</t>
      </text>
    </comment>
    <comment authorId="0" ref="A41">
      <text>
        <t xml:space="preserve">======
ID#AAABv8IJ8As
Amit Tandon    (2025-11-13 00:17:47)
The accounts payable turnover ratio indicates how many times a company pays off its suppliers during an accounting period. A falling ratio indicates that the company is taking longer to pay its suppliers.
A falling accounts payable turnover ratio may suggest one of two scenarios. First, the business might be experiencing cash flow problems or disputed invoices with suppliers, which leads to slower payment. However, a successful business may extend payments to make the best possible use of cash and might have negotiated more favorable payment terms with suppliers. Additional analysis is therefore advised when faced with a changing accounts payable turnover ratio.</t>
      </text>
    </comment>
  </commentList>
  <extLst>
    <ext uri="GoogleSheetsCustomDataVersion2">
      <go:sheetsCustomData xmlns:go="http://customooxmlschemas.google.com/" r:id="rId1" roundtripDataSignature="AMtx7milFr2QL7KGGz6QlaiatPQ0PaVevw=="/>
    </ext>
  </extLst>
</comments>
</file>

<file path=xl/sharedStrings.xml><?xml version="1.0" encoding="utf-8"?>
<sst xmlns="http://schemas.openxmlformats.org/spreadsheetml/2006/main" count="551" uniqueCount="370">
  <si>
    <t>Leveraged Buyout (LBO) Model</t>
  </si>
  <si>
    <t>Input Values</t>
  </si>
  <si>
    <t>*Enter values in yellow cells.</t>
  </si>
  <si>
    <t>Estimated Cost of Deal:</t>
  </si>
  <si>
    <t>Debt Assumptions:</t>
  </si>
  <si>
    <t>Income/BS Assumptions:</t>
  </si>
  <si>
    <t>Curent Stock Price</t>
  </si>
  <si>
    <t>$ amt</t>
  </si>
  <si>
    <t>Income Statement:</t>
  </si>
  <si>
    <t>Offer Premium</t>
  </si>
  <si>
    <t>%</t>
  </si>
  <si>
    <t>Maturity Year</t>
  </si>
  <si>
    <t>Sales Year 1</t>
  </si>
  <si>
    <t>Offer Price Per Share</t>
  </si>
  <si>
    <t>Annual Repayment</t>
  </si>
  <si>
    <t>Sales - Annual Increase</t>
  </si>
  <si>
    <t>No. of Shares outstanding</t>
  </si>
  <si>
    <t>nos.</t>
  </si>
  <si>
    <t>Coupon Rate</t>
  </si>
  <si>
    <t>Cost of goods sold</t>
  </si>
  <si>
    <t>% of revenue</t>
  </si>
  <si>
    <t>Equity Purchase Price</t>
  </si>
  <si>
    <t>Average Interest</t>
  </si>
  <si>
    <t xml:space="preserve">% </t>
  </si>
  <si>
    <t>Optional Prepayment</t>
  </si>
  <si>
    <t>SG&amp;A expenses</t>
  </si>
  <si>
    <t>Existing Debt Retired</t>
  </si>
  <si>
    <t>Assumed Debt</t>
  </si>
  <si>
    <t>Other expenses</t>
  </si>
  <si>
    <t>Expensed Transaction Costs</t>
  </si>
  <si>
    <t>Capitalized Financing Costs</t>
  </si>
  <si>
    <t>Revolver limit</t>
  </si>
  <si>
    <t>Cash Infusion</t>
  </si>
  <si>
    <t>Undrawn Commitment Fee</t>
  </si>
  <si>
    <t>Balance Sheet:</t>
  </si>
  <si>
    <t>Accounts receivable</t>
  </si>
  <si>
    <t>Total Funds Requirement</t>
  </si>
  <si>
    <t>Term Years</t>
  </si>
  <si>
    <t>Inventories</t>
  </si>
  <si>
    <t>% of COGS</t>
  </si>
  <si>
    <t>Sources of Funds:</t>
  </si>
  <si>
    <t>Prepaids</t>
  </si>
  <si>
    <t>Excess Cash</t>
  </si>
  <si>
    <t>Financing</t>
  </si>
  <si>
    <t>Annual</t>
  </si>
  <si>
    <t>Debt:</t>
  </si>
  <si>
    <t>Fees</t>
  </si>
  <si>
    <t>Other current assets</t>
  </si>
  <si>
    <t>Costs</t>
  </si>
  <si>
    <t>Amortization</t>
  </si>
  <si>
    <t>Period (Yrs)</t>
  </si>
  <si>
    <t>Bank Revolver</t>
  </si>
  <si>
    <t>Other long-term assets</t>
  </si>
  <si>
    <t>Term Loan "A"</t>
  </si>
  <si>
    <t>Term Loan "B"</t>
  </si>
  <si>
    <t>Senior Notes</t>
  </si>
  <si>
    <t>Bullet Year Repayment</t>
  </si>
  <si>
    <t>Accounts payable</t>
  </si>
  <si>
    <t>% of COGS plus inventory increase</t>
  </si>
  <si>
    <t>Subordinated Notes</t>
  </si>
  <si>
    <t>Mezzanine Debt</t>
  </si>
  <si>
    <t>Accrued expenses</t>
  </si>
  <si>
    <t>Seller Notes</t>
  </si>
  <si>
    <t>Preferred:</t>
  </si>
  <si>
    <t>Other current liabilities</t>
  </si>
  <si>
    <t>Preferred Stock</t>
  </si>
  <si>
    <t>Equity:</t>
  </si>
  <si>
    <t>Capex</t>
  </si>
  <si>
    <t>Common - Sponsor Equity</t>
  </si>
  <si>
    <t>Capex Start Year</t>
  </si>
  <si>
    <t>in years</t>
  </si>
  <si>
    <t>Management Equity</t>
  </si>
  <si>
    <t>Capex Interval</t>
  </si>
  <si>
    <t>New Equity</t>
  </si>
  <si>
    <t>Total</t>
  </si>
  <si>
    <t>Other Assumptions:</t>
  </si>
  <si>
    <t>Cash Minimum</t>
  </si>
  <si>
    <t>Goodwill / Bargain Purchase:</t>
  </si>
  <si>
    <t>On / Off</t>
  </si>
  <si>
    <t>1=On. 0=Off.</t>
  </si>
  <si>
    <t xml:space="preserve">Add: </t>
  </si>
  <si>
    <t>Years PIK</t>
  </si>
  <si>
    <t xml:space="preserve">Tax Rate          </t>
  </si>
  <si>
    <t>Existing Goodwill</t>
  </si>
  <si>
    <t xml:space="preserve">Year 1               </t>
  </si>
  <si>
    <t>year</t>
  </si>
  <si>
    <t>Less:</t>
  </si>
  <si>
    <t>Net Assets (Book Value)</t>
  </si>
  <si>
    <t>Fixed Assets (PP&amp;E) Write-up</t>
  </si>
  <si>
    <t>DCF Assumptions:</t>
  </si>
  <si>
    <t>Identifiable Tangibles Write-up</t>
  </si>
  <si>
    <t>Discount Rate (WACC)</t>
  </si>
  <si>
    <t>Deferred Tax Liability - existing</t>
  </si>
  <si>
    <t>Discount Rate Range</t>
  </si>
  <si>
    <t>DTL Created on Assets Write-up</t>
  </si>
  <si>
    <t>EBITDA Terminal Value Multiple</t>
  </si>
  <si>
    <t>x</t>
  </si>
  <si>
    <t>Goodwill/(Gain from Bargain Purchase)</t>
  </si>
  <si>
    <t>EBITDA Multiple Range</t>
  </si>
  <si>
    <t>Perpetuity Growth Rate</t>
  </si>
  <si>
    <t>Perpetuity Growth Range</t>
  </si>
  <si>
    <t>Net Debt</t>
  </si>
  <si>
    <t>Preferred Stock Dividend</t>
  </si>
  <si>
    <t>Pref Stock Retired Year</t>
  </si>
  <si>
    <t>Income Statements</t>
  </si>
  <si>
    <t>Year</t>
  </si>
  <si>
    <t>Year No.</t>
  </si>
  <si>
    <t>Net Sales</t>
  </si>
  <si>
    <t>Gross Margin</t>
  </si>
  <si>
    <t>Operating Expenses</t>
  </si>
  <si>
    <t>EBITDA</t>
  </si>
  <si>
    <t>D&amp;A</t>
  </si>
  <si>
    <t>EBIT</t>
  </si>
  <si>
    <t>Interest Expense</t>
  </si>
  <si>
    <t>Other Expenses (Income)</t>
  </si>
  <si>
    <t xml:space="preserve">Amortization of Capitalized </t>
  </si>
  <si>
    <t>Financing Costs</t>
  </si>
  <si>
    <t>(Gain) Loss on Asset Sales</t>
  </si>
  <si>
    <t>Net Income before Taxes</t>
  </si>
  <si>
    <t>Income Tax Expense (Benefit)</t>
  </si>
  <si>
    <t>Net Income</t>
  </si>
  <si>
    <t>Dividend</t>
  </si>
  <si>
    <t>Common Stock Dividend</t>
  </si>
  <si>
    <t>Net Income to Common Shareholders</t>
  </si>
  <si>
    <t>Balance Sheets</t>
  </si>
  <si>
    <t>Pre-Acq</t>
  </si>
  <si>
    <t>Adj</t>
  </si>
  <si>
    <t>Post-Acq</t>
  </si>
  <si>
    <t>ASSETS</t>
  </si>
  <si>
    <t>Current Assets:</t>
  </si>
  <si>
    <t>Cash in bank</t>
  </si>
  <si>
    <t>Total Current Assets</t>
  </si>
  <si>
    <t>Non-Current Assets:</t>
  </si>
  <si>
    <t>Goodwill</t>
  </si>
  <si>
    <t>Intangible Assets</t>
  </si>
  <si>
    <t>Other Long-Term Assets</t>
  </si>
  <si>
    <t>PP&amp;E:</t>
  </si>
  <si>
    <t>Gross PP&amp;E</t>
  </si>
  <si>
    <t>Depreciation (Current)</t>
  </si>
  <si>
    <t>Accumulated Depreciation</t>
  </si>
  <si>
    <t>Net PP&amp;E</t>
  </si>
  <si>
    <t>Total Non-Current Assets</t>
  </si>
  <si>
    <t>Total Assets</t>
  </si>
  <si>
    <t>LIABILITIES &amp; EQUITY</t>
  </si>
  <si>
    <t>Current Liabilities:</t>
  </si>
  <si>
    <t>Total Current Liabilities</t>
  </si>
  <si>
    <t>Deferred Tax Liability</t>
  </si>
  <si>
    <t>Long-Term Debt:</t>
  </si>
  <si>
    <t>Existing Debt</t>
  </si>
  <si>
    <t>Total Long Term Debt</t>
  </si>
  <si>
    <t>Total Long-Term Liabilities</t>
  </si>
  <si>
    <t>Total Liabilities</t>
  </si>
  <si>
    <t>Shareholder's Equity:</t>
  </si>
  <si>
    <t>Common Equity</t>
  </si>
  <si>
    <t>Retained Earnings</t>
  </si>
  <si>
    <t>Total Shareholder's Equity</t>
  </si>
  <si>
    <t>Total Liabilities &amp; Equity</t>
  </si>
  <si>
    <t>Balance Sheet Check</t>
  </si>
  <si>
    <t>Cash Flows</t>
  </si>
  <si>
    <t>Cash flows from operating activities</t>
  </si>
  <si>
    <t>Non-cash adjustments:</t>
  </si>
  <si>
    <t>Depreciation and amortization</t>
  </si>
  <si>
    <t>Amortization of Capitalized Financing Costs</t>
  </si>
  <si>
    <t>Increase (Decrease) in Deferred Tax Liability</t>
  </si>
  <si>
    <t>Changes in operating assets and liabilities:</t>
  </si>
  <si>
    <t>(Increase) decrease in accounts receivable</t>
  </si>
  <si>
    <t>(Increase) decrease in inventories</t>
  </si>
  <si>
    <t>(Increase) decrease in prepaids &amp; other assets</t>
  </si>
  <si>
    <t>Increase (decrease) in accounts payable</t>
  </si>
  <si>
    <t>Increase (decrease) in accrued exp &amp; other liabilities</t>
  </si>
  <si>
    <t>Net cash provided by (used in) operating activities</t>
  </si>
  <si>
    <t>Cash flows from investing activities</t>
  </si>
  <si>
    <t>Purchase of property &amp; equipment</t>
  </si>
  <si>
    <t>(Increase) decrease in other long-term assets</t>
  </si>
  <si>
    <t>Net cash provided by (used in) investing activities</t>
  </si>
  <si>
    <t>Cash flows from financing activities</t>
  </si>
  <si>
    <t>Net cash provided by (used in) financing activities</t>
  </si>
  <si>
    <t>Net increase (decrease) in cash</t>
  </si>
  <si>
    <t>Cash at beginning of year</t>
  </si>
  <si>
    <t>Cash at end of year</t>
  </si>
  <si>
    <t>Free Cash Flows</t>
  </si>
  <si>
    <t>Add: Amortization of non-deductible goodwill &amp; intangibles</t>
  </si>
  <si>
    <t>EBIT (Adj)</t>
  </si>
  <si>
    <t>Less: Tax on EBIT (Adj)</t>
  </si>
  <si>
    <t>Unlevered Net Income</t>
  </si>
  <si>
    <t xml:space="preserve">Plus: D&amp;A &amp; other non-cash charges affecting EBIT </t>
  </si>
  <si>
    <t>Less: Capital Expenditures</t>
  </si>
  <si>
    <t>Less: Increase in Net (non-cash) Working Capital</t>
  </si>
  <si>
    <t>Less: (Increase) decrease in Deferred Tax</t>
  </si>
  <si>
    <t>Unlevered Free Cash Flows (UFCF)</t>
  </si>
  <si>
    <t>Debt Repayment</t>
  </si>
  <si>
    <t>Cash Available for Debt Repayment</t>
  </si>
  <si>
    <t>Sub-total</t>
  </si>
  <si>
    <t>Minimum Cash Balance</t>
  </si>
  <si>
    <t>Mandatory Repayment</t>
  </si>
  <si>
    <t>Cash Balance</t>
  </si>
  <si>
    <t>Incremental Revolver</t>
  </si>
  <si>
    <t>Cash Available for Optional Repayment</t>
  </si>
  <si>
    <t>Optional Repayment</t>
  </si>
  <si>
    <t>Cash Flow Check</t>
  </si>
  <si>
    <t>Depreciation &amp; Amortization</t>
  </si>
  <si>
    <t>Book Depreciation &amp; Amortization:</t>
  </si>
  <si>
    <t>Depreciation Method</t>
  </si>
  <si>
    <t>Goodwill &amp; Intangibles Amortization</t>
  </si>
  <si>
    <t>PP&amp;E Write-up</t>
  </si>
  <si>
    <t xml:space="preserve"> 0=SLN   1=Sum of Years </t>
  </si>
  <si>
    <t xml:space="preserve"> 0=Not Deductible   1=Tax Deductible</t>
  </si>
  <si>
    <t>Fair Value PP&amp;E</t>
  </si>
  <si>
    <t>Manual or Computed Depreciation</t>
  </si>
  <si>
    <t xml:space="preserve"> 0=Manual   1=Computed</t>
  </si>
  <si>
    <t>Existing PP&amp;E (incl Write-up)</t>
  </si>
  <si>
    <t>Beginning Amt</t>
  </si>
  <si>
    <t>Remaining Life</t>
  </si>
  <si>
    <t>Salvage</t>
  </si>
  <si>
    <t>Class 1</t>
  </si>
  <si>
    <t>Class 2</t>
  </si>
  <si>
    <t>Class 3</t>
  </si>
  <si>
    <t>Class 4</t>
  </si>
  <si>
    <t>Useful Life</t>
  </si>
  <si>
    <t>Computed Depreciation</t>
  </si>
  <si>
    <t>Manual Depreciation</t>
  </si>
  <si>
    <t>Total Book Depreciation</t>
  </si>
  <si>
    <t>Amortization of Intangibles (incl Write-up)</t>
  </si>
  <si>
    <t>Impairment of Goodwill</t>
  </si>
  <si>
    <t>Total Cost ($)</t>
  </si>
  <si>
    <t>Tax Depreciation &amp; Amortization:</t>
  </si>
  <si>
    <t>Tax PP&amp;E</t>
  </si>
  <si>
    <t>Existing PP&amp;E (Tax)</t>
  </si>
  <si>
    <t>Total Tax Depreciation</t>
  </si>
  <si>
    <t>Amortization of Goodwill</t>
  </si>
  <si>
    <t>Income Tax Calculation</t>
  </si>
  <si>
    <t>Net Income before Tax</t>
  </si>
  <si>
    <t>Add: Book Depreciation</t>
  </si>
  <si>
    <t>Add: Book (Gain) Loss on Assets Sale</t>
  </si>
  <si>
    <t>Add: Book Impairment of Goodwill</t>
  </si>
  <si>
    <t>Add: Book Amortization of Intangibles</t>
  </si>
  <si>
    <t>Add: Non-Deductible Expenses</t>
  </si>
  <si>
    <t>Less: Tax Depreciation</t>
  </si>
  <si>
    <t>Less: Tax (Gain) Loss on Assets Sale</t>
  </si>
  <si>
    <t>Less: Tax Amortization of Goodwill</t>
  </si>
  <si>
    <t>Less: Tax Amortization of Intangibles</t>
  </si>
  <si>
    <t>Pre-NOL Taxable Income</t>
  </si>
  <si>
    <t>Less: NOLs Used</t>
  </si>
  <si>
    <t>Post-NOL Taxable Income</t>
  </si>
  <si>
    <t>Cash Taxes Payable</t>
  </si>
  <si>
    <t>Total Book Tax</t>
  </si>
  <si>
    <t>Increase (Decrease) in Deferred</t>
  </si>
  <si>
    <t>Tax Liability</t>
  </si>
  <si>
    <t>Beginning NOL Balance</t>
  </si>
  <si>
    <t>Current Year NOL</t>
  </si>
  <si>
    <t>NOLs Used</t>
  </si>
  <si>
    <t>Ending NOL Balance</t>
  </si>
  <si>
    <t>Projected Asset Sales:</t>
  </si>
  <si>
    <t>Estimated Sale Proceeds</t>
  </si>
  <si>
    <t>Book Basis of Assets</t>
  </si>
  <si>
    <t>Tax Basis of Assets</t>
  </si>
  <si>
    <t>Book Gain (Loss) on Sale</t>
  </si>
  <si>
    <t>Tax Gain (Loss) on Sale</t>
  </si>
  <si>
    <t>Allocation to Balance Sheet:</t>
  </si>
  <si>
    <t>Weighted Average Cost of Capital</t>
  </si>
  <si>
    <t>Risk Free Rate (Treasury Bill Rate)</t>
  </si>
  <si>
    <t>WACC</t>
  </si>
  <si>
    <t>Manual</t>
  </si>
  <si>
    <t>Market Risk Premium</t>
  </si>
  <si>
    <t>0 = Manual    1 = Computed</t>
  </si>
  <si>
    <t>Levered Beta</t>
  </si>
  <si>
    <t>Estimated Cost of Debt</t>
  </si>
  <si>
    <t>Amount</t>
  </si>
  <si>
    <t>Int. Rate</t>
  </si>
  <si>
    <t>Wtd. Rate</t>
  </si>
  <si>
    <t>Computed WACC</t>
  </si>
  <si>
    <t>Proportion</t>
  </si>
  <si>
    <t>Rate</t>
  </si>
  <si>
    <t>Wtd. Cost</t>
  </si>
  <si>
    <t>Cost of Debt (Post-Tax)</t>
  </si>
  <si>
    <t>Cost of Preferred Stock</t>
  </si>
  <si>
    <t>Cost of Equity</t>
  </si>
  <si>
    <t>Total Debt</t>
  </si>
  <si>
    <t>Post-Tax</t>
  </si>
  <si>
    <t>Estimated Cost of Preferred Stock</t>
  </si>
  <si>
    <t>Estimated Cost of Equity (CAPM)</t>
  </si>
  <si>
    <t>Total Book Equity</t>
  </si>
  <si>
    <t>Beta Calculation</t>
  </si>
  <si>
    <t>Pre-Acquisition:</t>
  </si>
  <si>
    <t>Debt</t>
  </si>
  <si>
    <t>Equity</t>
  </si>
  <si>
    <t>Debt/Equity Ratio</t>
  </si>
  <si>
    <t>Preferred Stock/Equity Ratio</t>
  </si>
  <si>
    <t>Post-Acquisition:</t>
  </si>
  <si>
    <t>Unlevered Beta</t>
  </si>
  <si>
    <t>Relevered Beta</t>
  </si>
  <si>
    <t>Discounted Cash Flow Analysis</t>
  </si>
  <si>
    <t>NPV of Free Cash Flow</t>
  </si>
  <si>
    <t>FV of Terminal Value (EBITDA)</t>
  </si>
  <si>
    <t>PV of Terminal Value (EBITDA)</t>
  </si>
  <si>
    <t>FV of Terminal Value (Perpetuity)</t>
  </si>
  <si>
    <t>PV of Terminal Value (Perpetuity)</t>
  </si>
  <si>
    <t>Total Enterprise Value</t>
  </si>
  <si>
    <t>Percentage Split of DCF Analysis</t>
  </si>
  <si>
    <t>EBITDA Multiple Method</t>
  </si>
  <si>
    <t>Perpetuity Growth Method</t>
  </si>
  <si>
    <t>Cash Flow % of TEV:</t>
  </si>
  <si>
    <t>Terminal Value % of TEV:</t>
  </si>
  <si>
    <t>Total Equity Value</t>
  </si>
  <si>
    <t>Total Equity Value Per Share</t>
  </si>
  <si>
    <t>IRR / Returns Calculation</t>
  </si>
  <si>
    <t>Exit Year</t>
  </si>
  <si>
    <t>Equity Allocation on Exit</t>
  </si>
  <si>
    <t>Investment</t>
  </si>
  <si>
    <t>Undiluted</t>
  </si>
  <si>
    <t>% Allocation</t>
  </si>
  <si>
    <t>Diluted</t>
  </si>
  <si>
    <t>Allocation</t>
  </si>
  <si>
    <t>Allocation of Exit Proceeds</t>
  </si>
  <si>
    <t>EBITDA Multiple (Exit Year)</t>
  </si>
  <si>
    <t>EBITDA (Exit Year)</t>
  </si>
  <si>
    <t>Exit Year Enterprise Value</t>
  </si>
  <si>
    <t>N/A</t>
  </si>
  <si>
    <t>Less: Debt</t>
  </si>
  <si>
    <t>Less: Preferred Stock</t>
  </si>
  <si>
    <t>Management Performance Equity</t>
  </si>
  <si>
    <t>Add: Excess Cash</t>
  </si>
  <si>
    <t>Equity Value - Allocable Proceeds</t>
  </si>
  <si>
    <t>Cash Flows &amp; IRR</t>
  </si>
  <si>
    <t>Initial Investment</t>
  </si>
  <si>
    <t>Cash Interest</t>
  </si>
  <si>
    <t>Repayment</t>
  </si>
  <si>
    <t>Principal</t>
  </si>
  <si>
    <t>Participation on Exit</t>
  </si>
  <si>
    <t>IRR</t>
  </si>
  <si>
    <t>Cash Dividend</t>
  </si>
  <si>
    <t>Ratio Analysis</t>
  </si>
  <si>
    <t>Capital Ratios</t>
  </si>
  <si>
    <t>Debt Ratio</t>
  </si>
  <si>
    <t>Total Debt / Book Capitalization</t>
  </si>
  <si>
    <t>Total Debt / Equity</t>
  </si>
  <si>
    <t>Leverage Ratios</t>
  </si>
  <si>
    <t>Total Debt / EBITDA</t>
  </si>
  <si>
    <t>Total Debt / (EBITDA - Capex)</t>
  </si>
  <si>
    <t>Net Debt / EBITDA</t>
  </si>
  <si>
    <t>Senior Debt / EBITDA</t>
  </si>
  <si>
    <t>Interest Coverage</t>
  </si>
  <si>
    <t>EBITDA / Total Interest</t>
  </si>
  <si>
    <t>EBITDA / Senior Interest</t>
  </si>
  <si>
    <t>EBITDA / Cash Interest</t>
  </si>
  <si>
    <t>(EBITDA - Capex) / Total Interest</t>
  </si>
  <si>
    <t>(EBITDA - Capex) / Senior Interest</t>
  </si>
  <si>
    <t>(EBITDA - Capex) / Cash Interest</t>
  </si>
  <si>
    <t>EBIT / Total Interest</t>
  </si>
  <si>
    <t>Asset Utilization</t>
  </si>
  <si>
    <t>Total Asset Turnover (Sales)</t>
  </si>
  <si>
    <t>Fixed Asset Turnover (Sales)</t>
  </si>
  <si>
    <t>Activity Ratios</t>
  </si>
  <si>
    <t>Inventory Turnover (COGS)</t>
  </si>
  <si>
    <t>Accounts Receivable Turnover (Sales)</t>
  </si>
  <si>
    <t>Accounts Payable Turnover (COGS &amp; Inv)</t>
  </si>
  <si>
    <t>Inventory Holding Period (Days)</t>
  </si>
  <si>
    <t>Days Receivable (Sales)</t>
  </si>
  <si>
    <t>Days Payable (COGS &amp; Inv)</t>
  </si>
  <si>
    <t>Liquidity Ratios</t>
  </si>
  <si>
    <t>Current Ratio</t>
  </si>
  <si>
    <t>Quick (Acid Test) Ratio</t>
  </si>
  <si>
    <t>Returns</t>
  </si>
  <si>
    <t>Return on Equity (ROE)</t>
  </si>
  <si>
    <t>Return on Assets (ROA)</t>
  </si>
  <si>
    <t>Operating Results</t>
  </si>
  <si>
    <t>Sales Growth</t>
  </si>
  <si>
    <t>EBITDA Margin</t>
  </si>
  <si>
    <t>EBIT Margin</t>
  </si>
  <si>
    <t>Pre-Tax Profit Ratio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</si>
</sst>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_);[Red]\(&quot;$&quot;#,##0\)"/>
    <numFmt numFmtId="165" formatCode="&quot;$&quot;#,##0.00_);[Red]\(&quot;$&quot;#,##0.00\)"/>
    <numFmt numFmtId="166" formatCode="0.0%"/>
    <numFmt numFmtId="167" formatCode="0.0\x"/>
    <numFmt numFmtId="168" formatCode="_(* #,##0_);_(* \(#,##0\);_(* &quot;-&quot;_);_(@_)"/>
    <numFmt numFmtId="169" formatCode="#,##0.0_);[Red]\(#,##0.0\)"/>
  </numFmts>
  <fonts count="34">
    <font>
      <sz val="10.0"/>
      <color rgb="FF000000"/>
      <name val="Arial"/>
      <scheme val="minor"/>
    </font>
    <font>
      <sz val="9.0"/>
      <color theme="1"/>
      <name val="Arial"/>
    </font>
    <font>
      <b/>
      <sz val="12.0"/>
      <color rgb="FFFF0000"/>
      <name val="Arial"/>
    </font>
    <font>
      <u/>
      <sz val="10.0"/>
      <color theme="10"/>
      <name val="Arial"/>
    </font>
    <font>
      <b/>
      <i/>
      <sz val="12.0"/>
      <color rgb="FF0066CC"/>
      <name val="Arial"/>
    </font>
    <font>
      <b/>
      <sz val="9.0"/>
      <color theme="0"/>
      <name val="Arial"/>
    </font>
    <font>
      <sz val="9.0"/>
      <color theme="0"/>
      <name val="Arial"/>
    </font>
    <font>
      <b/>
      <sz val="9.0"/>
      <color theme="1"/>
      <name val="Arial"/>
    </font>
    <font>
      <sz val="9.0"/>
      <color rgb="FF0066CC"/>
      <name val="Arial"/>
    </font>
    <font>
      <sz val="9.0"/>
      <color rgb="FFF2F2F2"/>
      <name val="Arial"/>
    </font>
    <font>
      <sz val="8.0"/>
      <color theme="1"/>
      <name val="Arial"/>
    </font>
    <font>
      <u/>
      <sz val="9.0"/>
      <color theme="1"/>
      <name val="Arial"/>
    </font>
    <font>
      <sz val="9.0"/>
      <color rgb="FFA5A5A5"/>
      <name val="Arial"/>
    </font>
    <font>
      <sz val="9.0"/>
      <color rgb="FF0000FF"/>
      <name val="Arial"/>
    </font>
    <font>
      <sz val="9.0"/>
      <color rgb="FF00CCFF"/>
      <name val="Arial"/>
    </font>
    <font>
      <sz val="10.0"/>
      <color theme="1"/>
      <name val="Arial"/>
    </font>
    <font>
      <color theme="1"/>
      <name val="Arial"/>
      <scheme val="minor"/>
    </font>
    <font>
      <b/>
      <sz val="8.0"/>
      <color theme="1"/>
      <name val="Arial"/>
    </font>
    <font>
      <b/>
      <sz val="8.0"/>
      <color rgb="FFFF0000"/>
      <name val="Arial"/>
    </font>
    <font>
      <sz val="10.0"/>
      <color rgb="FFA5A5A5"/>
      <name val="Arial"/>
    </font>
    <font>
      <b/>
      <sz val="10.0"/>
      <color theme="1"/>
      <name val="Arial"/>
    </font>
    <font>
      <i/>
      <sz val="10.0"/>
      <color theme="1"/>
      <name val="Arial"/>
    </font>
    <font>
      <sz val="9.0"/>
      <color rgb="FFD8D8D8"/>
      <name val="Arial"/>
    </font>
    <font>
      <b/>
      <i/>
      <sz val="10.0"/>
      <color rgb="FF0066CC"/>
      <name val="Arial"/>
    </font>
    <font>
      <i/>
      <sz val="9.0"/>
      <color theme="1"/>
      <name val="Arial"/>
    </font>
    <font>
      <b/>
      <i/>
      <sz val="9.0"/>
      <color rgb="FF0066CC"/>
      <name val="Arial"/>
    </font>
    <font/>
    <font>
      <u/>
      <sz val="9.0"/>
      <color theme="1"/>
      <name val="Arial"/>
    </font>
    <font>
      <u/>
      <sz val="8.0"/>
      <color theme="1"/>
      <name val="Arial"/>
    </font>
    <font>
      <u/>
      <sz val="9.0"/>
      <color theme="1"/>
      <name val="Arial"/>
    </font>
    <font>
      <u/>
      <sz val="10.0"/>
      <color theme="1"/>
      <name val="Arial"/>
    </font>
    <font>
      <b/>
      <sz val="9.0"/>
      <color rgb="FF0066CC"/>
      <name val="Arial"/>
    </font>
    <font>
      <sz val="10.0"/>
      <color rgb="FF333333"/>
      <name val="Arial"/>
    </font>
    <font>
      <b/>
      <i/>
      <sz val="9.0"/>
      <color theme="1"/>
      <name val="Arial"/>
    </font>
  </fonts>
  <fills count="11">
    <fill>
      <patternFill patternType="none"/>
    </fill>
    <fill>
      <patternFill patternType="lightGray"/>
    </fill>
    <fill>
      <patternFill patternType="solid">
        <fgColor theme="0"/>
        <bgColor theme="0"/>
      </patternFill>
    </fill>
    <fill>
      <patternFill patternType="solid">
        <fgColor rgb="FF0066CC"/>
        <bgColor rgb="FF0066CC"/>
      </patternFill>
    </fill>
    <fill>
      <patternFill patternType="solid">
        <fgColor rgb="FF8DB3E2"/>
        <bgColor rgb="FF8DB3E2"/>
      </patternFill>
    </fill>
    <fill>
      <patternFill patternType="solid">
        <fgColor rgb="FFFFFF99"/>
        <bgColor rgb="FFFFFF99"/>
      </patternFill>
    </fill>
    <fill>
      <patternFill patternType="solid">
        <fgColor rgb="FFD8D8D8"/>
        <bgColor rgb="FFD8D8D8"/>
      </patternFill>
    </fill>
    <fill>
      <patternFill patternType="solid">
        <fgColor rgb="FFBFBFBF"/>
        <bgColor rgb="FFBFBFBF"/>
      </patternFill>
    </fill>
    <fill>
      <patternFill patternType="solid">
        <fgColor rgb="FFF2F2F2"/>
        <bgColor rgb="FFF2F2F2"/>
      </patternFill>
    </fill>
    <fill>
      <patternFill patternType="solid">
        <fgColor rgb="FF00CCFF"/>
        <bgColor rgb="FF00CCFF"/>
      </patternFill>
    </fill>
    <fill>
      <patternFill patternType="solid">
        <fgColor rgb="FFC6D9F0"/>
        <bgColor rgb="FFC6D9F0"/>
      </patternFill>
    </fill>
  </fills>
  <borders count="59">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top/>
      <bottom/>
    </border>
    <border>
      <left/>
      <right style="medium">
        <color rgb="FF000000"/>
      </right>
      <top/>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medium">
        <color rgb="FF000000"/>
      </right>
      <top style="thin">
        <color rgb="FF000000"/>
      </top>
    </border>
    <border>
      <left style="thin">
        <color rgb="FF000000"/>
      </left>
      <bottom style="thin">
        <color rgb="FF000000"/>
      </bottom>
    </border>
    <border>
      <bottom style="thin">
        <color rgb="FF000000"/>
      </bottom>
    </border>
    <border>
      <right style="medium">
        <color rgb="FF000000"/>
      </right>
    </border>
    <border>
      <left style="thin">
        <color rgb="FF000000"/>
      </left>
    </border>
    <border>
      <left style="medium">
        <color rgb="FF000000"/>
      </left>
      <right style="thin">
        <color rgb="FF000000"/>
      </right>
      <top style="thin">
        <color rgb="FF000000"/>
      </top>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bottom style="thin">
        <color rgb="FF000000"/>
      </bottom>
    </border>
    <border>
      <left style="medium">
        <color rgb="FF000000"/>
      </left>
      <right style="thin">
        <color rgb="FF000000"/>
      </right>
      <top style="thin">
        <color rgb="FF000000"/>
      </top>
      <bottom/>
    </border>
    <border>
      <left style="medium">
        <color rgb="FF000000"/>
      </left>
      <right/>
      <top/>
      <bottom style="thin">
        <color rgb="FF000000"/>
      </bottom>
    </border>
    <border>
      <left/>
      <right style="thin">
        <color rgb="FF000000"/>
      </right>
      <top/>
      <bottom style="thin">
        <color rgb="FF000000"/>
      </bottom>
    </border>
    <border>
      <left style="medium">
        <color rgb="FF000000"/>
      </left>
      <right/>
      <top style="thin">
        <color rgb="FF000000"/>
      </top>
      <bottom/>
    </border>
    <border>
      <right style="thin">
        <color rgb="FF000000"/>
      </right>
      <top style="thin">
        <color rgb="FF000000"/>
      </top>
      <bottom style="thin">
        <color rgb="FF000000"/>
      </bottom>
    </border>
    <border>
      <left style="thin">
        <color rgb="FF000000"/>
      </left>
      <right/>
      <top/>
      <bottom/>
    </border>
    <border>
      <left style="thin">
        <color rgb="FF000000"/>
      </left>
      <right/>
      <top/>
      <bottom style="thin">
        <color rgb="FF000000"/>
      </bottom>
    </border>
    <border>
      <left/>
      <right/>
      <top/>
      <bottom style="thin">
        <color rgb="FF000000"/>
      </bottom>
    </border>
    <border>
      <left style="medium">
        <color rgb="FF000000"/>
      </left>
      <right/>
      <top/>
      <bottom style="medium">
        <color rgb="FF000000"/>
      </bottom>
    </border>
    <border>
      <left/>
      <right/>
      <top/>
      <bottom style="medium">
        <color rgb="FF000000"/>
      </bottom>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bottom style="medium">
        <color rgb="FF000000"/>
      </bottom>
    </border>
    <border>
      <right style="thin">
        <color rgb="FF000000"/>
      </right>
    </border>
    <border>
      <left/>
      <right/>
      <top style="thin">
        <color rgb="FF000000"/>
      </top>
      <bottom style="thin">
        <color rgb="FF000000"/>
      </bottom>
    </border>
    <border>
      <left/>
      <right/>
      <top style="thin">
        <color rgb="FF000000"/>
      </top>
      <bottom/>
    </border>
    <border>
      <left/>
      <right style="thin">
        <color rgb="FF000000"/>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style="thin">
        <color rgb="FF000000"/>
      </top>
      <bottom style="thin">
        <color rgb="FF000000"/>
      </bottom>
    </border>
    <border>
      <left style="thin">
        <color rgb="FF000000"/>
      </left>
      <right style="thin">
        <color rgb="FF000000"/>
      </right>
      <top/>
      <bottom/>
    </border>
    <border>
      <right style="thin">
        <color rgb="FF000000"/>
      </right>
      <top style="thin">
        <color rgb="FF000000"/>
      </top>
    </border>
    <border>
      <left style="medium">
        <color rgb="FF000000"/>
      </left>
      <right style="thin">
        <color rgb="FF000000"/>
      </right>
      <top style="medium">
        <color rgb="FF000000"/>
      </top>
      <bottom style="thin">
        <color rgb="FF000000"/>
      </bottom>
    </border>
    <border>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right style="medium">
        <color rgb="FF000000"/>
      </right>
      <top style="thin">
        <color rgb="FF000000"/>
      </top>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30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0" fillId="0" fontId="1" numFmtId="0" xfId="0" applyAlignment="1" applyFont="1">
      <alignment shrinkToFit="0" vertical="bottom" wrapText="0"/>
    </xf>
    <xf borderId="4" fillId="2" fontId="2" numFmtId="0" xfId="0" applyAlignment="1" applyBorder="1" applyFont="1">
      <alignment shrinkToFit="0" vertical="bottom" wrapText="0"/>
    </xf>
    <xf borderId="5" fillId="2" fontId="1" numFmtId="0" xfId="0" applyAlignment="1" applyBorder="1" applyFont="1">
      <alignment shrinkToFit="0" vertical="bottom" wrapText="0"/>
    </xf>
    <xf borderId="6" fillId="2" fontId="1" numFmtId="0" xfId="0" applyAlignment="1" applyBorder="1" applyFont="1">
      <alignment shrinkToFit="0" vertical="bottom" wrapText="0"/>
    </xf>
    <xf borderId="4" fillId="2" fontId="1" numFmtId="0" xfId="0" applyAlignment="1" applyBorder="1" applyFont="1">
      <alignment shrinkToFit="0" vertical="bottom" wrapText="0"/>
    </xf>
    <xf borderId="5" fillId="2" fontId="3" numFmtId="0" xfId="0" applyAlignment="1" applyBorder="1" applyFont="1">
      <alignment shrinkToFit="0" vertical="bottom" wrapText="0"/>
    </xf>
    <xf borderId="4" fillId="2" fontId="4" numFmtId="0" xfId="0" applyAlignment="1" applyBorder="1" applyFont="1">
      <alignment shrinkToFit="0" vertical="bottom" wrapText="0"/>
    </xf>
    <xf borderId="5" fillId="2" fontId="1" numFmtId="164" xfId="0" applyAlignment="1" applyBorder="1" applyFont="1" applyNumberFormat="1">
      <alignment shrinkToFit="0" vertical="bottom" wrapText="0"/>
    </xf>
    <xf borderId="7" fillId="3" fontId="5" numFmtId="0" xfId="0" applyAlignment="1" applyBorder="1" applyFill="1" applyFont="1">
      <alignment shrinkToFit="0" vertical="bottom" wrapText="0"/>
    </xf>
    <xf borderId="8" fillId="3" fontId="6" numFmtId="0" xfId="0" applyAlignment="1" applyBorder="1" applyFont="1">
      <alignment shrinkToFit="0" vertical="bottom" wrapText="0"/>
    </xf>
    <xf borderId="9" fillId="4" fontId="7" numFmtId="0" xfId="0" applyAlignment="1" applyBorder="1" applyFill="1" applyFont="1">
      <alignment shrinkToFit="0" vertical="bottom" wrapText="0"/>
    </xf>
    <xf borderId="8" fillId="4" fontId="7" numFmtId="0" xfId="0" applyAlignment="1" applyBorder="1" applyFont="1">
      <alignment shrinkToFit="0" vertical="bottom" wrapText="0"/>
    </xf>
    <xf borderId="8" fillId="4"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10" fillId="5" fontId="8" numFmtId="165" xfId="0" applyAlignment="1" applyBorder="1" applyFill="1" applyFont="1" applyNumberFormat="1">
      <alignment shrinkToFit="0" vertical="bottom" wrapText="0"/>
    </xf>
    <xf borderId="9" fillId="6" fontId="1" numFmtId="0" xfId="0" applyAlignment="1" applyBorder="1" applyFill="1" applyFont="1">
      <alignment shrinkToFit="0" vertical="bottom" wrapText="0"/>
    </xf>
    <xf borderId="8" fillId="6" fontId="1" numFmtId="0" xfId="0" applyAlignment="1" applyBorder="1" applyFont="1">
      <alignment shrinkToFit="0" vertical="bottom" wrapText="0"/>
    </xf>
    <xf borderId="5" fillId="2" fontId="7" numFmtId="38" xfId="0" applyAlignment="1" applyBorder="1" applyFont="1" applyNumberFormat="1">
      <alignment horizontal="center" shrinkToFit="0" vertical="bottom" wrapText="0"/>
    </xf>
    <xf borderId="9" fillId="7" fontId="7" numFmtId="0" xfId="0" applyAlignment="1" applyBorder="1" applyFill="1" applyFont="1">
      <alignment shrinkToFit="0" vertical="bottom" wrapText="0"/>
    </xf>
    <xf borderId="8" fillId="7" fontId="7" numFmtId="0" xfId="0" applyAlignment="1" applyBorder="1" applyFont="1">
      <alignment shrinkToFit="0" vertical="bottom" wrapText="0"/>
    </xf>
    <xf borderId="8" fillId="5" fontId="8" numFmtId="10" xfId="0" applyAlignment="1" applyBorder="1" applyFont="1" applyNumberFormat="1">
      <alignment shrinkToFit="0" vertical="bottom" wrapText="0"/>
    </xf>
    <xf borderId="9" fillId="2" fontId="1" numFmtId="0" xfId="0" applyAlignment="1" applyBorder="1" applyFont="1">
      <alignment shrinkToFit="0" vertical="bottom" wrapText="0"/>
    </xf>
    <xf borderId="10" fillId="5" fontId="8" numFmtId="0" xfId="0" applyAlignment="1" applyBorder="1" applyFont="1">
      <alignment horizontal="right" shrinkToFit="0" vertical="bottom" wrapText="0"/>
    </xf>
    <xf borderId="5" fillId="2" fontId="1" numFmtId="38" xfId="0" applyAlignment="1" applyBorder="1" applyFont="1" applyNumberFormat="1">
      <alignment shrinkToFit="0" vertical="bottom" wrapText="0"/>
    </xf>
    <xf borderId="11" fillId="8" fontId="1" numFmtId="0" xfId="0" applyAlignment="1" applyBorder="1" applyFill="1" applyFont="1">
      <alignment shrinkToFit="0" vertical="bottom" wrapText="0"/>
    </xf>
    <xf borderId="12" fillId="8" fontId="1" numFmtId="0" xfId="0" applyAlignment="1" applyBorder="1" applyFont="1">
      <alignment shrinkToFit="0" vertical="bottom" wrapText="0"/>
    </xf>
    <xf borderId="8" fillId="5" fontId="8" numFmtId="164" xfId="0" applyAlignment="1" applyBorder="1" applyFont="1" applyNumberFormat="1">
      <alignment shrinkToFit="0" vertical="bottom" wrapText="0"/>
    </xf>
    <xf borderId="10" fillId="6" fontId="1" numFmtId="40" xfId="0" applyAlignment="1" applyBorder="1" applyFont="1" applyNumberFormat="1">
      <alignment shrinkToFit="0" vertical="bottom" wrapText="0"/>
    </xf>
    <xf borderId="8" fillId="6" fontId="1" numFmtId="10" xfId="0" applyAlignment="1" applyBorder="1" applyFont="1" applyNumberFormat="1">
      <alignment shrinkToFit="0" vertical="bottom" wrapText="0"/>
    </xf>
    <xf borderId="10" fillId="5" fontId="8" numFmtId="38" xfId="0" applyAlignment="1" applyBorder="1" applyFont="1" applyNumberFormat="1">
      <alignment shrinkToFit="0" vertical="bottom" wrapText="0"/>
    </xf>
    <xf borderId="11" fillId="2" fontId="1" numFmtId="0" xfId="0" applyAlignment="1" applyBorder="1" applyFont="1">
      <alignment shrinkToFit="0" vertical="bottom" wrapText="0"/>
    </xf>
    <xf borderId="12" fillId="2" fontId="1" numFmtId="0" xfId="0" applyAlignment="1" applyBorder="1" applyFont="1">
      <alignment shrinkToFit="0" vertical="bottom" wrapText="0"/>
    </xf>
    <xf borderId="7" fillId="2" fontId="7" numFmtId="0" xfId="0" applyAlignment="1" applyBorder="1" applyFont="1">
      <alignment shrinkToFit="0" vertical="bottom" wrapText="0"/>
    </xf>
    <xf borderId="10" fillId="6" fontId="1" numFmtId="164" xfId="0" applyAlignment="1" applyBorder="1" applyFont="1" applyNumberFormat="1">
      <alignment shrinkToFit="0" vertical="bottom" wrapText="0"/>
    </xf>
    <xf borderId="8" fillId="2" fontId="9" numFmtId="0" xfId="0" applyAlignment="1" applyBorder="1" applyFont="1">
      <alignment shrinkToFit="0" vertical="bottom" wrapText="0"/>
    </xf>
    <xf borderId="10" fillId="5" fontId="8" numFmtId="0" xfId="0" applyAlignment="1" applyBorder="1" applyFont="1">
      <alignment shrinkToFit="0" vertical="bottom" wrapText="0"/>
    </xf>
    <xf borderId="0" fillId="0" fontId="1" numFmtId="164" xfId="0" applyAlignment="1" applyFont="1" applyNumberFormat="1">
      <alignment shrinkToFit="0" vertical="bottom" wrapText="0"/>
    </xf>
    <xf borderId="9" fillId="8" fontId="1" numFmtId="0" xfId="0" applyAlignment="1" applyBorder="1" applyFont="1">
      <alignment shrinkToFit="0" vertical="bottom" wrapText="0"/>
    </xf>
    <xf borderId="8" fillId="8" fontId="1" numFmtId="0" xfId="0" applyAlignment="1" applyBorder="1" applyFont="1">
      <alignment shrinkToFit="0" vertical="bottom" wrapText="0"/>
    </xf>
    <xf borderId="10" fillId="5" fontId="8" numFmtId="164" xfId="0" applyAlignment="1" applyBorder="1" applyFont="1" applyNumberFormat="1">
      <alignment shrinkToFit="0" vertical="bottom" wrapText="0"/>
    </xf>
    <xf borderId="8" fillId="7" fontId="1" numFmtId="0" xfId="0" applyAlignment="1" applyBorder="1" applyFont="1">
      <alignment shrinkToFit="0" vertical="bottom" wrapText="0"/>
    </xf>
    <xf borderId="13" fillId="8" fontId="1" numFmtId="0" xfId="0" applyAlignment="1" applyBorder="1" applyFont="1">
      <alignment shrinkToFit="0" vertical="bottom" wrapText="0"/>
    </xf>
    <xf borderId="5" fillId="2" fontId="7" numFmtId="38" xfId="0" applyAlignment="1" applyBorder="1" applyFont="1" applyNumberFormat="1">
      <alignment shrinkToFit="0" vertical="bottom" wrapText="0"/>
    </xf>
    <xf borderId="7" fillId="4" fontId="7" numFmtId="0" xfId="0" applyAlignment="1" applyBorder="1" applyFont="1">
      <alignment shrinkToFit="0" vertical="bottom" wrapText="0"/>
    </xf>
    <xf borderId="14" fillId="0" fontId="10" numFmtId="0" xfId="0" applyAlignment="1" applyBorder="1" applyFont="1">
      <alignment horizontal="center" shrinkToFit="0" vertical="bottom" wrapText="0"/>
    </xf>
    <xf borderId="15" fillId="0" fontId="10" numFmtId="0" xfId="0" applyAlignment="1" applyBorder="1" applyFont="1">
      <alignment horizontal="center" shrinkToFit="0" vertical="bottom" wrapText="0"/>
    </xf>
    <xf borderId="16" fillId="0" fontId="1" numFmtId="0" xfId="0" applyAlignment="1" applyBorder="1" applyFont="1">
      <alignment shrinkToFit="0" vertical="bottom" wrapText="0"/>
    </xf>
    <xf borderId="7" fillId="6" fontId="7" numFmtId="0" xfId="0" applyAlignment="1" applyBorder="1" applyFont="1">
      <alignment shrinkToFit="0" vertical="bottom" wrapText="0"/>
    </xf>
    <xf borderId="10" fillId="6" fontId="7" numFmtId="0" xfId="0" applyAlignment="1" applyBorder="1" applyFont="1">
      <alignment horizontal="center" shrinkToFit="0" vertical="bottom" wrapText="0"/>
    </xf>
    <xf borderId="10" fillId="2" fontId="1" numFmtId="0" xfId="0" applyAlignment="1" applyBorder="1" applyFont="1">
      <alignment shrinkToFit="0" vertical="bottom" wrapText="0"/>
    </xf>
    <xf borderId="17" fillId="0" fontId="10" numFmtId="38" xfId="0" applyAlignment="1" applyBorder="1" applyFont="1" applyNumberFormat="1">
      <alignment horizontal="center" shrinkToFit="0" vertical="bottom" wrapText="0"/>
    </xf>
    <xf borderId="18" fillId="0" fontId="10" numFmtId="38" xfId="0" applyAlignment="1" applyBorder="1" applyFont="1" applyNumberFormat="1">
      <alignment horizontal="center" shrinkToFit="0" vertical="bottom" wrapText="0"/>
    </xf>
    <xf borderId="19" fillId="0" fontId="1" numFmtId="38" xfId="0" applyAlignment="1" applyBorder="1" applyFont="1" applyNumberFormat="1">
      <alignment shrinkToFit="0" vertical="bottom" wrapText="0"/>
    </xf>
    <xf borderId="0" fillId="0" fontId="1" numFmtId="38" xfId="0" applyAlignment="1" applyFont="1" applyNumberFormat="1">
      <alignment shrinkToFit="0" vertical="bottom" wrapText="0"/>
    </xf>
    <xf borderId="10" fillId="0" fontId="1" numFmtId="0" xfId="0" applyAlignment="1" applyBorder="1" applyFont="1">
      <alignment shrinkToFit="0" vertical="bottom" wrapText="0"/>
    </xf>
    <xf borderId="20" fillId="0" fontId="1" numFmtId="38" xfId="0" applyAlignment="1" applyBorder="1" applyFont="1" applyNumberFormat="1">
      <alignment shrinkToFit="0" vertical="bottom" wrapText="0"/>
    </xf>
    <xf borderId="19" fillId="0" fontId="11" numFmtId="38" xfId="0" applyAlignment="1" applyBorder="1" applyFont="1" applyNumberFormat="1">
      <alignment horizontal="center" shrinkToFit="0" vertical="bottom" wrapText="0"/>
    </xf>
    <xf borderId="21" fillId="2" fontId="1" numFmtId="0" xfId="0" applyAlignment="1" applyBorder="1" applyFont="1">
      <alignment shrinkToFit="0" vertical="bottom" wrapText="0"/>
    </xf>
    <xf borderId="10" fillId="5" fontId="8" numFmtId="10" xfId="0" applyAlignment="1" applyBorder="1" applyFont="1" applyNumberFormat="1">
      <alignment shrinkToFit="0" vertical="bottom" wrapText="0"/>
    </xf>
    <xf borderId="10" fillId="8" fontId="1" numFmtId="0" xfId="0" applyAlignment="1" applyBorder="1" applyFont="1">
      <alignment shrinkToFit="0" vertical="bottom" wrapText="0"/>
    </xf>
    <xf borderId="19" fillId="0" fontId="8" numFmtId="38" xfId="0" applyAlignment="1" applyBorder="1" applyFont="1" applyNumberFormat="1">
      <alignment horizontal="center" shrinkToFit="0" vertical="bottom" wrapText="0"/>
    </xf>
    <xf borderId="22" fillId="2" fontId="1" numFmtId="0" xfId="0" applyAlignment="1" applyBorder="1" applyFont="1">
      <alignment shrinkToFit="0" vertical="bottom" wrapText="0"/>
    </xf>
    <xf borderId="23" fillId="2" fontId="1" numFmtId="0" xfId="0" applyAlignment="1" applyBorder="1" applyFont="1">
      <alignment shrinkToFit="0" vertical="bottom" wrapText="0"/>
    </xf>
    <xf borderId="23" fillId="5" fontId="8" numFmtId="164" xfId="0" applyAlignment="1" applyBorder="1" applyFont="1" applyNumberFormat="1">
      <alignment shrinkToFit="0" vertical="bottom" wrapText="0"/>
    </xf>
    <xf borderId="13" fillId="2" fontId="1" numFmtId="0" xfId="0" applyAlignment="1" applyBorder="1" applyFont="1">
      <alignment shrinkToFit="0" vertical="bottom" wrapText="0"/>
    </xf>
    <xf borderId="17" fillId="0" fontId="1" numFmtId="38" xfId="0" applyAlignment="1" applyBorder="1" applyFont="1" applyNumberFormat="1">
      <alignment shrinkToFit="0" vertical="bottom" wrapText="0"/>
    </xf>
    <xf borderId="5" fillId="2" fontId="1" numFmtId="10" xfId="0" applyAlignment="1" applyBorder="1" applyFont="1" applyNumberFormat="1">
      <alignment shrinkToFit="0" vertical="bottom" wrapText="0"/>
    </xf>
    <xf borderId="24" fillId="0" fontId="1" numFmtId="38" xfId="0" applyAlignment="1" applyBorder="1" applyFont="1" applyNumberFormat="1">
      <alignment shrinkToFit="0" vertical="bottom" wrapText="0"/>
    </xf>
    <xf borderId="25" fillId="0" fontId="1" numFmtId="38" xfId="0" applyAlignment="1" applyBorder="1" applyFont="1" applyNumberFormat="1">
      <alignment shrinkToFit="0" vertical="bottom" wrapText="0"/>
    </xf>
    <xf borderId="20" fillId="0" fontId="12" numFmtId="38" xfId="0" applyAlignment="1" applyBorder="1" applyFont="1" applyNumberFormat="1">
      <alignment shrinkToFit="0" vertical="bottom" wrapText="0"/>
    </xf>
    <xf borderId="24" fillId="0" fontId="12" numFmtId="38" xfId="0" applyAlignment="1" applyBorder="1" applyFont="1" applyNumberFormat="1">
      <alignment shrinkToFit="0" vertical="bottom" wrapText="0"/>
    </xf>
    <xf borderId="18" fillId="0" fontId="1" numFmtId="38" xfId="0" applyAlignment="1" applyBorder="1" applyFont="1" applyNumberFormat="1">
      <alignment shrinkToFit="0" vertical="bottom" wrapText="0"/>
    </xf>
    <xf borderId="26" fillId="0" fontId="1" numFmtId="38" xfId="0" applyAlignment="1" applyBorder="1" applyFont="1" applyNumberFormat="1">
      <alignment shrinkToFit="0" vertical="bottom" wrapText="0"/>
    </xf>
    <xf borderId="27" fillId="2" fontId="1" numFmtId="0" xfId="0" applyAlignment="1" applyBorder="1" applyFont="1">
      <alignment shrinkToFit="0" vertical="bottom" wrapText="0"/>
    </xf>
    <xf borderId="6" fillId="2" fontId="1" numFmtId="38" xfId="0" applyAlignment="1" applyBorder="1" applyFont="1" applyNumberFormat="1">
      <alignment shrinkToFit="0" vertical="bottom" wrapText="0"/>
    </xf>
    <xf borderId="28" fillId="2" fontId="7" numFmtId="0" xfId="0" applyAlignment="1" applyBorder="1" applyFont="1">
      <alignment shrinkToFit="0" vertical="bottom" wrapText="0"/>
    </xf>
    <xf borderId="29" fillId="2" fontId="1" numFmtId="0" xfId="0" applyAlignment="1" applyBorder="1" applyFont="1">
      <alignment shrinkToFit="0" vertical="bottom" wrapText="0"/>
    </xf>
    <xf borderId="5" fillId="2" fontId="7" numFmtId="0" xfId="0" applyAlignment="1" applyBorder="1" applyFont="1">
      <alignment shrinkToFit="0" vertical="bottom" wrapText="0"/>
    </xf>
    <xf borderId="5" fillId="2" fontId="1" numFmtId="49" xfId="0" applyAlignment="1" applyBorder="1" applyFont="1" applyNumberFormat="1">
      <alignment shrinkToFit="0" vertical="bottom" wrapText="0"/>
    </xf>
    <xf borderId="30" fillId="2" fontId="1" numFmtId="0" xfId="0" applyAlignment="1" applyBorder="1" applyFont="1">
      <alignment shrinkToFit="0" vertical="bottom" wrapText="0"/>
    </xf>
    <xf borderId="31" fillId="0" fontId="1" numFmtId="0" xfId="0" applyAlignment="1" applyBorder="1" applyFont="1">
      <alignment shrinkToFit="0" vertical="bottom" wrapText="0"/>
    </xf>
    <xf borderId="28" fillId="2" fontId="1" numFmtId="0" xfId="0" applyAlignment="1" applyBorder="1" applyFont="1">
      <alignment horizontal="left" shrinkToFit="0" vertical="bottom" wrapText="0"/>
    </xf>
    <xf borderId="8" fillId="6" fontId="1" numFmtId="164" xfId="0" applyAlignment="1" applyBorder="1" applyFont="1" applyNumberFormat="1">
      <alignment shrinkToFit="0" vertical="bottom" wrapText="0"/>
    </xf>
    <xf borderId="8" fillId="5" fontId="8" numFmtId="0" xfId="0" applyAlignment="1" applyBorder="1" applyFont="1">
      <alignment horizontal="right" shrinkToFit="0" vertical="bottom" wrapText="0"/>
    </xf>
    <xf borderId="4" fillId="2" fontId="1" numFmtId="0" xfId="0" applyAlignment="1" applyBorder="1" applyFont="1">
      <alignment horizontal="left" shrinkToFit="0" vertical="bottom" wrapText="0"/>
    </xf>
    <xf borderId="23" fillId="8" fontId="1" numFmtId="0" xfId="0" applyAlignment="1" applyBorder="1" applyFont="1">
      <alignment shrinkToFit="0" vertical="bottom" wrapText="0"/>
    </xf>
    <xf borderId="10" fillId="6" fontId="1" numFmtId="10" xfId="0" applyAlignment="1" applyBorder="1" applyFont="1" applyNumberFormat="1">
      <alignment shrinkToFit="0" vertical="bottom" wrapText="0"/>
    </xf>
    <xf borderId="32" fillId="8" fontId="1" numFmtId="38" xfId="0" applyAlignment="1" applyBorder="1" applyFont="1" applyNumberFormat="1">
      <alignment shrinkToFit="0" vertical="bottom" wrapText="0"/>
    </xf>
    <xf borderId="5" fillId="8" fontId="1" numFmtId="38" xfId="0" applyAlignment="1" applyBorder="1" applyFont="1" applyNumberFormat="1">
      <alignment shrinkToFit="0" vertical="bottom" wrapText="0"/>
    </xf>
    <xf borderId="10" fillId="5" fontId="13" numFmtId="166" xfId="0" applyAlignment="1" applyBorder="1" applyFont="1" applyNumberFormat="1">
      <alignment horizontal="right" shrinkToFit="0" vertical="bottom" wrapText="0"/>
    </xf>
    <xf borderId="4" fillId="2" fontId="7" numFmtId="0" xfId="0" applyAlignment="1" applyBorder="1" applyFont="1">
      <alignment horizontal="left" shrinkToFit="0" vertical="bottom" wrapText="0"/>
    </xf>
    <xf borderId="10" fillId="5" fontId="8" numFmtId="167" xfId="0" applyAlignment="1" applyBorder="1" applyFont="1" applyNumberFormat="1">
      <alignment horizontal="right" shrinkToFit="0" vertical="bottom" wrapText="0"/>
    </xf>
    <xf borderId="9" fillId="2" fontId="1" numFmtId="38" xfId="0" applyAlignment="1" applyBorder="1" applyFont="1" applyNumberFormat="1">
      <alignment shrinkToFit="0" vertical="bottom" wrapText="0"/>
    </xf>
    <xf borderId="8" fillId="2" fontId="1" numFmtId="38" xfId="0" applyAlignment="1" applyBorder="1" applyFont="1" applyNumberFormat="1">
      <alignment shrinkToFit="0" vertical="bottom" wrapText="0"/>
    </xf>
    <xf borderId="23" fillId="5" fontId="13" numFmtId="167" xfId="0" applyAlignment="1" applyBorder="1" applyFont="1" applyNumberFormat="1">
      <alignment horizontal="right" shrinkToFit="0" vertical="bottom" wrapText="0"/>
    </xf>
    <xf borderId="5" fillId="2" fontId="8" numFmtId="164" xfId="0" applyAlignment="1" applyBorder="1" applyFont="1" applyNumberFormat="1">
      <alignment shrinkToFit="0" vertical="bottom" wrapText="0"/>
    </xf>
    <xf borderId="9" fillId="8" fontId="1" numFmtId="38" xfId="0" applyAlignment="1" applyBorder="1" applyFont="1" applyNumberFormat="1">
      <alignment shrinkToFit="0" vertical="bottom" wrapText="0"/>
    </xf>
    <xf borderId="8" fillId="8" fontId="1" numFmtId="38" xfId="0" applyAlignment="1" applyBorder="1" applyFont="1" applyNumberFormat="1">
      <alignment shrinkToFit="0" vertical="bottom" wrapText="0"/>
    </xf>
    <xf borderId="4" fillId="2" fontId="7" numFmtId="0" xfId="0" applyAlignment="1" applyBorder="1" applyFont="1">
      <alignment shrinkToFit="0" vertical="bottom" wrapText="0"/>
    </xf>
    <xf borderId="33" fillId="2" fontId="1" numFmtId="0" xfId="0" applyAlignment="1" applyBorder="1" applyFont="1">
      <alignment shrinkToFit="0" vertical="bottom" wrapText="0"/>
    </xf>
    <xf borderId="34" fillId="2" fontId="1" numFmtId="0" xfId="0" applyAlignment="1" applyBorder="1" applyFont="1">
      <alignment shrinkToFit="0" vertical="bottom" wrapText="0"/>
    </xf>
    <xf borderId="10" fillId="6" fontId="1" numFmtId="164" xfId="0" applyAlignment="1" applyBorder="1" applyFont="1" applyNumberFormat="1">
      <alignment horizontal="right" shrinkToFit="0" vertical="bottom" wrapText="0"/>
    </xf>
    <xf borderId="5" fillId="2" fontId="14" numFmtId="164" xfId="0" applyAlignment="1" applyBorder="1" applyFont="1" applyNumberFormat="1">
      <alignment shrinkToFit="0" vertical="bottom" wrapText="0"/>
    </xf>
    <xf borderId="35" fillId="2" fontId="1" numFmtId="0" xfId="0" applyAlignment="1" applyBorder="1" applyFont="1">
      <alignment shrinkToFit="0" vertical="bottom" wrapText="0"/>
    </xf>
    <xf borderId="36" fillId="2" fontId="1" numFmtId="0" xfId="0" applyAlignment="1" applyBorder="1" applyFont="1">
      <alignment shrinkToFit="0" vertical="bottom" wrapText="0"/>
    </xf>
    <xf borderId="37" fillId="2" fontId="1" numFmtId="0" xfId="0" applyAlignment="1" applyBorder="1" applyFont="1">
      <alignment shrinkToFit="0" vertical="bottom" wrapText="0"/>
    </xf>
    <xf borderId="38" fillId="2" fontId="1" numFmtId="0" xfId="0" applyAlignment="1" applyBorder="1" applyFont="1">
      <alignment shrinkToFit="0" vertical="bottom" wrapText="0"/>
    </xf>
    <xf borderId="39" fillId="5" fontId="8" numFmtId="0" xfId="0" applyAlignment="1" applyBorder="1" applyFont="1">
      <alignment horizontal="right" shrinkToFit="0" vertical="bottom" wrapText="0"/>
    </xf>
    <xf borderId="36" fillId="2" fontId="1" numFmtId="38" xfId="0" applyAlignment="1" applyBorder="1" applyFont="1" applyNumberFormat="1">
      <alignment shrinkToFit="0" vertical="bottom" wrapText="0"/>
    </xf>
    <xf borderId="40" fillId="2" fontId="1" numFmtId="0" xfId="0" applyAlignment="1" applyBorder="1" applyFont="1">
      <alignment shrinkToFit="0" vertical="bottom" wrapText="0"/>
    </xf>
    <xf borderId="0" fillId="0" fontId="4" numFmtId="0" xfId="0" applyAlignment="1" applyFont="1">
      <alignment shrinkToFit="0" vertical="bottom" wrapText="0"/>
    </xf>
    <xf borderId="0" fillId="0" fontId="15" numFmtId="168" xfId="0" applyAlignment="1" applyFont="1" applyNumberFormat="1">
      <alignment shrinkToFit="0" vertical="bottom" wrapText="0"/>
    </xf>
    <xf borderId="0" fillId="0" fontId="15" numFmtId="10" xfId="0" applyAlignment="1" applyFont="1" applyNumberFormat="1">
      <alignment shrinkToFit="0" vertical="bottom" wrapText="0"/>
    </xf>
    <xf borderId="0" fillId="0" fontId="15" numFmtId="0" xfId="0" applyAlignment="1" applyFont="1">
      <alignment shrinkToFit="0" vertical="bottom" wrapText="0"/>
    </xf>
    <xf borderId="41" fillId="0" fontId="15" numFmtId="0" xfId="0" applyAlignment="1" applyBorder="1" applyFont="1">
      <alignment horizontal="center" shrinkToFit="0" vertical="bottom" wrapText="0"/>
    </xf>
    <xf borderId="8" fillId="6" fontId="15" numFmtId="0" xfId="0" applyAlignment="1" applyBorder="1" applyFont="1">
      <alignment horizontal="center" shrinkToFit="0" vertical="bottom" wrapText="0"/>
    </xf>
    <xf borderId="10" fillId="6" fontId="15" numFmtId="0" xfId="0" applyAlignment="1" applyBorder="1" applyFont="1">
      <alignment horizontal="center" shrinkToFit="0" vertical="bottom" wrapText="0"/>
    </xf>
    <xf borderId="0" fillId="0" fontId="10" numFmtId="168" xfId="0" applyAlignment="1" applyFont="1" applyNumberFormat="1">
      <alignment shrinkToFit="0" vertical="bottom" wrapText="0"/>
    </xf>
    <xf borderId="8" fillId="8" fontId="15" numFmtId="0" xfId="0" applyAlignment="1" applyBorder="1" applyFont="1">
      <alignment horizontal="center" shrinkToFit="0" vertical="bottom" wrapText="0"/>
    </xf>
    <xf borderId="10" fillId="8" fontId="15" numFmtId="0" xfId="0" applyAlignment="1" applyBorder="1" applyFont="1">
      <alignment horizontal="center" shrinkToFit="0" vertical="bottom" wrapText="0"/>
    </xf>
    <xf borderId="0" fillId="0" fontId="15" numFmtId="0" xfId="0" applyAlignment="1" applyFont="1">
      <alignment horizontal="center" shrinkToFit="0" vertical="bottom" wrapText="0"/>
    </xf>
    <xf borderId="0" fillId="0" fontId="10" numFmtId="0" xfId="0" applyAlignment="1" applyFont="1">
      <alignment horizontal="center" shrinkToFit="0" vertical="bottom" wrapText="0"/>
    </xf>
    <xf borderId="0" fillId="0" fontId="10" numFmtId="168" xfId="0" applyAlignment="1" applyFont="1" applyNumberFormat="1">
      <alignment horizontal="center" shrinkToFit="0" vertical="bottom" wrapText="0"/>
    </xf>
    <xf borderId="0" fillId="0" fontId="15" numFmtId="38" xfId="0" applyAlignment="1" applyFont="1" applyNumberFormat="1">
      <alignment shrinkToFit="0" vertical="bottom" wrapText="0"/>
    </xf>
    <xf borderId="0" fillId="0" fontId="15" numFmtId="10" xfId="0" applyAlignment="1" applyFont="1" applyNumberFormat="1">
      <alignment horizontal="center" shrinkToFit="0" vertical="bottom" wrapText="0"/>
    </xf>
    <xf borderId="0" fillId="0" fontId="10" numFmtId="0" xfId="0" applyAlignment="1" applyFont="1">
      <alignment shrinkToFit="0" vertical="bottom" wrapText="0"/>
    </xf>
    <xf borderId="0" fillId="0" fontId="16" numFmtId="0" xfId="0" applyFont="1"/>
    <xf borderId="0" fillId="0" fontId="17" numFmtId="0" xfId="0" applyAlignment="1" applyFont="1">
      <alignment shrinkToFit="0" vertical="bottom" wrapText="0"/>
    </xf>
    <xf borderId="0" fillId="0" fontId="17" numFmtId="168" xfId="0" applyAlignment="1" applyFont="1" applyNumberFormat="1">
      <alignment shrinkToFit="0" vertical="bottom" wrapText="0"/>
    </xf>
    <xf borderId="0" fillId="0" fontId="18" numFmtId="0" xfId="0" applyAlignment="1" applyFont="1">
      <alignment shrinkToFit="0" vertical="bottom" wrapText="0"/>
    </xf>
    <xf borderId="0" fillId="0" fontId="19" numFmtId="0" xfId="0" applyAlignment="1" applyFont="1">
      <alignment horizontal="left" shrinkToFit="0" vertical="bottom" wrapText="0"/>
    </xf>
    <xf borderId="0" fillId="0" fontId="12" numFmtId="38" xfId="0" applyAlignment="1" applyFont="1" applyNumberFormat="1">
      <alignment shrinkToFit="0" vertical="bottom" wrapText="0"/>
    </xf>
    <xf borderId="0" fillId="0" fontId="15" numFmtId="0" xfId="0" applyAlignment="1" applyFont="1">
      <alignment horizontal="left" shrinkToFit="0" vertical="bottom" wrapText="0"/>
    </xf>
    <xf borderId="0" fillId="0" fontId="20" numFmtId="38" xfId="0" applyAlignment="1" applyFont="1" applyNumberFormat="1">
      <alignment shrinkToFit="0" vertical="bottom" wrapText="0"/>
    </xf>
    <xf borderId="0" fillId="0" fontId="20" numFmtId="0" xfId="0" applyAlignment="1" applyFont="1">
      <alignment shrinkToFit="0" vertical="bottom" wrapText="0"/>
    </xf>
    <xf borderId="0" fillId="0" fontId="7" numFmtId="38" xfId="0" applyAlignment="1" applyFont="1" applyNumberFormat="1">
      <alignment shrinkToFit="0" vertical="bottom" wrapText="0"/>
    </xf>
    <xf borderId="5" fillId="5" fontId="8" numFmtId="38" xfId="0" applyAlignment="1" applyBorder="1" applyFont="1" applyNumberFormat="1">
      <alignment shrinkToFit="0" vertical="bottom" wrapText="0"/>
    </xf>
    <xf borderId="24" fillId="0" fontId="15" numFmtId="0" xfId="0" applyAlignment="1" applyBorder="1" applyFont="1">
      <alignment horizontal="center" shrinkToFit="0" vertical="bottom" wrapText="0"/>
    </xf>
    <xf borderId="25" fillId="0" fontId="15" numFmtId="0" xfId="0" applyAlignment="1" applyBorder="1" applyFont="1">
      <alignment horizontal="center" shrinkToFit="0" vertical="bottom" wrapText="0"/>
    </xf>
    <xf borderId="10" fillId="0" fontId="15" numFmtId="0" xfId="0" applyAlignment="1" applyBorder="1" applyFont="1">
      <alignment horizontal="center" shrinkToFit="0" vertical="bottom" wrapText="0"/>
    </xf>
    <xf borderId="0" fillId="0" fontId="1" numFmtId="38" xfId="0" applyAlignment="1" applyFont="1" applyNumberFormat="1">
      <alignment horizontal="center" shrinkToFit="0" vertical="bottom" wrapText="0"/>
    </xf>
    <xf borderId="0" fillId="0" fontId="1" numFmtId="10" xfId="0" applyAlignment="1" applyFont="1" applyNumberFormat="1">
      <alignment shrinkToFit="0" vertical="bottom" wrapText="0"/>
    </xf>
    <xf borderId="0" fillId="0" fontId="8" numFmtId="38" xfId="0" applyAlignment="1" applyFont="1" applyNumberFormat="1">
      <alignment shrinkToFit="0" vertical="bottom" wrapText="0"/>
    </xf>
    <xf borderId="0" fillId="0" fontId="21" numFmtId="0" xfId="0" applyAlignment="1" applyFont="1">
      <alignment shrinkToFit="0" vertical="bottom" wrapText="0"/>
    </xf>
    <xf borderId="0" fillId="0" fontId="7" numFmtId="0" xfId="0" applyAlignment="1" applyFont="1">
      <alignment shrinkToFit="0" vertical="bottom" wrapText="0"/>
    </xf>
    <xf borderId="0" fillId="0" fontId="1" numFmtId="0" xfId="0" applyAlignment="1" applyFont="1">
      <alignment horizontal="left" shrinkToFit="0" vertical="bottom" wrapText="0"/>
    </xf>
    <xf borderId="0" fillId="0" fontId="22" numFmtId="38" xfId="0" applyAlignment="1" applyFont="1" applyNumberFormat="1">
      <alignment shrinkToFit="0" vertical="bottom" wrapText="0"/>
    </xf>
    <xf borderId="18" fillId="0" fontId="15" numFmtId="0" xfId="0" applyAlignment="1" applyBorder="1" applyFont="1">
      <alignment shrinkToFit="0" vertical="bottom" wrapText="0"/>
    </xf>
    <xf borderId="0" fillId="0" fontId="23" numFmtId="0" xfId="0" applyAlignment="1" applyFont="1">
      <alignment shrinkToFit="0" vertical="bottom" wrapText="0"/>
    </xf>
    <xf borderId="0" fillId="0" fontId="1" numFmtId="38" xfId="0" applyAlignment="1" applyFont="1" applyNumberFormat="1">
      <alignment horizontal="right" shrinkToFit="0" vertical="bottom" wrapText="0"/>
    </xf>
    <xf borderId="18" fillId="0" fontId="1" numFmtId="38" xfId="0" applyAlignment="1" applyBorder="1" applyFont="1" applyNumberFormat="1">
      <alignment horizontal="right" shrinkToFit="0" vertical="bottom" wrapText="0"/>
    </xf>
    <xf borderId="0" fillId="0" fontId="24" numFmtId="0" xfId="0" applyAlignment="1" applyFont="1">
      <alignment horizontal="left" shrinkToFit="0" vertical="bottom" wrapText="0"/>
    </xf>
    <xf borderId="25" fillId="0" fontId="7" numFmtId="38" xfId="0" applyAlignment="1" applyBorder="1" applyFont="1" applyNumberFormat="1">
      <alignment shrinkToFit="0" vertical="bottom" wrapText="0"/>
    </xf>
    <xf borderId="18" fillId="0" fontId="15" numFmtId="38" xfId="0" applyAlignment="1" applyBorder="1" applyFont="1" applyNumberFormat="1">
      <alignment shrinkToFit="0" vertical="bottom" wrapText="0"/>
    </xf>
    <xf borderId="0" fillId="0" fontId="24" numFmtId="0" xfId="0" applyAlignment="1" applyFont="1">
      <alignment shrinkToFit="0" vertical="bottom" wrapText="0"/>
    </xf>
    <xf borderId="18" fillId="0" fontId="1" numFmtId="0" xfId="0" applyAlignment="1" applyBorder="1" applyFont="1">
      <alignment shrinkToFit="0" vertical="bottom" wrapText="0"/>
    </xf>
    <xf borderId="0" fillId="0" fontId="25" numFmtId="0" xfId="0" applyAlignment="1" applyFont="1">
      <alignment shrinkToFit="0" vertical="bottom" wrapText="0"/>
    </xf>
    <xf borderId="10" fillId="8" fontId="1" numFmtId="164" xfId="0" applyAlignment="1" applyBorder="1" applyFont="1" applyNumberFormat="1">
      <alignment shrinkToFit="0" vertical="bottom" wrapText="0"/>
    </xf>
    <xf borderId="24" fillId="6" fontId="7" numFmtId="0" xfId="0" applyAlignment="1" applyBorder="1" applyFont="1">
      <alignment horizontal="center" shrinkToFit="0" vertical="bottom" wrapText="0"/>
    </xf>
    <xf borderId="25" fillId="0" fontId="26" numFmtId="0" xfId="0" applyBorder="1" applyFont="1"/>
    <xf borderId="31" fillId="0" fontId="26" numFmtId="0" xfId="0" applyBorder="1" applyFont="1"/>
    <xf borderId="10" fillId="5" fontId="8" numFmtId="0" xfId="0" applyAlignment="1" applyBorder="1" applyFont="1">
      <alignment horizontal="center" shrinkToFit="0" vertical="bottom" wrapText="0"/>
    </xf>
    <xf borderId="24" fillId="0" fontId="1" numFmtId="0" xfId="0" applyAlignment="1" applyBorder="1" applyFont="1">
      <alignment horizontal="center" shrinkToFit="0" vertical="bottom" wrapText="0"/>
    </xf>
    <xf borderId="24" fillId="8" fontId="1" numFmtId="0" xfId="0" applyAlignment="1" applyBorder="1" applyFont="1">
      <alignment horizontal="center" shrinkToFit="0" vertical="bottom" wrapText="0"/>
    </xf>
    <xf borderId="10" fillId="8" fontId="1" numFmtId="38" xfId="0" applyAlignment="1" applyBorder="1" applyFont="1" applyNumberFormat="1">
      <alignment shrinkToFit="0" vertical="bottom" wrapText="0"/>
    </xf>
    <xf borderId="0" fillId="0" fontId="1" numFmtId="0" xfId="0" applyAlignment="1" applyFont="1">
      <alignment horizontal="center" shrinkToFit="0" vertical="bottom" wrapText="0"/>
    </xf>
    <xf borderId="41" fillId="0" fontId="1" numFmtId="0" xfId="0" applyAlignment="1" applyBorder="1" applyFont="1">
      <alignment horizontal="center" shrinkToFit="0" vertical="bottom" wrapText="0"/>
    </xf>
    <xf borderId="8" fillId="6" fontId="1" numFmtId="0" xfId="0" applyAlignment="1" applyBorder="1" applyFont="1">
      <alignment horizontal="center" shrinkToFit="0" vertical="bottom" wrapText="0"/>
    </xf>
    <xf borderId="10" fillId="6" fontId="1" numFmtId="0" xfId="0" applyAlignment="1" applyBorder="1" applyFont="1">
      <alignment horizontal="center" shrinkToFit="0" vertical="bottom" wrapText="0"/>
    </xf>
    <xf borderId="8" fillId="8" fontId="1" numFmtId="0" xfId="0" applyAlignment="1" applyBorder="1" applyFont="1">
      <alignment horizontal="center" shrinkToFit="0" vertical="bottom" wrapText="0"/>
    </xf>
    <xf borderId="10" fillId="8" fontId="1" numFmtId="0" xfId="0" applyAlignment="1" applyBorder="1" applyFont="1">
      <alignment horizontal="center" shrinkToFit="0" vertical="bottom" wrapText="0"/>
    </xf>
    <xf borderId="0" fillId="0" fontId="27" numFmtId="0" xfId="0" applyAlignment="1" applyFont="1">
      <alignment horizontal="center" shrinkToFit="0" vertical="bottom" wrapText="0"/>
    </xf>
    <xf borderId="0" fillId="0" fontId="28" numFmtId="0" xfId="0" applyAlignment="1" applyFont="1">
      <alignment horizontal="center" shrinkToFit="0" vertical="bottom" wrapText="0"/>
    </xf>
    <xf borderId="5" fillId="5" fontId="8" numFmtId="164" xfId="0" applyAlignment="1" applyBorder="1" applyFont="1" applyNumberFormat="1">
      <alignment horizontal="center" shrinkToFit="0" vertical="bottom" wrapText="0"/>
    </xf>
    <xf borderId="5" fillId="5" fontId="8" numFmtId="38" xfId="0" applyAlignment="1" applyBorder="1" applyFont="1" applyNumberFormat="1">
      <alignment horizontal="center" shrinkToFit="0" vertical="bottom" wrapText="0"/>
    </xf>
    <xf borderId="25" fillId="0" fontId="1" numFmtId="38" xfId="0" applyAlignment="1" applyBorder="1" applyFont="1" applyNumberFormat="1">
      <alignment horizontal="center" shrinkToFit="0" vertical="bottom" wrapText="0"/>
    </xf>
    <xf borderId="25" fillId="0" fontId="1" numFmtId="38" xfId="0" applyAlignment="1" applyBorder="1" applyFont="1" applyNumberFormat="1">
      <alignment horizontal="right" shrinkToFit="0" vertical="bottom" wrapText="0"/>
    </xf>
    <xf borderId="0" fillId="0" fontId="1" numFmtId="38" xfId="0" applyAlignment="1" applyFont="1" applyNumberFormat="1">
      <alignment horizontal="left" shrinkToFit="0" vertical="bottom" wrapText="0"/>
    </xf>
    <xf borderId="0" fillId="0" fontId="7" numFmtId="0" xfId="0" applyAlignment="1" applyFont="1">
      <alignment horizontal="left" shrinkToFit="0" vertical="bottom" wrapText="0"/>
    </xf>
    <xf borderId="0" fillId="0" fontId="29" numFmtId="38" xfId="0" applyAlignment="1" applyFont="1" applyNumberFormat="1">
      <alignment horizontal="center" shrinkToFit="0" vertical="bottom" wrapText="0"/>
    </xf>
    <xf borderId="0" fillId="0" fontId="1" numFmtId="164" xfId="0" applyAlignment="1" applyFont="1" applyNumberFormat="1">
      <alignment horizontal="center" shrinkToFit="0" vertical="bottom" wrapText="0"/>
    </xf>
    <xf borderId="0" fillId="0" fontId="12" numFmtId="0" xfId="0" applyAlignment="1" applyFont="1">
      <alignment horizontal="left" shrinkToFit="0" vertical="bottom" wrapText="0"/>
    </xf>
    <xf borderId="0" fillId="0" fontId="12" numFmtId="38" xfId="0" applyAlignment="1" applyFont="1" applyNumberFormat="1">
      <alignment horizontal="left" shrinkToFit="0" vertical="bottom" wrapText="0"/>
    </xf>
    <xf borderId="18" fillId="0" fontId="1" numFmtId="0" xfId="0" applyAlignment="1" applyBorder="1" applyFont="1">
      <alignment horizontal="left" shrinkToFit="0" vertical="bottom" wrapText="0"/>
    </xf>
    <xf borderId="18" fillId="0" fontId="1" numFmtId="38" xfId="0" applyAlignment="1" applyBorder="1" applyFont="1" applyNumberFormat="1">
      <alignment horizontal="left" shrinkToFit="0" vertical="bottom" wrapText="0"/>
    </xf>
    <xf borderId="0" fillId="0" fontId="15" numFmtId="38" xfId="0" applyAlignment="1" applyFont="1" applyNumberFormat="1">
      <alignment horizontal="center" shrinkToFit="0" vertical="bottom" wrapText="0"/>
    </xf>
    <xf borderId="0" fillId="0" fontId="30" numFmtId="0" xfId="0" applyAlignment="1" applyFont="1">
      <alignment shrinkToFit="0" vertical="bottom" wrapText="0"/>
    </xf>
    <xf borderId="42" fillId="2" fontId="1" numFmtId="0" xfId="0" applyAlignment="1" applyBorder="1" applyFont="1">
      <alignment shrinkToFit="0" vertical="bottom" wrapText="0"/>
    </xf>
    <xf borderId="10" fillId="5" fontId="31" numFmtId="10" xfId="0" applyAlignment="1" applyBorder="1" applyFont="1" applyNumberFormat="1">
      <alignment shrinkToFit="0" vertical="bottom" wrapText="0"/>
    </xf>
    <xf borderId="13" fillId="6" fontId="7" numFmtId="0" xfId="0" applyAlignment="1" applyBorder="1" applyFont="1">
      <alignment horizontal="center" shrinkToFit="0" vertical="bottom" wrapText="0"/>
    </xf>
    <xf borderId="23" fillId="6" fontId="7" numFmtId="0" xfId="0" applyAlignment="1" applyBorder="1" applyFont="1">
      <alignment horizontal="center" shrinkToFit="0" vertical="bottom" wrapText="0"/>
    </xf>
    <xf borderId="10" fillId="5" fontId="31" numFmtId="4" xfId="0" applyAlignment="1" applyBorder="1" applyFont="1" applyNumberFormat="1">
      <alignment shrinkToFit="0" vertical="bottom" wrapText="0"/>
    </xf>
    <xf borderId="10" fillId="5" fontId="31" numFmtId="0" xfId="0" applyAlignment="1" applyBorder="1" applyFont="1">
      <alignment horizontal="center" shrinkToFit="0" vertical="bottom" wrapText="0"/>
    </xf>
    <xf borderId="24" fillId="0" fontId="7" numFmtId="0" xfId="0" applyAlignment="1" applyBorder="1" applyFont="1">
      <alignment horizontal="center" shrinkToFit="0" vertical="bottom" wrapText="0"/>
    </xf>
    <xf borderId="10" fillId="5" fontId="31" numFmtId="10" xfId="0" applyAlignment="1" applyBorder="1" applyFont="1" applyNumberFormat="1">
      <alignment horizontal="center" shrinkToFit="0" vertical="bottom" wrapText="0"/>
    </xf>
    <xf borderId="11" fillId="6" fontId="7" numFmtId="0" xfId="0" applyAlignment="1" applyBorder="1" applyFont="1">
      <alignment shrinkToFit="0" vertical="bottom" wrapText="0"/>
    </xf>
    <xf borderId="43" fillId="6" fontId="1" numFmtId="0" xfId="0" applyAlignment="1" applyBorder="1" applyFont="1">
      <alignment shrinkToFit="0" vertical="bottom" wrapText="0"/>
    </xf>
    <xf borderId="12" fillId="6" fontId="1" numFmtId="0" xfId="0" applyAlignment="1" applyBorder="1" applyFont="1">
      <alignment shrinkToFit="0" vertical="bottom" wrapText="0"/>
    </xf>
    <xf borderId="11" fillId="8" fontId="1" numFmtId="0" xfId="0" applyAlignment="1" applyBorder="1" applyFont="1">
      <alignment horizontal="left" shrinkToFit="0" vertical="bottom" wrapText="0"/>
    </xf>
    <xf borderId="43" fillId="8" fontId="1" numFmtId="0" xfId="0" applyAlignment="1" applyBorder="1" applyFont="1">
      <alignment shrinkToFit="0" vertical="bottom" wrapText="0"/>
    </xf>
    <xf borderId="10" fillId="0" fontId="1" numFmtId="38" xfId="0" applyAlignment="1" applyBorder="1" applyFont="1" applyNumberFormat="1">
      <alignment shrinkToFit="0" vertical="bottom" wrapText="0"/>
    </xf>
    <xf borderId="10" fillId="0" fontId="1" numFmtId="10" xfId="0" applyAlignment="1" applyBorder="1" applyFont="1" applyNumberFormat="1">
      <alignment shrinkToFit="0" vertical="bottom" wrapText="0"/>
    </xf>
    <xf borderId="43" fillId="2" fontId="1" numFmtId="0" xfId="0" applyAlignment="1" applyBorder="1" applyFont="1">
      <alignment shrinkToFit="0" vertical="bottom" wrapText="0"/>
    </xf>
    <xf borderId="10" fillId="8" fontId="7" numFmtId="0" xfId="0" applyAlignment="1" applyBorder="1" applyFont="1">
      <alignment horizontal="center" shrinkToFit="0" vertical="bottom" wrapText="0"/>
    </xf>
    <xf borderId="10" fillId="0" fontId="1" numFmtId="10" xfId="0" applyAlignment="1" applyBorder="1" applyFont="1" applyNumberFormat="1">
      <alignment horizontal="right" shrinkToFit="0" vertical="bottom" wrapText="0"/>
    </xf>
    <xf borderId="9" fillId="8" fontId="1" numFmtId="0" xfId="0" applyAlignment="1" applyBorder="1" applyFont="1">
      <alignment horizontal="left" shrinkToFit="0" vertical="bottom" wrapText="0"/>
    </xf>
    <xf borderId="42" fillId="8" fontId="1" numFmtId="0" xfId="0" applyAlignment="1" applyBorder="1" applyFont="1">
      <alignment shrinkToFit="0" vertical="bottom" wrapText="0"/>
    </xf>
    <xf borderId="32" fillId="2" fontId="1" numFmtId="0" xfId="0" applyAlignment="1" applyBorder="1" applyFont="1">
      <alignment shrinkToFit="0" vertical="bottom" wrapText="0"/>
    </xf>
    <xf borderId="44" fillId="2" fontId="1" numFmtId="10" xfId="0" applyAlignment="1" applyBorder="1" applyFont="1" applyNumberFormat="1">
      <alignment shrinkToFit="0" vertical="bottom" wrapText="0"/>
    </xf>
    <xf borderId="9" fillId="8" fontId="7" numFmtId="0" xfId="0" applyAlignment="1" applyBorder="1" applyFont="1">
      <alignment shrinkToFit="0" vertical="bottom" wrapText="0"/>
    </xf>
    <xf borderId="42" fillId="8" fontId="1" numFmtId="10" xfId="0" applyAlignment="1" applyBorder="1" applyFont="1" applyNumberFormat="1">
      <alignment shrinkToFit="0" vertical="bottom" wrapText="0"/>
    </xf>
    <xf borderId="8" fillId="8" fontId="1" numFmtId="10" xfId="0" applyAlignment="1" applyBorder="1" applyFont="1" applyNumberFormat="1">
      <alignment shrinkToFit="0" vertical="bottom" wrapText="0"/>
    </xf>
    <xf borderId="8" fillId="9" fontId="7" numFmtId="10" xfId="0" applyAlignment="1" applyBorder="1" applyFill="1" applyFont="1" applyNumberFormat="1">
      <alignment horizontal="center" shrinkToFit="0" vertical="bottom" wrapText="0"/>
    </xf>
    <xf borderId="45" fillId="0" fontId="1" numFmtId="38" xfId="0" applyAlignment="1" applyBorder="1" applyFont="1" applyNumberFormat="1">
      <alignment shrinkToFit="0" vertical="bottom" wrapText="0"/>
    </xf>
    <xf borderId="45" fillId="0" fontId="1" numFmtId="10" xfId="0" applyAlignment="1" applyBorder="1" applyFont="1" applyNumberFormat="1">
      <alignment shrinkToFit="0" vertical="bottom" wrapText="0"/>
    </xf>
    <xf borderId="0" fillId="0" fontId="7" numFmtId="0" xfId="0" applyAlignment="1" applyFont="1">
      <alignment horizontal="center" shrinkToFit="0" vertical="bottom" wrapText="0"/>
    </xf>
    <xf borderId="0" fillId="0" fontId="1" numFmtId="10" xfId="0" applyAlignment="1" applyFont="1" applyNumberFormat="1">
      <alignment horizontal="center" shrinkToFit="0" vertical="bottom" wrapText="0"/>
    </xf>
    <xf borderId="46" fillId="0" fontId="1" numFmtId="38" xfId="0" applyAlignment="1" applyBorder="1" applyFont="1" applyNumberFormat="1">
      <alignment shrinkToFit="0" vertical="bottom" wrapText="0"/>
    </xf>
    <xf borderId="46" fillId="0" fontId="1" numFmtId="10" xfId="0" applyAlignment="1" applyBorder="1" applyFont="1" applyNumberFormat="1">
      <alignment shrinkToFit="0" vertical="bottom" wrapText="0"/>
    </xf>
    <xf borderId="10" fillId="8" fontId="1" numFmtId="10" xfId="0" applyAlignment="1" applyBorder="1" applyFont="1" applyNumberFormat="1">
      <alignment horizontal="center" shrinkToFit="0" vertical="bottom" wrapText="0"/>
    </xf>
    <xf borderId="10" fillId="0" fontId="7" numFmtId="10" xfId="0" applyAlignment="1" applyBorder="1" applyFont="1" applyNumberFormat="1">
      <alignment shrinkToFit="0" vertical="bottom" wrapText="0"/>
    </xf>
    <xf borderId="9" fillId="6" fontId="7" numFmtId="0" xfId="0" applyAlignment="1" applyBorder="1" applyFont="1">
      <alignment shrinkToFit="0" vertical="bottom" wrapText="0"/>
    </xf>
    <xf borderId="42" fillId="6" fontId="1" numFmtId="0" xfId="0" applyAlignment="1" applyBorder="1" applyFont="1">
      <alignment shrinkToFit="0" vertical="bottom" wrapText="0"/>
    </xf>
    <xf borderId="12" fillId="6" fontId="1" numFmtId="38" xfId="0" applyAlignment="1" applyBorder="1" applyFont="1" applyNumberFormat="1">
      <alignment shrinkToFit="0" vertical="bottom" wrapText="0"/>
    </xf>
    <xf borderId="44" fillId="2" fontId="1" numFmtId="0" xfId="0" applyAlignment="1" applyBorder="1" applyFont="1">
      <alignment shrinkToFit="0" vertical="bottom" wrapText="0"/>
    </xf>
    <xf borderId="32" fillId="2" fontId="7" numFmtId="0" xfId="0" applyAlignment="1" applyBorder="1" applyFont="1">
      <alignment shrinkToFit="0" vertical="bottom" wrapText="0"/>
    </xf>
    <xf borderId="10" fillId="0" fontId="7" numFmtId="2" xfId="0" applyAlignment="1" applyBorder="1" applyFont="1" applyNumberFormat="1">
      <alignment shrinkToFit="0" vertical="bottom" wrapText="0"/>
    </xf>
    <xf borderId="32" fillId="2" fontId="1" numFmtId="0" xfId="0" applyAlignment="1" applyBorder="1" applyFont="1">
      <alignment horizontal="left" shrinkToFit="0" vertical="bottom" wrapText="0"/>
    </xf>
    <xf borderId="44" fillId="2" fontId="1" numFmtId="165" xfId="0" applyAlignment="1" applyBorder="1" applyFont="1" applyNumberFormat="1">
      <alignment shrinkToFit="0" vertical="bottom" wrapText="0"/>
    </xf>
    <xf borderId="32" fillId="8" fontId="1" numFmtId="0" xfId="0" applyAlignment="1" applyBorder="1" applyFont="1">
      <alignment horizontal="left" shrinkToFit="0" vertical="bottom" wrapText="0"/>
    </xf>
    <xf borderId="5" fillId="8" fontId="1" numFmtId="0" xfId="0" applyAlignment="1" applyBorder="1" applyFont="1">
      <alignment shrinkToFit="0" vertical="bottom" wrapText="0"/>
    </xf>
    <xf borderId="44" fillId="8" fontId="1" numFmtId="0" xfId="0" applyAlignment="1" applyBorder="1" applyFont="1">
      <alignment shrinkToFit="0" vertical="bottom" wrapText="0"/>
    </xf>
    <xf borderId="10" fillId="0" fontId="1" numFmtId="164" xfId="0" applyAlignment="1" applyBorder="1" applyFont="1" applyNumberFormat="1">
      <alignment shrinkToFit="0" vertical="bottom" wrapText="0"/>
    </xf>
    <xf borderId="10" fillId="0" fontId="1" numFmtId="40" xfId="0" applyAlignment="1" applyBorder="1" applyFont="1" applyNumberFormat="1">
      <alignment shrinkToFit="0" vertical="bottom" wrapText="0"/>
    </xf>
    <xf borderId="33" fillId="8" fontId="1" numFmtId="0" xfId="0" applyAlignment="1" applyBorder="1" applyFont="1">
      <alignment horizontal="left" shrinkToFit="0" vertical="bottom" wrapText="0"/>
    </xf>
    <xf borderId="34" fillId="8" fontId="1" numFmtId="0" xfId="0" applyAlignment="1" applyBorder="1" applyFont="1">
      <alignment shrinkToFit="0" vertical="bottom" wrapText="0"/>
    </xf>
    <xf borderId="29" fillId="8" fontId="1" numFmtId="0" xfId="0" applyAlignment="1" applyBorder="1" applyFont="1">
      <alignment shrinkToFit="0" vertical="bottom" wrapText="0"/>
    </xf>
    <xf borderId="42" fillId="8" fontId="7" numFmtId="0" xfId="0" applyAlignment="1" applyBorder="1" applyFont="1">
      <alignment shrinkToFit="0" vertical="bottom" wrapText="0"/>
    </xf>
    <xf borderId="8" fillId="8" fontId="7" numFmtId="0" xfId="0" applyAlignment="1" applyBorder="1" applyFont="1">
      <alignment shrinkToFit="0" vertical="bottom" wrapText="0"/>
    </xf>
    <xf borderId="10" fillId="0" fontId="7" numFmtId="4" xfId="0" applyAlignment="1" applyBorder="1" applyFont="1" applyNumberFormat="1">
      <alignment shrinkToFit="0" vertical="bottom" wrapText="0"/>
    </xf>
    <xf borderId="44" fillId="2" fontId="1" numFmtId="4" xfId="0" applyAlignment="1" applyBorder="1" applyFont="1" applyNumberFormat="1">
      <alignment shrinkToFit="0" vertical="bottom" wrapText="0"/>
    </xf>
    <xf borderId="0" fillId="0" fontId="32" numFmtId="0" xfId="0" applyAlignment="1" applyFont="1">
      <alignment shrinkToFit="0" vertical="bottom" wrapText="0"/>
    </xf>
    <xf borderId="0" fillId="0" fontId="8" numFmtId="0" xfId="0" applyAlignment="1" applyFont="1">
      <alignment shrinkToFit="0" vertical="bottom" wrapText="0"/>
    </xf>
    <xf borderId="11" fillId="2" fontId="15" numFmtId="0" xfId="0" applyAlignment="1" applyBorder="1" applyFont="1">
      <alignment shrinkToFit="0" vertical="bottom" wrapText="0"/>
    </xf>
    <xf borderId="43" fillId="2" fontId="1" numFmtId="38" xfId="0" applyAlignment="1" applyBorder="1" applyFont="1" applyNumberFormat="1">
      <alignment shrinkToFit="0" vertical="bottom" wrapText="0"/>
    </xf>
    <xf borderId="12" fillId="2" fontId="1" numFmtId="38" xfId="0" applyAlignment="1" applyBorder="1" applyFont="1" applyNumberFormat="1">
      <alignment shrinkToFit="0" vertical="bottom" wrapText="0"/>
    </xf>
    <xf borderId="10" fillId="0" fontId="1" numFmtId="167" xfId="0" applyAlignment="1" applyBorder="1" applyFont="1" applyNumberFormat="1">
      <alignment horizontal="center" shrinkToFit="0" vertical="bottom" wrapText="0"/>
    </xf>
    <xf borderId="10" fillId="0" fontId="1" numFmtId="166" xfId="0" applyAlignment="1" applyBorder="1" applyFont="1" applyNumberFormat="1">
      <alignment horizontal="center" shrinkToFit="0" vertical="bottom" wrapText="0"/>
    </xf>
    <xf borderId="24" fillId="4" fontId="7" numFmtId="0" xfId="0" applyAlignment="1" applyBorder="1" applyFont="1">
      <alignment horizontal="center" shrinkToFit="0" vertical="bottom" wrapText="0"/>
    </xf>
    <xf borderId="24" fillId="4" fontId="7" numFmtId="38" xfId="0" applyAlignment="1" applyBorder="1" applyFont="1" applyNumberFormat="1">
      <alignment horizontal="center" shrinkToFit="0" vertical="bottom" wrapText="0"/>
    </xf>
    <xf borderId="47" fillId="0" fontId="26" numFmtId="0" xfId="0" applyBorder="1" applyFont="1"/>
    <xf borderId="13" fillId="2" fontId="1" numFmtId="38" xfId="0" applyAlignment="1" applyBorder="1" applyFont="1" applyNumberFormat="1">
      <alignment shrinkToFit="0" vertical="bottom" wrapText="0"/>
    </xf>
    <xf borderId="24" fillId="6" fontId="7" numFmtId="38" xfId="0" applyAlignment="1" applyBorder="1" applyFont="1" applyNumberFormat="1">
      <alignment horizontal="center" shrinkToFit="0" vertical="bottom" wrapText="0"/>
    </xf>
    <xf borderId="11" fillId="2" fontId="1" numFmtId="38" xfId="0" applyAlignment="1" applyBorder="1" applyFont="1" applyNumberFormat="1">
      <alignment shrinkToFit="0" vertical="bottom" wrapText="0"/>
    </xf>
    <xf borderId="10" fillId="8" fontId="1" numFmtId="167" xfId="0" applyAlignment="1" applyBorder="1" applyFont="1" applyNumberFormat="1">
      <alignment horizontal="center" shrinkToFit="0" vertical="bottom" wrapText="0"/>
    </xf>
    <xf borderId="9" fillId="8" fontId="1" numFmtId="167" xfId="0" applyAlignment="1" applyBorder="1" applyFont="1" applyNumberFormat="1">
      <alignment horizontal="center" shrinkToFit="0" vertical="bottom" wrapText="0"/>
    </xf>
    <xf borderId="48" fillId="2" fontId="1" numFmtId="38" xfId="0" applyAlignment="1" applyBorder="1" applyFont="1" applyNumberFormat="1">
      <alignment shrinkToFit="0" vertical="bottom" wrapText="0"/>
    </xf>
    <xf borderId="10" fillId="8" fontId="1" numFmtId="166" xfId="0" applyAlignment="1" applyBorder="1" applyFont="1" applyNumberFormat="1">
      <alignment horizontal="center" shrinkToFit="0" vertical="bottom" wrapText="0"/>
    </xf>
    <xf borderId="32" fillId="2" fontId="1" numFmtId="38" xfId="0" applyAlignment="1" applyBorder="1" applyFont="1" applyNumberFormat="1">
      <alignment shrinkToFit="0" vertical="bottom" wrapText="0"/>
    </xf>
    <xf borderId="8" fillId="8" fontId="1" numFmtId="166" xfId="0" applyAlignment="1" applyBorder="1" applyFont="1" applyNumberFormat="1">
      <alignment horizontal="center" shrinkToFit="0" vertical="bottom" wrapText="0"/>
    </xf>
    <xf borderId="9" fillId="6" fontId="7" numFmtId="38" xfId="0" applyAlignment="1" applyBorder="1" applyFont="1" applyNumberFormat="1">
      <alignment shrinkToFit="0" vertical="bottom" wrapText="0"/>
    </xf>
    <xf borderId="8" fillId="6" fontId="7" numFmtId="38" xfId="0" applyAlignment="1" applyBorder="1" applyFont="1" applyNumberFormat="1">
      <alignment shrinkToFit="0" vertical="bottom" wrapText="0"/>
    </xf>
    <xf borderId="9" fillId="8" fontId="1" numFmtId="38" xfId="0" applyAlignment="1" applyBorder="1" applyFont="1" applyNumberFormat="1">
      <alignment horizontal="left" shrinkToFit="0" vertical="bottom" wrapText="0"/>
    </xf>
    <xf borderId="10" fillId="0" fontId="1" numFmtId="166" xfId="0" applyAlignment="1" applyBorder="1" applyFont="1" applyNumberFormat="1">
      <alignment shrinkToFit="0" vertical="bottom" wrapText="0"/>
    </xf>
    <xf borderId="23" fillId="2" fontId="1" numFmtId="38" xfId="0" applyAlignment="1" applyBorder="1" applyFont="1" applyNumberFormat="1">
      <alignment shrinkToFit="0" vertical="bottom" wrapText="0"/>
    </xf>
    <xf borderId="10" fillId="0" fontId="1" numFmtId="165" xfId="0" applyAlignment="1" applyBorder="1" applyFont="1" applyNumberFormat="1">
      <alignment shrinkToFit="0" vertical="bottom" wrapText="0"/>
    </xf>
    <xf borderId="10" fillId="10" fontId="7" numFmtId="0" xfId="0" applyAlignment="1" applyBorder="1" applyFill="1" applyFont="1">
      <alignment shrinkToFit="0" vertical="bottom" wrapText="0"/>
    </xf>
    <xf borderId="45" fillId="0" fontId="1" numFmtId="0" xfId="0" applyAlignment="1" applyBorder="1" applyFont="1">
      <alignment shrinkToFit="0" vertical="bottom" wrapText="0"/>
    </xf>
    <xf borderId="10" fillId="6" fontId="24" numFmtId="0" xfId="0" applyAlignment="1" applyBorder="1" applyFont="1">
      <alignment horizontal="center" shrinkToFit="0" vertical="bottom" wrapText="0"/>
    </xf>
    <xf borderId="10" fillId="6" fontId="33" numFmtId="0" xfId="0" applyAlignment="1" applyBorder="1" applyFont="1">
      <alignment horizontal="center" shrinkToFit="0" vertical="bottom" wrapText="0"/>
    </xf>
    <xf borderId="9" fillId="10" fontId="7" numFmtId="0" xfId="0" applyAlignment="1" applyBorder="1" applyFont="1">
      <alignment shrinkToFit="0" vertical="bottom" wrapText="0"/>
    </xf>
    <xf borderId="42" fillId="10" fontId="1" numFmtId="0" xfId="0" applyAlignment="1" applyBorder="1" applyFont="1">
      <alignment shrinkToFit="0" vertical="bottom" wrapText="0"/>
    </xf>
    <xf borderId="8" fillId="10" fontId="1" numFmtId="0" xfId="0" applyAlignment="1" applyBorder="1" applyFont="1">
      <alignment shrinkToFit="0" vertical="bottom" wrapText="0"/>
    </xf>
    <xf borderId="49" fillId="0" fontId="1" numFmtId="0" xfId="0" applyAlignment="1" applyBorder="1" applyFont="1">
      <alignment shrinkToFit="0" vertical="bottom" wrapText="0"/>
    </xf>
    <xf borderId="44" fillId="2" fontId="1" numFmtId="38" xfId="0" applyAlignment="1" applyBorder="1" applyFont="1" applyNumberFormat="1">
      <alignment shrinkToFit="0" vertical="bottom" wrapText="0"/>
    </xf>
    <xf borderId="10" fillId="0" fontId="7" numFmtId="38" xfId="0" applyAlignment="1" applyBorder="1" applyFont="1" applyNumberFormat="1">
      <alignment shrinkToFit="0" vertical="bottom" wrapText="0"/>
    </xf>
    <xf borderId="10" fillId="0" fontId="1" numFmtId="38" xfId="0" applyAlignment="1" applyBorder="1" applyFont="1" applyNumberFormat="1">
      <alignment horizontal="right" shrinkToFit="0" vertical="bottom" wrapText="0"/>
    </xf>
    <xf borderId="0" fillId="0" fontId="1" numFmtId="168" xfId="0" applyAlignment="1" applyFont="1" applyNumberFormat="1">
      <alignment shrinkToFit="0" vertical="bottom" wrapText="0"/>
    </xf>
    <xf borderId="50" fillId="10" fontId="7" numFmtId="0" xfId="0" applyAlignment="1" applyBorder="1" applyFont="1">
      <alignment shrinkToFit="0" vertical="bottom" wrapText="0"/>
    </xf>
    <xf borderId="51" fillId="0" fontId="1" numFmtId="0" xfId="0" applyAlignment="1" applyBorder="1" applyFont="1">
      <alignment shrinkToFit="0" vertical="bottom" wrapText="0"/>
    </xf>
    <xf borderId="52" fillId="0" fontId="1" numFmtId="0" xfId="0" applyAlignment="1" applyBorder="1" applyFont="1">
      <alignment horizontal="center" shrinkToFit="0" vertical="bottom" wrapText="0"/>
    </xf>
    <xf borderId="52" fillId="6" fontId="1" numFmtId="0" xfId="0" applyAlignment="1" applyBorder="1" applyFont="1">
      <alignment horizontal="center" shrinkToFit="0" vertical="bottom" wrapText="0"/>
    </xf>
    <xf borderId="53" fillId="6" fontId="1" numFmtId="0" xfId="0" applyAlignment="1" applyBorder="1" applyFont="1">
      <alignment horizontal="center" shrinkToFit="0" vertical="bottom" wrapText="0"/>
    </xf>
    <xf borderId="10" fillId="0" fontId="1" numFmtId="0" xfId="0" applyAlignment="1" applyBorder="1" applyFont="1">
      <alignment horizontal="center" shrinkToFit="0" vertical="bottom" wrapText="0"/>
    </xf>
    <xf borderId="54" fillId="8" fontId="1" numFmtId="0" xfId="0" applyAlignment="1" applyBorder="1" applyFont="1">
      <alignment horizontal="center" shrinkToFit="0" vertical="bottom" wrapText="0"/>
    </xf>
    <xf borderId="5" fillId="2" fontId="1" numFmtId="10" xfId="0" applyAlignment="1" applyBorder="1" applyFont="1" applyNumberFormat="1">
      <alignment horizontal="center" shrinkToFit="0" vertical="bottom" wrapText="0"/>
    </xf>
    <xf borderId="6" fillId="2" fontId="1" numFmtId="10" xfId="0" applyAlignment="1" applyBorder="1" applyFont="1" applyNumberFormat="1">
      <alignment horizontal="center" shrinkToFit="0" vertical="bottom" wrapText="0"/>
    </xf>
    <xf borderId="21" fillId="6" fontId="7" numFmtId="0" xfId="0" applyAlignment="1" applyBorder="1" applyFont="1">
      <alignment shrinkToFit="0" vertical="bottom" wrapText="0"/>
    </xf>
    <xf borderId="55" fillId="2" fontId="1" numFmtId="38" xfId="0" applyAlignment="1" applyBorder="1" applyFont="1" applyNumberFormat="1">
      <alignment shrinkToFit="0" vertical="bottom" wrapText="0"/>
    </xf>
    <xf borderId="21" fillId="8" fontId="1" numFmtId="0" xfId="0" applyAlignment="1" applyBorder="1" applyFont="1">
      <alignment horizontal="left" shrinkToFit="0" vertical="bottom" wrapText="0"/>
    </xf>
    <xf borderId="54" fillId="0" fontId="1" numFmtId="38" xfId="0" applyAlignment="1" applyBorder="1" applyFont="1" applyNumberFormat="1">
      <alignment shrinkToFit="0" vertical="bottom" wrapText="0"/>
    </xf>
    <xf borderId="21" fillId="8" fontId="7" numFmtId="0" xfId="0" applyAlignment="1" applyBorder="1" applyFont="1">
      <alignment shrinkToFit="0" vertical="bottom" wrapText="0"/>
    </xf>
    <xf borderId="9" fillId="9" fontId="7" numFmtId="10" xfId="0" applyAlignment="1" applyBorder="1" applyFont="1" applyNumberFormat="1">
      <alignment horizontal="center" shrinkToFit="0" vertical="bottom" wrapText="0"/>
    </xf>
    <xf borderId="5" fillId="2" fontId="7" numFmtId="10" xfId="0" applyAlignment="1" applyBorder="1" applyFont="1" applyNumberFormat="1">
      <alignment horizontal="center" shrinkToFit="0" vertical="bottom" wrapText="0"/>
    </xf>
    <xf borderId="42" fillId="9" fontId="7" numFmtId="10" xfId="0" applyAlignment="1" applyBorder="1" applyFont="1" applyNumberFormat="1">
      <alignment horizontal="center" shrinkToFit="0" vertical="bottom" wrapText="0"/>
    </xf>
    <xf borderId="56" fillId="8" fontId="7" numFmtId="0" xfId="0" applyAlignment="1" applyBorder="1" applyFont="1">
      <alignment shrinkToFit="0" vertical="bottom" wrapText="0"/>
    </xf>
    <xf borderId="57" fillId="9" fontId="7" numFmtId="10" xfId="0" applyAlignment="1" applyBorder="1" applyFont="1" applyNumberFormat="1">
      <alignment horizontal="center" shrinkToFit="0" vertical="bottom" wrapText="0"/>
    </xf>
    <xf borderId="39" fillId="0" fontId="1" numFmtId="38" xfId="0" applyAlignment="1" applyBorder="1" applyFont="1" applyNumberFormat="1">
      <alignment shrinkToFit="0" vertical="bottom" wrapText="0"/>
    </xf>
    <xf borderId="58" fillId="0" fontId="1" numFmtId="38" xfId="0" applyAlignment="1" applyBorder="1" applyFont="1" applyNumberFormat="1">
      <alignment shrinkToFit="0" vertical="bottom" wrapText="0"/>
    </xf>
    <xf borderId="0" fillId="0" fontId="1" numFmtId="168" xfId="0" applyAlignment="1" applyFont="1" applyNumberFormat="1">
      <alignment horizontal="center" shrinkToFit="0" vertical="bottom" wrapText="0"/>
    </xf>
    <xf borderId="0" fillId="0" fontId="1" numFmtId="167" xfId="0" applyAlignment="1" applyFont="1" applyNumberFormat="1">
      <alignment horizontal="center" shrinkToFit="0" vertical="bottom" wrapText="0"/>
    </xf>
    <xf borderId="0" fillId="0" fontId="1" numFmtId="169" xfId="0" applyAlignment="1" applyFont="1" applyNumberFormat="1">
      <alignment horizontal="center"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88"/>
    <col customWidth="1" min="2" max="2" width="22.5"/>
    <col customWidth="1" min="3" max="3" width="10.88"/>
    <col customWidth="1" min="4" max="4" width="6.63"/>
    <col customWidth="1" min="5" max="5" width="7.5"/>
    <col customWidth="1" min="6" max="6" width="3.88"/>
    <col customWidth="1" min="7" max="8" width="11.5"/>
    <col customWidth="1" min="9" max="9" width="10.5"/>
    <col customWidth="1" min="10" max="10" width="11.88"/>
    <col customWidth="1" min="11" max="11" width="4.13"/>
    <col customWidth="1" min="12" max="12" width="12.5"/>
    <col customWidth="1" min="13" max="13" width="20.0"/>
    <col customWidth="1" min="14" max="14" width="11.5"/>
    <col customWidth="1" min="15" max="15" width="11.63"/>
    <col customWidth="1" min="16" max="16" width="9.13"/>
    <col customWidth="1" hidden="1" min="17" max="17" width="9.5"/>
    <col customWidth="1" hidden="1" min="18" max="18" width="8.0"/>
    <col customWidth="1" hidden="1" min="19" max="19" width="11.0"/>
    <col customWidth="1" min="20" max="21" width="9.13"/>
    <col customWidth="1" min="22" max="26" width="8.0"/>
  </cols>
  <sheetData>
    <row r="1" ht="11.25" customHeight="1">
      <c r="A1" s="1"/>
      <c r="B1" s="2"/>
      <c r="C1" s="2"/>
      <c r="D1" s="2"/>
      <c r="E1" s="2"/>
      <c r="F1" s="2"/>
      <c r="G1" s="2"/>
      <c r="H1" s="2"/>
      <c r="I1" s="2"/>
      <c r="J1" s="2"/>
      <c r="K1" s="2"/>
      <c r="L1" s="2"/>
      <c r="M1" s="2"/>
      <c r="N1" s="2"/>
      <c r="O1" s="2"/>
      <c r="P1" s="2"/>
      <c r="Q1" s="2"/>
      <c r="R1" s="2"/>
      <c r="S1" s="3"/>
      <c r="T1" s="4"/>
      <c r="U1" s="4"/>
      <c r="V1" s="4"/>
      <c r="W1" s="4"/>
      <c r="X1" s="4"/>
      <c r="Y1" s="4"/>
      <c r="Z1" s="4"/>
    </row>
    <row r="2" ht="15.0" customHeight="1">
      <c r="A2" s="5" t="s">
        <v>0</v>
      </c>
      <c r="B2" s="6"/>
      <c r="C2" s="6"/>
      <c r="D2" s="6"/>
      <c r="E2" s="6"/>
      <c r="F2" s="6"/>
      <c r="G2" s="6"/>
      <c r="H2" s="6"/>
      <c r="I2" s="6"/>
      <c r="J2" s="6"/>
      <c r="K2" s="6"/>
      <c r="L2" s="6"/>
      <c r="M2" s="6"/>
      <c r="N2" s="6"/>
      <c r="O2" s="6"/>
      <c r="P2" s="6"/>
      <c r="Q2" s="6"/>
      <c r="R2" s="6"/>
      <c r="S2" s="7"/>
      <c r="T2" s="4"/>
      <c r="U2" s="4"/>
      <c r="V2" s="4"/>
      <c r="W2" s="4"/>
      <c r="X2" s="4"/>
      <c r="Y2" s="4"/>
      <c r="Z2" s="4"/>
    </row>
    <row r="3" ht="12.75" customHeight="1">
      <c r="A3" s="8"/>
      <c r="B3" s="6"/>
      <c r="C3" s="6"/>
      <c r="D3" s="6"/>
      <c r="E3" s="6"/>
      <c r="F3" s="6"/>
      <c r="G3" s="6"/>
      <c r="H3" s="6"/>
      <c r="I3" s="4"/>
      <c r="J3" s="6"/>
      <c r="K3" s="6"/>
      <c r="L3" s="9"/>
      <c r="M3" s="6"/>
      <c r="N3" s="6"/>
      <c r="O3" s="6"/>
      <c r="P3" s="6"/>
      <c r="Q3" s="6"/>
      <c r="R3" s="6"/>
      <c r="S3" s="7"/>
      <c r="T3" s="4"/>
      <c r="U3" s="4"/>
      <c r="V3" s="4"/>
      <c r="W3" s="4"/>
      <c r="X3" s="4"/>
      <c r="Y3" s="4"/>
      <c r="Z3" s="4"/>
    </row>
    <row r="4" ht="15.0" customHeight="1">
      <c r="A4" s="10" t="s">
        <v>1</v>
      </c>
      <c r="B4" s="6"/>
      <c r="C4" s="6"/>
      <c r="D4" s="6"/>
      <c r="E4" s="6"/>
      <c r="F4" s="6"/>
      <c r="G4" s="6"/>
      <c r="H4" s="6"/>
      <c r="I4" s="6"/>
      <c r="J4" s="6"/>
      <c r="K4" s="6"/>
      <c r="L4" s="6"/>
      <c r="M4" s="6"/>
      <c r="N4" s="6"/>
      <c r="O4" s="6"/>
      <c r="P4" s="6"/>
      <c r="Q4" s="6"/>
      <c r="R4" s="6"/>
      <c r="S4" s="7"/>
      <c r="T4" s="4"/>
      <c r="U4" s="4"/>
      <c r="V4" s="4"/>
      <c r="W4" s="4"/>
      <c r="X4" s="4"/>
      <c r="Y4" s="4"/>
      <c r="Z4" s="4"/>
    </row>
    <row r="5" ht="11.25" customHeight="1">
      <c r="A5" s="8" t="s">
        <v>2</v>
      </c>
      <c r="B5" s="6"/>
      <c r="C5" s="6"/>
      <c r="D5" s="6"/>
      <c r="E5" s="6"/>
      <c r="F5" s="6"/>
      <c r="G5" s="4"/>
      <c r="H5" s="6"/>
      <c r="I5" s="6"/>
      <c r="J5" s="6"/>
      <c r="K5" s="6"/>
      <c r="L5" s="6"/>
      <c r="M5" s="6"/>
      <c r="N5" s="6"/>
      <c r="O5" s="6"/>
      <c r="P5" s="6"/>
      <c r="Q5" s="6"/>
      <c r="R5" s="6"/>
      <c r="S5" s="7"/>
      <c r="T5" s="4"/>
      <c r="U5" s="4"/>
      <c r="V5" s="4"/>
      <c r="W5" s="4"/>
      <c r="X5" s="4"/>
      <c r="Y5" s="4"/>
      <c r="Z5" s="4"/>
    </row>
    <row r="6" ht="11.25" customHeight="1">
      <c r="A6" s="8"/>
      <c r="B6" s="6"/>
      <c r="C6" s="11"/>
      <c r="D6" s="6"/>
      <c r="E6" s="6"/>
      <c r="F6" s="6"/>
      <c r="G6" s="6"/>
      <c r="H6" s="6"/>
      <c r="I6" s="6"/>
      <c r="J6" s="6"/>
      <c r="K6" s="6"/>
      <c r="L6" s="6"/>
      <c r="M6" s="6"/>
      <c r="N6" s="6"/>
      <c r="O6" s="6"/>
      <c r="P6" s="6"/>
      <c r="Q6" s="6"/>
      <c r="R6" s="6"/>
      <c r="S6" s="7"/>
      <c r="T6" s="4"/>
      <c r="U6" s="4"/>
      <c r="V6" s="4"/>
      <c r="W6" s="4"/>
      <c r="X6" s="4"/>
      <c r="Y6" s="4"/>
      <c r="Z6" s="4"/>
    </row>
    <row r="7" ht="12.0" customHeight="1">
      <c r="A7" s="12" t="s">
        <v>3</v>
      </c>
      <c r="B7" s="13"/>
      <c r="C7" s="11"/>
      <c r="D7" s="6"/>
      <c r="E7" s="6"/>
      <c r="F7" s="4"/>
      <c r="G7" s="14" t="s">
        <v>4</v>
      </c>
      <c r="H7" s="15"/>
      <c r="I7" s="6"/>
      <c r="J7" s="6"/>
      <c r="K7" s="6"/>
      <c r="L7" s="14" t="s">
        <v>5</v>
      </c>
      <c r="M7" s="16"/>
      <c r="N7" s="6"/>
      <c r="O7" s="6"/>
      <c r="P7" s="6"/>
      <c r="Q7" s="6"/>
      <c r="R7" s="6"/>
      <c r="S7" s="7"/>
      <c r="T7" s="4"/>
      <c r="U7" s="4"/>
      <c r="V7" s="4"/>
      <c r="W7" s="4"/>
      <c r="X7" s="4"/>
      <c r="Y7" s="4"/>
      <c r="Z7" s="4"/>
    </row>
    <row r="8" ht="12.0" customHeight="1">
      <c r="A8" s="17" t="s">
        <v>6</v>
      </c>
      <c r="B8" s="18"/>
      <c r="C8" s="19">
        <v>6.0</v>
      </c>
      <c r="D8" s="6" t="s">
        <v>7</v>
      </c>
      <c r="E8" s="6"/>
      <c r="F8" s="6"/>
      <c r="G8" s="20" t="str">
        <f>A26</f>
        <v>Assumed Debt</v>
      </c>
      <c r="H8" s="21"/>
      <c r="I8" s="22"/>
      <c r="J8" s="6"/>
      <c r="K8" s="6"/>
      <c r="L8" s="23" t="s">
        <v>8</v>
      </c>
      <c r="M8" s="24"/>
      <c r="N8" s="6"/>
      <c r="O8" s="6"/>
      <c r="P8" s="6"/>
      <c r="Q8" s="6"/>
      <c r="R8" s="6"/>
      <c r="S8" s="7"/>
      <c r="T8" s="4"/>
      <c r="U8" s="4"/>
      <c r="V8" s="4"/>
      <c r="W8" s="4"/>
      <c r="X8" s="4"/>
      <c r="Y8" s="4"/>
      <c r="Z8" s="4"/>
    </row>
    <row r="9" ht="11.25" customHeight="1">
      <c r="A9" s="17" t="s">
        <v>9</v>
      </c>
      <c r="B9" s="18"/>
      <c r="C9" s="25">
        <v>0.1</v>
      </c>
      <c r="D9" s="6" t="s">
        <v>10</v>
      </c>
      <c r="E9" s="6"/>
      <c r="F9" s="6"/>
      <c r="G9" s="26" t="s">
        <v>11</v>
      </c>
      <c r="H9" s="18"/>
      <c r="I9" s="27">
        <v>9.0</v>
      </c>
      <c r="J9" s="28"/>
      <c r="K9" s="6"/>
      <c r="L9" s="29" t="s">
        <v>12</v>
      </c>
      <c r="M9" s="30"/>
      <c r="N9" s="31">
        <v>1100000.0</v>
      </c>
      <c r="O9" s="6" t="s">
        <v>7</v>
      </c>
      <c r="P9" s="6"/>
      <c r="Q9" s="6"/>
      <c r="R9" s="6"/>
      <c r="S9" s="7"/>
      <c r="T9" s="4"/>
      <c r="U9" s="4"/>
      <c r="V9" s="4"/>
      <c r="W9" s="4"/>
      <c r="X9" s="4"/>
      <c r="Y9" s="4"/>
      <c r="Z9" s="4"/>
    </row>
    <row r="10" ht="11.25" customHeight="1">
      <c r="A10" s="17" t="s">
        <v>13</v>
      </c>
      <c r="B10" s="18"/>
      <c r="C10" s="32">
        <f>C8*(1+C9)</f>
        <v>6.6</v>
      </c>
      <c r="D10" s="6" t="s">
        <v>7</v>
      </c>
      <c r="E10" s="6"/>
      <c r="F10" s="6"/>
      <c r="G10" s="26" t="s">
        <v>14</v>
      </c>
      <c r="H10" s="18"/>
      <c r="I10" s="33">
        <f>1/assumed_debt_maturity_year</f>
        <v>0.1111111111</v>
      </c>
      <c r="J10" s="6"/>
      <c r="K10" s="6"/>
      <c r="L10" s="29" t="s">
        <v>15</v>
      </c>
      <c r="M10" s="30"/>
      <c r="N10" s="25">
        <v>0.1</v>
      </c>
      <c r="O10" s="6" t="s">
        <v>10</v>
      </c>
      <c r="P10" s="6"/>
      <c r="Q10" s="6"/>
      <c r="R10" s="6"/>
      <c r="S10" s="7"/>
      <c r="T10" s="4"/>
      <c r="U10" s="4"/>
      <c r="V10" s="4"/>
      <c r="W10" s="4"/>
      <c r="X10" s="4"/>
      <c r="Y10" s="4"/>
      <c r="Z10" s="4"/>
    </row>
    <row r="11" ht="11.25" customHeight="1">
      <c r="A11" s="17" t="s">
        <v>16</v>
      </c>
      <c r="B11" s="18"/>
      <c r="C11" s="34">
        <v>100000.0</v>
      </c>
      <c r="D11" s="6" t="s">
        <v>17</v>
      </c>
      <c r="E11" s="6"/>
      <c r="F11" s="6"/>
      <c r="G11" s="26" t="s">
        <v>18</v>
      </c>
      <c r="H11" s="18"/>
      <c r="I11" s="25">
        <v>0.0425</v>
      </c>
      <c r="J11" s="6"/>
      <c r="K11" s="6"/>
      <c r="L11" s="35" t="s">
        <v>19</v>
      </c>
      <c r="M11" s="36"/>
      <c r="N11" s="25">
        <v>0.45</v>
      </c>
      <c r="O11" s="6" t="s">
        <v>20</v>
      </c>
      <c r="P11" s="6"/>
      <c r="Q11" s="6"/>
      <c r="R11" s="6"/>
      <c r="S11" s="7"/>
      <c r="T11" s="4"/>
      <c r="U11" s="4"/>
      <c r="V11" s="4"/>
      <c r="W11" s="4"/>
      <c r="X11" s="4"/>
      <c r="Y11" s="4"/>
      <c r="Z11" s="4"/>
    </row>
    <row r="12" ht="12.0" customHeight="1">
      <c r="A12" s="37" t="s">
        <v>21</v>
      </c>
      <c r="B12" s="18"/>
      <c r="C12" s="38">
        <f>C10*C11</f>
        <v>660000</v>
      </c>
      <c r="D12" s="6" t="s">
        <v>7</v>
      </c>
      <c r="E12" s="6"/>
      <c r="F12" s="6"/>
      <c r="G12" s="26" t="s">
        <v>22</v>
      </c>
      <c r="H12" s="39"/>
      <c r="I12" s="40">
        <v>1.0</v>
      </c>
      <c r="J12" s="6"/>
      <c r="K12" s="6"/>
      <c r="L12" s="26" t="str">
        <f>L11&amp;" - Annual Increase"</f>
        <v>Cost of goods sold - Annual Increase</v>
      </c>
      <c r="M12" s="18"/>
      <c r="N12" s="25">
        <v>0.0025</v>
      </c>
      <c r="O12" s="6" t="s">
        <v>23</v>
      </c>
      <c r="P12" s="6"/>
      <c r="Q12" s="6"/>
      <c r="R12" s="6"/>
      <c r="S12" s="7"/>
      <c r="T12" s="4"/>
      <c r="U12" s="4"/>
      <c r="V12" s="4"/>
      <c r="W12" s="4"/>
      <c r="X12" s="4"/>
      <c r="Y12" s="4"/>
      <c r="Z12" s="4"/>
    </row>
    <row r="13" ht="11.25" customHeight="1">
      <c r="A13" s="17"/>
      <c r="B13" s="18"/>
      <c r="C13" s="41"/>
      <c r="D13" s="6"/>
      <c r="E13" s="6"/>
      <c r="F13" s="6"/>
      <c r="G13" s="26" t="s">
        <v>24</v>
      </c>
      <c r="H13" s="18"/>
      <c r="I13" s="27">
        <v>1.0</v>
      </c>
      <c r="J13" s="6"/>
      <c r="K13" s="6"/>
      <c r="L13" s="42" t="s">
        <v>25</v>
      </c>
      <c r="M13" s="43"/>
      <c r="N13" s="25">
        <v>0.14</v>
      </c>
      <c r="O13" s="6" t="s">
        <v>20</v>
      </c>
      <c r="P13" s="6"/>
      <c r="Q13" s="6"/>
      <c r="R13" s="6"/>
      <c r="S13" s="7"/>
      <c r="T13" s="4"/>
      <c r="U13" s="4"/>
      <c r="V13" s="4"/>
      <c r="W13" s="4"/>
      <c r="X13" s="4"/>
      <c r="Y13" s="4"/>
      <c r="Z13" s="4"/>
    </row>
    <row r="14" ht="11.25" customHeight="1">
      <c r="A14" s="17" t="s">
        <v>26</v>
      </c>
      <c r="B14" s="18"/>
      <c r="C14" s="38">
        <f>Bal_Sheet!C46-C15</f>
        <v>185000</v>
      </c>
      <c r="D14" s="6" t="s">
        <v>7</v>
      </c>
      <c r="E14" s="6"/>
      <c r="F14" s="6"/>
      <c r="G14" s="26"/>
      <c r="H14" s="18"/>
      <c r="I14" s="6"/>
      <c r="J14" s="6"/>
      <c r="K14" s="6"/>
      <c r="L14" s="42" t="str">
        <f>L13&amp;" - Annual Increase"</f>
        <v>SG&amp;A expenses - Annual Increase</v>
      </c>
      <c r="M14" s="43"/>
      <c r="N14" s="25">
        <v>0.005</v>
      </c>
      <c r="O14" s="6" t="s">
        <v>23</v>
      </c>
      <c r="P14" s="6"/>
      <c r="Q14" s="6"/>
      <c r="R14" s="6"/>
      <c r="S14" s="7"/>
      <c r="T14" s="4"/>
      <c r="U14" s="4"/>
      <c r="V14" s="4"/>
      <c r="W14" s="4"/>
      <c r="X14" s="4"/>
      <c r="Y14" s="4"/>
      <c r="Z14" s="4"/>
    </row>
    <row r="15" ht="12.0" customHeight="1">
      <c r="A15" s="8" t="s">
        <v>27</v>
      </c>
      <c r="B15" s="6"/>
      <c r="C15" s="44">
        <v>65000.0</v>
      </c>
      <c r="D15" s="6" t="s">
        <v>7</v>
      </c>
      <c r="E15" s="6"/>
      <c r="F15" s="6"/>
      <c r="G15" s="20" t="str">
        <f>A27</f>
        <v>Bank Revolver</v>
      </c>
      <c r="H15" s="21"/>
      <c r="I15" s="22"/>
      <c r="J15" s="6"/>
      <c r="K15" s="6"/>
      <c r="L15" s="26" t="s">
        <v>28</v>
      </c>
      <c r="M15" s="18"/>
      <c r="N15" s="25">
        <v>0.12</v>
      </c>
      <c r="O15" s="6" t="s">
        <v>20</v>
      </c>
      <c r="P15" s="6"/>
      <c r="Q15" s="6"/>
      <c r="R15" s="6"/>
      <c r="S15" s="7"/>
      <c r="T15" s="4"/>
      <c r="U15" s="4"/>
      <c r="V15" s="4"/>
      <c r="W15" s="4"/>
      <c r="X15" s="4"/>
      <c r="Y15" s="4"/>
      <c r="Z15" s="4"/>
    </row>
    <row r="16" ht="11.25" customHeight="1">
      <c r="A16" s="17" t="s">
        <v>29</v>
      </c>
      <c r="B16" s="18"/>
      <c r="C16" s="44">
        <v>2500.0</v>
      </c>
      <c r="D16" s="6" t="s">
        <v>7</v>
      </c>
      <c r="E16" s="6"/>
      <c r="F16" s="6"/>
      <c r="G16" s="26" t="s">
        <v>18</v>
      </c>
      <c r="H16" s="18"/>
      <c r="I16" s="25">
        <v>0.0475</v>
      </c>
      <c r="J16" s="6"/>
      <c r="K16" s="6"/>
      <c r="L16" s="26" t="str">
        <f>L15&amp;" - Annual Increase"</f>
        <v>Other expenses - Annual Increase</v>
      </c>
      <c r="M16" s="18"/>
      <c r="N16" s="25">
        <v>0.0015</v>
      </c>
      <c r="O16" s="6" t="s">
        <v>23</v>
      </c>
      <c r="P16" s="6"/>
      <c r="Q16" s="6"/>
      <c r="R16" s="6"/>
      <c r="S16" s="7"/>
      <c r="T16" s="4"/>
      <c r="U16" s="4"/>
      <c r="V16" s="4"/>
      <c r="W16" s="4"/>
      <c r="X16" s="4"/>
      <c r="Y16" s="4"/>
      <c r="Z16" s="4"/>
    </row>
    <row r="17" ht="11.25" customHeight="1">
      <c r="A17" s="17" t="s">
        <v>30</v>
      </c>
      <c r="B17" s="18"/>
      <c r="C17" s="44">
        <f>E27*revolver_limit+SUMPRODUCT(C28:C33,E28:E33)</f>
        <v>10887.5</v>
      </c>
      <c r="D17" s="6" t="s">
        <v>7</v>
      </c>
      <c r="E17" s="6"/>
      <c r="F17" s="6"/>
      <c r="G17" s="26" t="s">
        <v>31</v>
      </c>
      <c r="H17" s="18"/>
      <c r="I17" s="44">
        <v>600000.0</v>
      </c>
      <c r="J17" s="6"/>
      <c r="K17" s="6"/>
      <c r="L17" s="26"/>
      <c r="M17" s="18"/>
      <c r="N17" s="6"/>
      <c r="O17" s="6"/>
      <c r="P17" s="6"/>
      <c r="Q17" s="6"/>
      <c r="R17" s="6"/>
      <c r="S17" s="7"/>
      <c r="T17" s="4"/>
      <c r="U17" s="4"/>
      <c r="V17" s="4"/>
      <c r="W17" s="4"/>
      <c r="X17" s="4"/>
      <c r="Y17" s="4"/>
      <c r="Z17" s="4"/>
    </row>
    <row r="18" ht="12.0" customHeight="1">
      <c r="A18" s="17" t="s">
        <v>32</v>
      </c>
      <c r="B18" s="18"/>
      <c r="C18" s="44">
        <v>27500.0</v>
      </c>
      <c r="D18" s="6" t="s">
        <v>7</v>
      </c>
      <c r="E18" s="6"/>
      <c r="F18" s="6"/>
      <c r="G18" s="26" t="s">
        <v>33</v>
      </c>
      <c r="H18" s="18"/>
      <c r="I18" s="25">
        <v>0.01</v>
      </c>
      <c r="J18" s="6"/>
      <c r="K18" s="6"/>
      <c r="L18" s="23" t="s">
        <v>34</v>
      </c>
      <c r="M18" s="45"/>
      <c r="N18" s="6"/>
      <c r="O18" s="6"/>
      <c r="P18" s="6"/>
      <c r="Q18" s="6"/>
      <c r="R18" s="6"/>
      <c r="S18" s="7"/>
      <c r="T18" s="4"/>
      <c r="U18" s="4"/>
      <c r="V18" s="4"/>
      <c r="W18" s="4"/>
      <c r="X18" s="4"/>
      <c r="Y18" s="4"/>
      <c r="Z18" s="4"/>
    </row>
    <row r="19" ht="11.25" customHeight="1">
      <c r="A19" s="8"/>
      <c r="B19" s="6"/>
      <c r="C19" s="4"/>
      <c r="D19" s="6"/>
      <c r="E19" s="6"/>
      <c r="F19" s="6"/>
      <c r="G19" s="26"/>
      <c r="H19" s="18"/>
      <c r="I19" s="6"/>
      <c r="J19" s="6"/>
      <c r="K19" s="6"/>
      <c r="L19" s="46" t="s">
        <v>35</v>
      </c>
      <c r="M19" s="46"/>
      <c r="N19" s="25">
        <v>0.18</v>
      </c>
      <c r="O19" s="6" t="s">
        <v>20</v>
      </c>
      <c r="P19" s="6"/>
      <c r="Q19" s="6"/>
      <c r="R19" s="6"/>
      <c r="S19" s="7"/>
      <c r="T19" s="4"/>
      <c r="U19" s="4"/>
      <c r="V19" s="4"/>
      <c r="W19" s="4"/>
      <c r="X19" s="4"/>
      <c r="Y19" s="4"/>
      <c r="Z19" s="4"/>
    </row>
    <row r="20" ht="12.0" customHeight="1">
      <c r="A20" s="37" t="s">
        <v>36</v>
      </c>
      <c r="B20" s="18"/>
      <c r="C20" s="38">
        <f>SUM(C12,C14:C18)</f>
        <v>950887.5</v>
      </c>
      <c r="D20" s="6" t="s">
        <v>7</v>
      </c>
      <c r="E20" s="6"/>
      <c r="F20" s="6"/>
      <c r="G20" s="20" t="str">
        <f>A28</f>
        <v>Term Loan "A"</v>
      </c>
      <c r="H20" s="21"/>
      <c r="I20" s="22"/>
      <c r="J20" s="47"/>
      <c r="K20" s="6"/>
      <c r="L20" s="42" t="str">
        <f>L19&amp;" - Annual Increase"</f>
        <v>Accounts receivable - Annual Increase</v>
      </c>
      <c r="M20" s="43"/>
      <c r="N20" s="25">
        <v>0.05</v>
      </c>
      <c r="O20" s="6" t="s">
        <v>23</v>
      </c>
      <c r="P20" s="6"/>
      <c r="Q20" s="6"/>
      <c r="R20" s="6"/>
      <c r="S20" s="7"/>
      <c r="T20" s="4"/>
      <c r="U20" s="4"/>
      <c r="V20" s="4"/>
      <c r="W20" s="4"/>
      <c r="X20" s="4"/>
      <c r="Y20" s="4"/>
      <c r="Z20" s="4"/>
    </row>
    <row r="21" ht="11.25" customHeight="1">
      <c r="A21" s="8"/>
      <c r="B21" s="6"/>
      <c r="C21" s="11"/>
      <c r="D21" s="6"/>
      <c r="E21" s="6"/>
      <c r="F21" s="6"/>
      <c r="G21" s="26" t="s">
        <v>37</v>
      </c>
      <c r="H21" s="18"/>
      <c r="I21" s="27">
        <v>8.0</v>
      </c>
      <c r="J21" s="28"/>
      <c r="K21" s="6"/>
      <c r="L21" s="35" t="s">
        <v>38</v>
      </c>
      <c r="M21" s="36"/>
      <c r="N21" s="25">
        <v>0.2</v>
      </c>
      <c r="O21" s="6" t="s">
        <v>39</v>
      </c>
      <c r="P21" s="6"/>
      <c r="Q21" s="6"/>
      <c r="R21" s="6"/>
      <c r="S21" s="7"/>
      <c r="T21" s="4"/>
      <c r="U21" s="4"/>
      <c r="V21" s="4"/>
      <c r="W21" s="4"/>
      <c r="X21" s="4"/>
      <c r="Y21" s="4"/>
      <c r="Z21" s="4"/>
    </row>
    <row r="22" ht="11.25" customHeight="1">
      <c r="A22" s="8"/>
      <c r="B22" s="6"/>
      <c r="C22" s="6"/>
      <c r="D22" s="6"/>
      <c r="E22" s="6"/>
      <c r="F22" s="6"/>
      <c r="G22" s="26" t="s">
        <v>14</v>
      </c>
      <c r="H22" s="18"/>
      <c r="I22" s="33">
        <f>1/I21</f>
        <v>0.125</v>
      </c>
      <c r="J22" s="6"/>
      <c r="K22" s="6"/>
      <c r="L22" s="26" t="str">
        <f>L21&amp;" - Annual Increase"</f>
        <v>Inventories - Annual Increase</v>
      </c>
      <c r="M22" s="18"/>
      <c r="N22" s="25">
        <v>0.04</v>
      </c>
      <c r="O22" s="6" t="s">
        <v>23</v>
      </c>
      <c r="P22" s="6"/>
      <c r="Q22" s="6"/>
      <c r="R22" s="6"/>
      <c r="S22" s="7"/>
      <c r="T22" s="4"/>
      <c r="U22" s="4"/>
      <c r="V22" s="4"/>
      <c r="W22" s="4"/>
      <c r="X22" s="4"/>
      <c r="Y22" s="4"/>
      <c r="Z22" s="4"/>
    </row>
    <row r="23" ht="12.0" customHeight="1">
      <c r="A23" s="48" t="s">
        <v>40</v>
      </c>
      <c r="B23" s="16"/>
      <c r="C23" s="6"/>
      <c r="D23" s="6"/>
      <c r="E23" s="6"/>
      <c r="F23" s="6"/>
      <c r="G23" s="26" t="s">
        <v>18</v>
      </c>
      <c r="H23" s="18"/>
      <c r="I23" s="25">
        <v>0.055</v>
      </c>
      <c r="J23" s="6"/>
      <c r="K23" s="6"/>
      <c r="L23" s="42" t="s">
        <v>41</v>
      </c>
      <c r="M23" s="43"/>
      <c r="N23" s="25">
        <v>0.045</v>
      </c>
      <c r="O23" s="6" t="s">
        <v>20</v>
      </c>
      <c r="P23" s="6"/>
      <c r="Q23" s="6"/>
      <c r="R23" s="6"/>
      <c r="S23" s="7"/>
      <c r="T23" s="4"/>
      <c r="U23" s="4"/>
      <c r="V23" s="4"/>
      <c r="W23" s="4"/>
      <c r="X23" s="4"/>
      <c r="Y23" s="4"/>
      <c r="Z23" s="4"/>
    </row>
    <row r="24" ht="11.25" customHeight="1">
      <c r="A24" s="17" t="s">
        <v>42</v>
      </c>
      <c r="B24" s="18"/>
      <c r="C24" s="38">
        <f>IF(cash_min=1,Bal_Sheet!C10-cash_min_amt,Bal_Sheet!C10)</f>
        <v>5000</v>
      </c>
      <c r="D24" s="6" t="s">
        <v>7</v>
      </c>
      <c r="E24" s="6"/>
      <c r="F24" s="6"/>
      <c r="G24" s="26" t="s">
        <v>22</v>
      </c>
      <c r="H24" s="39"/>
      <c r="I24" s="40">
        <v>1.0</v>
      </c>
      <c r="J24" s="6"/>
      <c r="K24" s="6"/>
      <c r="L24" s="42" t="str">
        <f>L23&amp;" - Annual Increase"</f>
        <v>Prepaids - Annual Increase</v>
      </c>
      <c r="M24" s="43"/>
      <c r="N24" s="25">
        <v>0.02</v>
      </c>
      <c r="O24" s="6" t="s">
        <v>23</v>
      </c>
      <c r="P24" s="4"/>
      <c r="Q24" s="49" t="s">
        <v>43</v>
      </c>
      <c r="R24" s="50" t="s">
        <v>44</v>
      </c>
      <c r="S24" s="51"/>
      <c r="T24" s="4"/>
      <c r="U24" s="4"/>
      <c r="V24" s="4"/>
      <c r="W24" s="4"/>
      <c r="X24" s="4"/>
      <c r="Y24" s="4"/>
      <c r="Z24" s="4"/>
    </row>
    <row r="25" ht="12.0" customHeight="1">
      <c r="A25" s="52" t="s">
        <v>45</v>
      </c>
      <c r="B25" s="21"/>
      <c r="C25" s="4"/>
      <c r="D25" s="6"/>
      <c r="E25" s="53" t="s">
        <v>46</v>
      </c>
      <c r="F25" s="6"/>
      <c r="G25" s="26" t="s">
        <v>24</v>
      </c>
      <c r="H25" s="18"/>
      <c r="I25" s="27">
        <v>1.0</v>
      </c>
      <c r="J25" s="6"/>
      <c r="K25" s="6"/>
      <c r="L25" s="54" t="s">
        <v>47</v>
      </c>
      <c r="M25" s="54"/>
      <c r="N25" s="25">
        <v>0.12</v>
      </c>
      <c r="O25" s="6" t="s">
        <v>20</v>
      </c>
      <c r="P25" s="6"/>
      <c r="Q25" s="55" t="s">
        <v>48</v>
      </c>
      <c r="R25" s="56" t="s">
        <v>49</v>
      </c>
      <c r="S25" s="57"/>
      <c r="T25" s="58"/>
      <c r="U25" s="58"/>
      <c r="V25" s="4"/>
      <c r="W25" s="4"/>
      <c r="X25" s="4"/>
      <c r="Y25" s="4"/>
      <c r="Z25" s="4"/>
    </row>
    <row r="26" ht="11.25" customHeight="1">
      <c r="A26" s="17" t="str">
        <f>A15</f>
        <v>Assumed Debt</v>
      </c>
      <c r="B26" s="18"/>
      <c r="C26" s="38">
        <f>C15</f>
        <v>65000</v>
      </c>
      <c r="D26" s="6" t="s">
        <v>7</v>
      </c>
      <c r="E26" s="59"/>
      <c r="F26" s="6"/>
      <c r="G26" s="26"/>
      <c r="H26" s="18"/>
      <c r="I26" s="6"/>
      <c r="J26" s="6"/>
      <c r="K26" s="6"/>
      <c r="L26" s="26" t="str">
        <f>L25&amp;" - Annual Increase"</f>
        <v>Other current assets - Annual Increase</v>
      </c>
      <c r="M26" s="18"/>
      <c r="N26" s="25">
        <v>0.025</v>
      </c>
      <c r="O26" s="6" t="s">
        <v>23</v>
      </c>
      <c r="P26" s="6"/>
      <c r="Q26" s="60"/>
      <c r="R26" s="58"/>
      <c r="S26" s="61" t="s">
        <v>50</v>
      </c>
      <c r="T26" s="58"/>
      <c r="U26" s="58"/>
      <c r="V26" s="4"/>
      <c r="W26" s="4"/>
      <c r="X26" s="4"/>
      <c r="Y26" s="4"/>
      <c r="Z26" s="4"/>
    </row>
    <row r="27" ht="12.0" customHeight="1">
      <c r="A27" s="62" t="s">
        <v>51</v>
      </c>
      <c r="B27" s="54"/>
      <c r="C27" s="38">
        <f>C20-SUM(C24,C26,C28:C33,C35,C37:C39)</f>
        <v>200887.5</v>
      </c>
      <c r="D27" s="6" t="s">
        <v>7</v>
      </c>
      <c r="E27" s="63">
        <v>0.0075</v>
      </c>
      <c r="F27" s="6"/>
      <c r="G27" s="20" t="str">
        <f>A29</f>
        <v>Term Loan "B"</v>
      </c>
      <c r="H27" s="21"/>
      <c r="I27" s="22"/>
      <c r="J27" s="47"/>
      <c r="K27" s="6"/>
      <c r="L27" s="64" t="s">
        <v>52</v>
      </c>
      <c r="M27" s="64"/>
      <c r="N27" s="25">
        <v>0.04</v>
      </c>
      <c r="O27" s="6" t="s">
        <v>20</v>
      </c>
      <c r="P27" s="6"/>
      <c r="Q27" s="60">
        <f>revolver_limit*E27</f>
        <v>4500</v>
      </c>
      <c r="R27" s="58">
        <f>Q27/S27</f>
        <v>450</v>
      </c>
      <c r="S27" s="65">
        <v>10.0</v>
      </c>
      <c r="T27" s="58"/>
      <c r="U27" s="58"/>
      <c r="V27" s="4"/>
      <c r="W27" s="4"/>
      <c r="X27" s="4"/>
      <c r="Y27" s="4"/>
      <c r="Z27" s="4"/>
    </row>
    <row r="28" ht="11.25" customHeight="1">
      <c r="A28" s="66" t="s">
        <v>53</v>
      </c>
      <c r="B28" s="67"/>
      <c r="C28" s="68">
        <v>80000.0</v>
      </c>
      <c r="D28" s="6" t="s">
        <v>7</v>
      </c>
      <c r="E28" s="63">
        <v>0.015</v>
      </c>
      <c r="F28" s="6"/>
      <c r="G28" s="26" t="s">
        <v>37</v>
      </c>
      <c r="H28" s="18"/>
      <c r="I28" s="27">
        <v>11.0</v>
      </c>
      <c r="J28" s="28"/>
      <c r="K28" s="6"/>
      <c r="L28" s="42" t="str">
        <f>L27&amp;" - Annual Increase"</f>
        <v>Other long-term assets - Annual Increase</v>
      </c>
      <c r="M28" s="43"/>
      <c r="N28" s="25">
        <v>0.005</v>
      </c>
      <c r="O28" s="6" t="s">
        <v>23</v>
      </c>
      <c r="P28" s="6"/>
      <c r="Q28" s="60">
        <f t="shared" ref="Q28:Q33" si="1">C28*E28</f>
        <v>1200</v>
      </c>
      <c r="R28" s="58">
        <f>Q28/I21</f>
        <v>150</v>
      </c>
      <c r="S28" s="57"/>
      <c r="T28" s="58"/>
      <c r="U28" s="58"/>
      <c r="V28" s="4"/>
      <c r="W28" s="4"/>
      <c r="X28" s="4"/>
      <c r="Y28" s="4"/>
      <c r="Z28" s="4"/>
    </row>
    <row r="29" ht="11.25" customHeight="1">
      <c r="A29" s="66" t="s">
        <v>54</v>
      </c>
      <c r="B29" s="67"/>
      <c r="C29" s="68">
        <v>55000.0</v>
      </c>
      <c r="D29" s="6" t="s">
        <v>7</v>
      </c>
      <c r="E29" s="63">
        <v>0.0175</v>
      </c>
      <c r="F29" s="6"/>
      <c r="G29" s="26" t="s">
        <v>14</v>
      </c>
      <c r="H29" s="18"/>
      <c r="I29" s="25">
        <v>0.04</v>
      </c>
      <c r="J29" s="6"/>
      <c r="K29" s="6"/>
      <c r="L29" s="26"/>
      <c r="M29" s="18"/>
      <c r="N29" s="4"/>
      <c r="O29" s="4"/>
      <c r="P29" s="6"/>
      <c r="Q29" s="60">
        <f t="shared" si="1"/>
        <v>962.5</v>
      </c>
      <c r="R29" s="58">
        <f>Q29/I28</f>
        <v>87.5</v>
      </c>
      <c r="S29" s="57"/>
      <c r="T29" s="58"/>
      <c r="U29" s="58"/>
      <c r="V29" s="4"/>
      <c r="W29" s="4"/>
      <c r="X29" s="4"/>
      <c r="Y29" s="4"/>
      <c r="Z29" s="4"/>
    </row>
    <row r="30" ht="11.25" customHeight="1">
      <c r="A30" s="62" t="s">
        <v>55</v>
      </c>
      <c r="B30" s="54"/>
      <c r="C30" s="44">
        <v>65000.0</v>
      </c>
      <c r="D30" s="6" t="s">
        <v>7</v>
      </c>
      <c r="E30" s="63">
        <v>0.02</v>
      </c>
      <c r="F30" s="6"/>
      <c r="G30" s="26" t="s">
        <v>56</v>
      </c>
      <c r="H30" s="18"/>
      <c r="I30" s="33">
        <f>1-(I28-1)*termloanB_ann_repay</f>
        <v>0.6</v>
      </c>
      <c r="J30" s="6"/>
      <c r="K30" s="6"/>
      <c r="L30" s="64" t="s">
        <v>57</v>
      </c>
      <c r="M30" s="64"/>
      <c r="N30" s="25">
        <v>0.15</v>
      </c>
      <c r="O30" s="6" t="s">
        <v>58</v>
      </c>
      <c r="P30" s="6"/>
      <c r="Q30" s="60">
        <f t="shared" si="1"/>
        <v>1300</v>
      </c>
      <c r="R30" s="58">
        <f>Q30/senior_notes_mat_yr</f>
        <v>144.4444444</v>
      </c>
      <c r="S30" s="57"/>
      <c r="T30" s="58"/>
      <c r="U30" s="58"/>
      <c r="V30" s="4"/>
      <c r="W30" s="4"/>
      <c r="X30" s="4"/>
      <c r="Y30" s="4"/>
      <c r="Z30" s="4"/>
    </row>
    <row r="31" ht="11.25" customHeight="1">
      <c r="A31" s="62" t="s">
        <v>59</v>
      </c>
      <c r="B31" s="54"/>
      <c r="C31" s="44">
        <v>40000.0</v>
      </c>
      <c r="D31" s="6" t="s">
        <v>7</v>
      </c>
      <c r="E31" s="63">
        <v>0.025</v>
      </c>
      <c r="F31" s="6"/>
      <c r="G31" s="26" t="s">
        <v>18</v>
      </c>
      <c r="H31" s="18"/>
      <c r="I31" s="25">
        <v>0.0525</v>
      </c>
      <c r="J31" s="6"/>
      <c r="K31" s="6"/>
      <c r="L31" s="42" t="str">
        <f>L30&amp;" - Annual Increase"</f>
        <v>Accounts payable - Annual Increase</v>
      </c>
      <c r="M31" s="43"/>
      <c r="N31" s="25">
        <v>0.02</v>
      </c>
      <c r="O31" s="6" t="s">
        <v>23</v>
      </c>
      <c r="P31" s="6"/>
      <c r="Q31" s="60">
        <f t="shared" si="1"/>
        <v>1000</v>
      </c>
      <c r="R31" s="58">
        <f>Q31/sub_notes_mat_yr</f>
        <v>83.33333333</v>
      </c>
      <c r="S31" s="57"/>
      <c r="T31" s="58"/>
      <c r="U31" s="58"/>
      <c r="V31" s="4"/>
      <c r="W31" s="4"/>
      <c r="X31" s="4"/>
      <c r="Y31" s="4"/>
      <c r="Z31" s="4"/>
    </row>
    <row r="32" ht="11.25" customHeight="1">
      <c r="A32" s="62" t="s">
        <v>60</v>
      </c>
      <c r="B32" s="54"/>
      <c r="C32" s="44">
        <v>70000.0</v>
      </c>
      <c r="D32" s="6" t="s">
        <v>7</v>
      </c>
      <c r="E32" s="63">
        <v>0.0275</v>
      </c>
      <c r="F32" s="6"/>
      <c r="G32" s="26" t="s">
        <v>22</v>
      </c>
      <c r="H32" s="39"/>
      <c r="I32" s="40">
        <v>1.0</v>
      </c>
      <c r="J32" s="6"/>
      <c r="K32" s="6"/>
      <c r="L32" s="69" t="s">
        <v>61</v>
      </c>
      <c r="M32" s="69"/>
      <c r="N32" s="25">
        <v>0.06</v>
      </c>
      <c r="O32" s="6" t="s">
        <v>20</v>
      </c>
      <c r="P32" s="6"/>
      <c r="Q32" s="60">
        <f t="shared" si="1"/>
        <v>1925</v>
      </c>
      <c r="R32" s="58">
        <f>Q32/mezzdebt_maturity_year</f>
        <v>137.5</v>
      </c>
      <c r="S32" s="57"/>
      <c r="T32" s="58"/>
      <c r="U32" s="58"/>
      <c r="V32" s="4"/>
      <c r="W32" s="4"/>
      <c r="X32" s="4"/>
      <c r="Y32" s="4"/>
      <c r="Z32" s="4"/>
    </row>
    <row r="33" ht="11.25" customHeight="1">
      <c r="A33" s="62" t="s">
        <v>62</v>
      </c>
      <c r="B33" s="54"/>
      <c r="C33" s="44">
        <v>25000.0</v>
      </c>
      <c r="D33" s="6" t="s">
        <v>7</v>
      </c>
      <c r="E33" s="63">
        <v>0.0</v>
      </c>
      <c r="F33" s="6"/>
      <c r="G33" s="26" t="s">
        <v>24</v>
      </c>
      <c r="H33" s="18"/>
      <c r="I33" s="27">
        <v>1.0</v>
      </c>
      <c r="J33" s="6"/>
      <c r="K33" s="6"/>
      <c r="L33" s="26" t="str">
        <f>L32&amp;" - Annual Increase"</f>
        <v>Accrued expenses - Annual Increase</v>
      </c>
      <c r="M33" s="18"/>
      <c r="N33" s="25">
        <v>0.015</v>
      </c>
      <c r="O33" s="6" t="s">
        <v>23</v>
      </c>
      <c r="P33" s="6"/>
      <c r="Q33" s="70">
        <f t="shared" si="1"/>
        <v>0</v>
      </c>
      <c r="R33" s="58">
        <f>Q33/I56</f>
        <v>0</v>
      </c>
      <c r="S33" s="57"/>
      <c r="T33" s="58"/>
      <c r="U33" s="58"/>
      <c r="V33" s="4"/>
      <c r="W33" s="4"/>
      <c r="X33" s="4"/>
      <c r="Y33" s="4"/>
      <c r="Z33" s="4"/>
    </row>
    <row r="34" ht="12.0" customHeight="1">
      <c r="A34" s="52" t="s">
        <v>63</v>
      </c>
      <c r="B34" s="21"/>
      <c r="C34" s="4"/>
      <c r="D34" s="6"/>
      <c r="E34" s="71"/>
      <c r="F34" s="6"/>
      <c r="G34" s="26"/>
      <c r="H34" s="18"/>
      <c r="I34" s="6"/>
      <c r="J34" s="6"/>
      <c r="K34" s="6"/>
      <c r="L34" s="42" t="s">
        <v>64</v>
      </c>
      <c r="M34" s="43"/>
      <c r="N34" s="25">
        <v>0.08</v>
      </c>
      <c r="O34" s="6" t="s">
        <v>20</v>
      </c>
      <c r="P34" s="6"/>
      <c r="Q34" s="72">
        <f t="shared" ref="Q34:R34" si="2">SUM(Q27:Q33)</f>
        <v>10887.5</v>
      </c>
      <c r="R34" s="73">
        <f t="shared" si="2"/>
        <v>1052.777778</v>
      </c>
      <c r="S34" s="57"/>
      <c r="T34" s="58"/>
      <c r="U34" s="58"/>
      <c r="V34" s="4"/>
      <c r="W34" s="4"/>
      <c r="X34" s="4"/>
      <c r="Y34" s="4"/>
      <c r="Z34" s="4"/>
    </row>
    <row r="35" ht="12.0" customHeight="1">
      <c r="A35" s="62" t="s">
        <v>65</v>
      </c>
      <c r="B35" s="54"/>
      <c r="C35" s="44">
        <v>60000.0</v>
      </c>
      <c r="D35" s="6" t="s">
        <v>7</v>
      </c>
      <c r="E35" s="63">
        <v>0.02</v>
      </c>
      <c r="F35" s="6"/>
      <c r="G35" s="20" t="str">
        <f>A30</f>
        <v>Senior Notes</v>
      </c>
      <c r="H35" s="21"/>
      <c r="I35" s="22"/>
      <c r="J35" s="6"/>
      <c r="K35" s="6"/>
      <c r="L35" s="42" t="str">
        <f>L34&amp;" - Annual Increase"</f>
        <v>Other current liabilities - Annual Increase</v>
      </c>
      <c r="M35" s="43"/>
      <c r="N35" s="25">
        <v>0.01</v>
      </c>
      <c r="O35" s="6" t="s">
        <v>23</v>
      </c>
      <c r="P35" s="6"/>
      <c r="Q35" s="74">
        <f>C35*E35</f>
        <v>1200</v>
      </c>
      <c r="R35" s="58"/>
      <c r="S35" s="57"/>
      <c r="T35" s="58"/>
      <c r="U35" s="58"/>
      <c r="V35" s="4"/>
      <c r="W35" s="4"/>
      <c r="X35" s="4"/>
      <c r="Y35" s="4"/>
      <c r="Z35" s="4"/>
    </row>
    <row r="36" ht="12.0" customHeight="1">
      <c r="A36" s="52" t="s">
        <v>66</v>
      </c>
      <c r="B36" s="21"/>
      <c r="C36" s="4"/>
      <c r="D36" s="6"/>
      <c r="E36" s="71"/>
      <c r="F36" s="6"/>
      <c r="G36" s="26" t="s">
        <v>11</v>
      </c>
      <c r="H36" s="18"/>
      <c r="I36" s="27">
        <v>9.0</v>
      </c>
      <c r="J36" s="28"/>
      <c r="K36" s="6"/>
      <c r="L36" s="26" t="s">
        <v>67</v>
      </c>
      <c r="M36" s="18"/>
      <c r="N36" s="63">
        <v>0.1</v>
      </c>
      <c r="O36" s="4" t="s">
        <v>20</v>
      </c>
      <c r="P36" s="6"/>
      <c r="Q36" s="75">
        <f>SUM(Q34:Q35)</f>
        <v>12087.5</v>
      </c>
      <c r="R36" s="76"/>
      <c r="S36" s="77"/>
      <c r="T36" s="58"/>
      <c r="U36" s="58"/>
      <c r="V36" s="4"/>
      <c r="W36" s="4"/>
      <c r="X36" s="4"/>
      <c r="Y36" s="4"/>
      <c r="Z36" s="4"/>
    </row>
    <row r="37" ht="11.25" customHeight="1">
      <c r="A37" s="78" t="s">
        <v>68</v>
      </c>
      <c r="B37" s="69"/>
      <c r="C37" s="44">
        <v>220000.0</v>
      </c>
      <c r="D37" s="6" t="s">
        <v>7</v>
      </c>
      <c r="E37" s="71"/>
      <c r="F37" s="6"/>
      <c r="G37" s="26" t="s">
        <v>18</v>
      </c>
      <c r="H37" s="18"/>
      <c r="I37" s="25">
        <v>0.0425</v>
      </c>
      <c r="J37" s="6"/>
      <c r="K37" s="6"/>
      <c r="L37" s="26" t="s">
        <v>69</v>
      </c>
      <c r="M37" s="18"/>
      <c r="N37" s="40">
        <v>1.0</v>
      </c>
      <c r="O37" s="6" t="s">
        <v>70</v>
      </c>
      <c r="P37" s="6"/>
      <c r="Q37" s="28"/>
      <c r="R37" s="28"/>
      <c r="S37" s="79"/>
      <c r="T37" s="58"/>
      <c r="U37" s="58"/>
      <c r="V37" s="4"/>
      <c r="W37" s="4"/>
      <c r="X37" s="4"/>
      <c r="Y37" s="4"/>
      <c r="Z37" s="4"/>
    </row>
    <row r="38" ht="11.25" customHeight="1">
      <c r="A38" s="78" t="s">
        <v>71</v>
      </c>
      <c r="B38" s="69"/>
      <c r="C38" s="44">
        <v>40000.0</v>
      </c>
      <c r="D38" s="6" t="s">
        <v>7</v>
      </c>
      <c r="E38" s="71"/>
      <c r="F38" s="6"/>
      <c r="G38" s="26" t="s">
        <v>22</v>
      </c>
      <c r="H38" s="39"/>
      <c r="I38" s="40">
        <v>1.0</v>
      </c>
      <c r="J38" s="6"/>
      <c r="K38" s="6"/>
      <c r="L38" s="26" t="s">
        <v>72</v>
      </c>
      <c r="M38" s="18"/>
      <c r="N38" s="40">
        <v>1.0</v>
      </c>
      <c r="O38" s="6" t="s">
        <v>70</v>
      </c>
      <c r="P38" s="6"/>
      <c r="Q38" s="28"/>
      <c r="R38" s="28"/>
      <c r="S38" s="79"/>
      <c r="T38" s="58"/>
      <c r="U38" s="58"/>
      <c r="V38" s="4"/>
      <c r="W38" s="4"/>
      <c r="X38" s="4"/>
      <c r="Y38" s="4"/>
      <c r="Z38" s="4"/>
    </row>
    <row r="39" ht="11.25" customHeight="1">
      <c r="A39" s="17" t="s">
        <v>73</v>
      </c>
      <c r="B39" s="18"/>
      <c r="C39" s="31">
        <v>25000.0</v>
      </c>
      <c r="D39" s="6" t="s">
        <v>7</v>
      </c>
      <c r="E39" s="71"/>
      <c r="F39" s="6"/>
      <c r="G39" s="26" t="s">
        <v>24</v>
      </c>
      <c r="H39" s="18"/>
      <c r="I39" s="27">
        <v>1.0</v>
      </c>
      <c r="J39" s="6"/>
      <c r="K39" s="6"/>
      <c r="L39" s="6"/>
      <c r="M39" s="6"/>
      <c r="N39" s="6"/>
      <c r="O39" s="6"/>
      <c r="P39" s="6"/>
      <c r="Q39" s="28"/>
      <c r="R39" s="28"/>
      <c r="S39" s="79"/>
      <c r="T39" s="58"/>
      <c r="U39" s="58"/>
      <c r="V39" s="4"/>
      <c r="W39" s="4"/>
      <c r="X39" s="4"/>
      <c r="Y39" s="4"/>
      <c r="Z39" s="4"/>
    </row>
    <row r="40" ht="12.0" customHeight="1">
      <c r="A40" s="80" t="s">
        <v>74</v>
      </c>
      <c r="B40" s="81"/>
      <c r="C40" s="38">
        <f>SUM(C24:C39)</f>
        <v>950887.5</v>
      </c>
      <c r="D40" s="6" t="s">
        <v>7</v>
      </c>
      <c r="E40" s="6"/>
      <c r="F40" s="6"/>
      <c r="G40" s="26"/>
      <c r="H40" s="18"/>
      <c r="I40" s="6"/>
      <c r="J40" s="6"/>
      <c r="K40" s="6"/>
      <c r="L40" s="6"/>
      <c r="M40" s="6"/>
      <c r="N40" s="6"/>
      <c r="O40" s="6"/>
      <c r="P40" s="6"/>
      <c r="Q40" s="28"/>
      <c r="R40" s="28"/>
      <c r="S40" s="79"/>
      <c r="T40" s="58"/>
      <c r="U40" s="58"/>
      <c r="V40" s="4"/>
      <c r="W40" s="4"/>
      <c r="X40" s="4"/>
      <c r="Y40" s="4"/>
      <c r="Z40" s="4"/>
    </row>
    <row r="41" ht="12.0" customHeight="1">
      <c r="A41" s="8"/>
      <c r="B41" s="6"/>
      <c r="C41" s="6"/>
      <c r="D41" s="6"/>
      <c r="E41" s="6"/>
      <c r="F41" s="82"/>
      <c r="G41" s="20" t="str">
        <f>A31</f>
        <v>Subordinated Notes</v>
      </c>
      <c r="H41" s="21"/>
      <c r="I41" s="22"/>
      <c r="J41" s="6"/>
      <c r="K41" s="6"/>
      <c r="L41" s="14" t="s">
        <v>75</v>
      </c>
      <c r="M41" s="15"/>
      <c r="N41" s="4"/>
      <c r="O41" s="6"/>
      <c r="P41" s="6"/>
      <c r="Q41" s="28"/>
      <c r="R41" s="28"/>
      <c r="S41" s="79"/>
      <c r="T41" s="58"/>
      <c r="U41" s="58"/>
      <c r="V41" s="4"/>
      <c r="W41" s="4"/>
      <c r="X41" s="4"/>
      <c r="Y41" s="4"/>
      <c r="Z41" s="4"/>
    </row>
    <row r="42" ht="11.25" customHeight="1">
      <c r="A42" s="8"/>
      <c r="B42" s="6"/>
      <c r="C42" s="6"/>
      <c r="D42" s="6"/>
      <c r="E42" s="6"/>
      <c r="F42" s="6"/>
      <c r="G42" s="26" t="s">
        <v>11</v>
      </c>
      <c r="H42" s="18"/>
      <c r="I42" s="27">
        <v>12.0</v>
      </c>
      <c r="J42" s="28"/>
      <c r="K42" s="6"/>
      <c r="L42" s="42" t="s">
        <v>76</v>
      </c>
      <c r="M42" s="43"/>
      <c r="N42" s="44">
        <v>50000.0</v>
      </c>
      <c r="O42" s="6" t="s">
        <v>7</v>
      </c>
      <c r="P42" s="6"/>
      <c r="Q42" s="28"/>
      <c r="R42" s="28"/>
      <c r="S42" s="79"/>
      <c r="T42" s="58"/>
      <c r="U42" s="58"/>
      <c r="V42" s="4"/>
      <c r="W42" s="4"/>
      <c r="X42" s="4"/>
      <c r="Y42" s="4"/>
      <c r="Z42" s="4"/>
    </row>
    <row r="43" ht="12.0" customHeight="1">
      <c r="A43" s="48" t="s">
        <v>77</v>
      </c>
      <c r="B43" s="16"/>
      <c r="C43" s="4"/>
      <c r="D43" s="6"/>
      <c r="E43" s="6"/>
      <c r="F43" s="83"/>
      <c r="G43" s="26" t="s">
        <v>18</v>
      </c>
      <c r="H43" s="18"/>
      <c r="I43" s="25">
        <v>0.045</v>
      </c>
      <c r="J43" s="6"/>
      <c r="K43" s="6"/>
      <c r="L43" s="42" t="s">
        <v>78</v>
      </c>
      <c r="M43" s="43"/>
      <c r="N43" s="40">
        <v>1.0</v>
      </c>
      <c r="O43" s="6" t="s">
        <v>79</v>
      </c>
      <c r="P43" s="6"/>
      <c r="Q43" s="28"/>
      <c r="R43" s="28"/>
      <c r="S43" s="79"/>
      <c r="T43" s="58"/>
      <c r="U43" s="58"/>
      <c r="V43" s="4"/>
      <c r="W43" s="4"/>
      <c r="X43" s="4"/>
      <c r="Y43" s="4"/>
      <c r="Z43" s="4"/>
    </row>
    <row r="44" ht="11.25" customHeight="1">
      <c r="A44" s="84" t="s">
        <v>21</v>
      </c>
      <c r="B44" s="36"/>
      <c r="C44" s="38">
        <f>C12</f>
        <v>660000</v>
      </c>
      <c r="D44" s="6" t="s">
        <v>7</v>
      </c>
      <c r="E44" s="6"/>
      <c r="F44" s="83"/>
      <c r="G44" s="26" t="s">
        <v>22</v>
      </c>
      <c r="H44" s="39"/>
      <c r="I44" s="40">
        <v>0.0</v>
      </c>
      <c r="J44" s="6"/>
      <c r="K44" s="6"/>
      <c r="L44" s="26"/>
      <c r="M44" s="18"/>
      <c r="N44" s="4"/>
      <c r="O44" s="6"/>
      <c r="P44" s="6"/>
      <c r="Q44" s="28"/>
      <c r="R44" s="28"/>
      <c r="S44" s="79"/>
      <c r="T44" s="58"/>
      <c r="U44" s="58"/>
      <c r="V44" s="4"/>
      <c r="W44" s="4"/>
      <c r="X44" s="4"/>
      <c r="Y44" s="4"/>
      <c r="Z44" s="4"/>
    </row>
    <row r="45" ht="11.25" customHeight="1">
      <c r="A45" s="84" t="s">
        <v>80</v>
      </c>
      <c r="B45" s="36"/>
      <c r="C45" s="85"/>
      <c r="D45" s="6"/>
      <c r="E45" s="6"/>
      <c r="F45" s="83"/>
      <c r="G45" s="26" t="s">
        <v>81</v>
      </c>
      <c r="H45" s="18"/>
      <c r="I45" s="27">
        <v>5.0</v>
      </c>
      <c r="J45" s="28"/>
      <c r="K45" s="6"/>
      <c r="L45" s="42" t="s">
        <v>82</v>
      </c>
      <c r="M45" s="43"/>
      <c r="N45" s="25">
        <v>0.35</v>
      </c>
      <c r="O45" s="6" t="s">
        <v>10</v>
      </c>
      <c r="P45" s="6"/>
      <c r="Q45" s="28"/>
      <c r="R45" s="28"/>
      <c r="S45" s="79"/>
      <c r="T45" s="58"/>
      <c r="U45" s="58"/>
      <c r="V45" s="4"/>
      <c r="W45" s="4"/>
      <c r="X45" s="4"/>
      <c r="Y45" s="4"/>
      <c r="Z45" s="4"/>
    </row>
    <row r="46" ht="11.25" customHeight="1">
      <c r="A46" s="86" t="s">
        <v>83</v>
      </c>
      <c r="B46" s="81"/>
      <c r="C46" s="87">
        <f>Bal_Sheet!C19</f>
        <v>20000</v>
      </c>
      <c r="D46" s="6" t="s">
        <v>7</v>
      </c>
      <c r="E46" s="6"/>
      <c r="F46" s="83"/>
      <c r="G46" s="26" t="s">
        <v>24</v>
      </c>
      <c r="H46" s="18"/>
      <c r="I46" s="27">
        <v>1.0</v>
      </c>
      <c r="J46" s="6"/>
      <c r="K46" s="6"/>
      <c r="L46" s="42" t="s">
        <v>84</v>
      </c>
      <c r="M46" s="43"/>
      <c r="N46" s="88">
        <v>2010.0</v>
      </c>
      <c r="O46" s="6" t="s">
        <v>85</v>
      </c>
      <c r="P46" s="6"/>
      <c r="Q46" s="28"/>
      <c r="R46" s="28"/>
      <c r="S46" s="79"/>
      <c r="T46" s="58"/>
      <c r="U46" s="58"/>
      <c r="V46" s="4"/>
      <c r="W46" s="4"/>
      <c r="X46" s="4"/>
      <c r="Y46" s="4"/>
      <c r="Z46" s="4"/>
    </row>
    <row r="47" ht="11.25" customHeight="1">
      <c r="A47" s="8" t="s">
        <v>86</v>
      </c>
      <c r="B47" s="6"/>
      <c r="C47" s="59"/>
      <c r="D47" s="6"/>
      <c r="E47" s="6"/>
      <c r="F47" s="6"/>
      <c r="G47" s="26"/>
      <c r="H47" s="18"/>
      <c r="I47" s="6"/>
      <c r="J47" s="6"/>
      <c r="K47" s="6"/>
      <c r="L47" s="4"/>
      <c r="M47" s="4"/>
      <c r="N47" s="4"/>
      <c r="O47" s="6"/>
      <c r="P47" s="6"/>
      <c r="Q47" s="28"/>
      <c r="R47" s="28"/>
      <c r="S47" s="79"/>
      <c r="T47" s="58"/>
      <c r="U47" s="58"/>
      <c r="V47" s="4"/>
      <c r="W47" s="4"/>
      <c r="X47" s="4"/>
      <c r="Y47" s="4"/>
      <c r="Z47" s="4"/>
    </row>
    <row r="48" ht="12.0" customHeight="1">
      <c r="A48" s="89" t="s">
        <v>87</v>
      </c>
      <c r="B48" s="6"/>
      <c r="C48" s="38">
        <f>SUM(Bal_Sheet!C62:C63)</f>
        <v>464749</v>
      </c>
      <c r="D48" s="6" t="s">
        <v>7</v>
      </c>
      <c r="E48" s="6"/>
      <c r="F48" s="6"/>
      <c r="G48" s="20" t="str">
        <f>A32</f>
        <v>Mezzanine Debt</v>
      </c>
      <c r="H48" s="21"/>
      <c r="I48" s="22"/>
      <c r="J48" s="6"/>
      <c r="K48" s="6"/>
      <c r="L48" s="4"/>
      <c r="M48" s="4"/>
      <c r="N48" s="4"/>
      <c r="O48" s="6"/>
      <c r="P48" s="6"/>
      <c r="Q48" s="6"/>
      <c r="R48" s="6"/>
      <c r="S48" s="7"/>
      <c r="T48" s="4"/>
      <c r="U48" s="4"/>
      <c r="V48" s="4"/>
      <c r="W48" s="4"/>
      <c r="X48" s="4"/>
      <c r="Y48" s="4"/>
      <c r="Z48" s="4"/>
    </row>
    <row r="49" ht="12.0" customHeight="1">
      <c r="A49" s="89" t="s">
        <v>88</v>
      </c>
      <c r="B49" s="6"/>
      <c r="C49" s="44">
        <v>2450.0</v>
      </c>
      <c r="D49" s="6" t="s">
        <v>7</v>
      </c>
      <c r="E49" s="6"/>
      <c r="F49" s="6"/>
      <c r="G49" s="26" t="s">
        <v>11</v>
      </c>
      <c r="H49" s="18"/>
      <c r="I49" s="27">
        <v>14.0</v>
      </c>
      <c r="J49" s="28"/>
      <c r="K49" s="6"/>
      <c r="L49" s="14" t="s">
        <v>89</v>
      </c>
      <c r="M49" s="15"/>
      <c r="N49" s="4"/>
      <c r="O49" s="6"/>
      <c r="P49" s="6"/>
      <c r="Q49" s="6"/>
      <c r="R49" s="6"/>
      <c r="S49" s="7"/>
      <c r="T49" s="4"/>
      <c r="U49" s="4"/>
      <c r="V49" s="4"/>
      <c r="W49" s="4"/>
      <c r="X49" s="4"/>
      <c r="Y49" s="4"/>
      <c r="Z49" s="4"/>
    </row>
    <row r="50" ht="11.25" customHeight="1">
      <c r="A50" s="89" t="s">
        <v>90</v>
      </c>
      <c r="B50" s="6"/>
      <c r="C50" s="44">
        <v>1200.0</v>
      </c>
      <c r="D50" s="6" t="s">
        <v>7</v>
      </c>
      <c r="E50" s="6"/>
      <c r="F50" s="6"/>
      <c r="G50" s="26" t="s">
        <v>18</v>
      </c>
      <c r="H50" s="18"/>
      <c r="I50" s="25">
        <v>0.045</v>
      </c>
      <c r="J50" s="6"/>
      <c r="K50" s="6"/>
      <c r="L50" s="90" t="s">
        <v>91</v>
      </c>
      <c r="M50" s="90"/>
      <c r="N50" s="91">
        <f>IF(WACC!H7=1,ROUND(WACC!L16,2),ROUND(WACC!L7,2))</f>
        <v>0.07</v>
      </c>
      <c r="O50" s="6" t="s">
        <v>10</v>
      </c>
      <c r="P50" s="6"/>
      <c r="Q50" s="6"/>
      <c r="R50" s="6"/>
      <c r="S50" s="7"/>
      <c r="T50" s="4"/>
      <c r="U50" s="4"/>
      <c r="V50" s="4"/>
      <c r="W50" s="4"/>
      <c r="X50" s="4"/>
      <c r="Y50" s="4"/>
      <c r="Z50" s="4"/>
    </row>
    <row r="51" ht="11.25" customHeight="1">
      <c r="A51" s="89" t="s">
        <v>92</v>
      </c>
      <c r="B51" s="6"/>
      <c r="C51" s="38">
        <f>Bal_Sheet!C44</f>
        <v>1400</v>
      </c>
      <c r="D51" s="6" t="s">
        <v>7</v>
      </c>
      <c r="E51" s="6"/>
      <c r="F51" s="6"/>
      <c r="G51" s="26" t="s">
        <v>22</v>
      </c>
      <c r="H51" s="39"/>
      <c r="I51" s="40">
        <v>0.0</v>
      </c>
      <c r="J51" s="6"/>
      <c r="K51" s="6"/>
      <c r="L51" s="92" t="s">
        <v>93</v>
      </c>
      <c r="M51" s="93"/>
      <c r="N51" s="94">
        <v>0.01</v>
      </c>
      <c r="O51" s="6" t="s">
        <v>10</v>
      </c>
      <c r="P51" s="6"/>
      <c r="Q51" s="6"/>
      <c r="R51" s="6"/>
      <c r="S51" s="7"/>
      <c r="T51" s="4"/>
      <c r="U51" s="4"/>
      <c r="V51" s="4"/>
      <c r="W51" s="4"/>
      <c r="X51" s="4"/>
      <c r="Y51" s="4"/>
      <c r="Z51" s="4"/>
    </row>
    <row r="52" ht="12.0" customHeight="1">
      <c r="A52" s="95" t="s">
        <v>94</v>
      </c>
      <c r="B52" s="6"/>
      <c r="C52" s="38">
        <f>-SUM(C49:C50)*tax_rate</f>
        <v>-1277.5</v>
      </c>
      <c r="D52" s="6" t="s">
        <v>7</v>
      </c>
      <c r="E52" s="6"/>
      <c r="F52" s="6"/>
      <c r="G52" s="26" t="s">
        <v>81</v>
      </c>
      <c r="H52" s="18"/>
      <c r="I52" s="27">
        <v>5.0</v>
      </c>
      <c r="J52" s="28"/>
      <c r="K52" s="6"/>
      <c r="L52" s="54" t="s">
        <v>95</v>
      </c>
      <c r="M52" s="54"/>
      <c r="N52" s="96">
        <v>6.0</v>
      </c>
      <c r="O52" s="6" t="s">
        <v>96</v>
      </c>
      <c r="P52" s="6"/>
      <c r="Q52" s="6"/>
      <c r="R52" s="6"/>
      <c r="S52" s="7"/>
      <c r="T52" s="4"/>
      <c r="U52" s="4"/>
      <c r="V52" s="4"/>
      <c r="W52" s="4"/>
      <c r="X52" s="4"/>
      <c r="Y52" s="4"/>
      <c r="Z52" s="4"/>
    </row>
    <row r="53" ht="11.25" customHeight="1">
      <c r="A53" s="17" t="s">
        <v>97</v>
      </c>
      <c r="B53" s="18"/>
      <c r="C53" s="38">
        <f>SUM(C44,C46,-SUM(C48:C52))</f>
        <v>211478.5</v>
      </c>
      <c r="D53" s="6" t="s">
        <v>7</v>
      </c>
      <c r="E53" s="6"/>
      <c r="F53" s="6"/>
      <c r="G53" s="26" t="s">
        <v>24</v>
      </c>
      <c r="H53" s="18"/>
      <c r="I53" s="27">
        <v>1.0</v>
      </c>
      <c r="J53" s="6"/>
      <c r="K53" s="6"/>
      <c r="L53" s="97" t="s">
        <v>98</v>
      </c>
      <c r="M53" s="98"/>
      <c r="N53" s="99">
        <v>2.0</v>
      </c>
      <c r="O53" s="6" t="s">
        <v>96</v>
      </c>
      <c r="P53" s="6"/>
      <c r="Q53" s="6"/>
      <c r="R53" s="6"/>
      <c r="S53" s="7"/>
      <c r="T53" s="4"/>
      <c r="U53" s="4"/>
      <c r="V53" s="4"/>
      <c r="W53" s="4"/>
      <c r="X53" s="4"/>
      <c r="Y53" s="4"/>
      <c r="Z53" s="4"/>
    </row>
    <row r="54" ht="11.25" customHeight="1">
      <c r="A54" s="8"/>
      <c r="B54" s="6"/>
      <c r="C54" s="100"/>
      <c r="D54" s="6"/>
      <c r="E54" s="6"/>
      <c r="F54" s="6"/>
      <c r="G54" s="26"/>
      <c r="H54" s="18"/>
      <c r="I54" s="6"/>
      <c r="J54" s="6"/>
      <c r="K54" s="6"/>
      <c r="L54" s="90" t="s">
        <v>99</v>
      </c>
      <c r="M54" s="90"/>
      <c r="N54" s="63">
        <v>0.03</v>
      </c>
      <c r="O54" s="6" t="s">
        <v>10</v>
      </c>
      <c r="P54" s="6"/>
      <c r="Q54" s="6"/>
      <c r="R54" s="6"/>
      <c r="S54" s="7"/>
      <c r="T54" s="4"/>
      <c r="U54" s="4"/>
      <c r="V54" s="4"/>
      <c r="W54" s="4"/>
      <c r="X54" s="4"/>
      <c r="Y54" s="4"/>
      <c r="Z54" s="4"/>
    </row>
    <row r="55" ht="12.0" customHeight="1">
      <c r="A55" s="8"/>
      <c r="B55" s="6"/>
      <c r="C55" s="11"/>
      <c r="D55" s="6"/>
      <c r="E55" s="6"/>
      <c r="F55" s="6"/>
      <c r="G55" s="20" t="str">
        <f>A33</f>
        <v>Seller Notes</v>
      </c>
      <c r="H55" s="21"/>
      <c r="I55" s="22"/>
      <c r="J55" s="47"/>
      <c r="K55" s="6"/>
      <c r="L55" s="101" t="s">
        <v>100</v>
      </c>
      <c r="M55" s="102"/>
      <c r="N55" s="94">
        <v>0.005</v>
      </c>
      <c r="O55" s="6" t="s">
        <v>10</v>
      </c>
      <c r="P55" s="6"/>
      <c r="Q55" s="6"/>
      <c r="R55" s="6"/>
      <c r="S55" s="7"/>
      <c r="T55" s="4"/>
      <c r="U55" s="4"/>
      <c r="V55" s="4"/>
      <c r="W55" s="4"/>
      <c r="X55" s="4"/>
      <c r="Y55" s="4"/>
      <c r="Z55" s="4"/>
    </row>
    <row r="56" ht="12.0" customHeight="1">
      <c r="A56" s="103"/>
      <c r="B56" s="6"/>
      <c r="C56" s="11"/>
      <c r="D56" s="6"/>
      <c r="E56" s="6"/>
      <c r="F56" s="6"/>
      <c r="G56" s="26" t="s">
        <v>37</v>
      </c>
      <c r="H56" s="18"/>
      <c r="I56" s="27">
        <v>7.0</v>
      </c>
      <c r="J56" s="28"/>
      <c r="K56" s="6"/>
      <c r="L56" s="104" t="s">
        <v>101</v>
      </c>
      <c r="M56" s="105"/>
      <c r="N56" s="106">
        <f>Bal_Sheet!E54+Bal_Sheet!E61-Bal_Sheet!E10</f>
        <v>583387.5</v>
      </c>
      <c r="O56" s="6" t="s">
        <v>7</v>
      </c>
      <c r="P56" s="6"/>
      <c r="Q56" s="6"/>
      <c r="R56" s="6"/>
      <c r="S56" s="7"/>
      <c r="T56" s="4"/>
      <c r="U56" s="4"/>
      <c r="V56" s="4"/>
      <c r="W56" s="4"/>
      <c r="X56" s="4"/>
      <c r="Y56" s="4"/>
      <c r="Z56" s="4"/>
    </row>
    <row r="57" ht="11.25" customHeight="1">
      <c r="A57" s="8"/>
      <c r="B57" s="6"/>
      <c r="C57" s="6"/>
      <c r="D57" s="6"/>
      <c r="E57" s="6"/>
      <c r="F57" s="6"/>
      <c r="G57" s="26" t="s">
        <v>14</v>
      </c>
      <c r="H57" s="18"/>
      <c r="I57" s="33">
        <f>1/I56</f>
        <v>0.1428571429</v>
      </c>
      <c r="J57" s="6"/>
      <c r="K57" s="6"/>
      <c r="L57" s="6"/>
      <c r="M57" s="6"/>
      <c r="N57" s="6"/>
      <c r="O57" s="6"/>
      <c r="P57" s="6"/>
      <c r="Q57" s="6"/>
      <c r="R57" s="6"/>
      <c r="S57" s="7"/>
      <c r="T57" s="4"/>
      <c r="U57" s="4"/>
      <c r="V57" s="4"/>
      <c r="W57" s="4"/>
      <c r="X57" s="4"/>
      <c r="Y57" s="4"/>
      <c r="Z57" s="4"/>
    </row>
    <row r="58" ht="11.25" customHeight="1">
      <c r="A58" s="89"/>
      <c r="B58" s="6"/>
      <c r="C58" s="107"/>
      <c r="D58" s="6"/>
      <c r="E58" s="6"/>
      <c r="F58" s="6"/>
      <c r="G58" s="26" t="s">
        <v>18</v>
      </c>
      <c r="H58" s="18"/>
      <c r="I58" s="25">
        <v>0.0525</v>
      </c>
      <c r="J58" s="6"/>
      <c r="K58" s="6"/>
      <c r="L58" s="6"/>
      <c r="M58" s="6"/>
      <c r="N58" s="6"/>
      <c r="O58" s="6"/>
      <c r="P58" s="6"/>
      <c r="Q58" s="6"/>
      <c r="R58" s="6"/>
      <c r="S58" s="7"/>
      <c r="T58" s="4"/>
      <c r="U58" s="4"/>
      <c r="V58" s="4"/>
      <c r="W58" s="4"/>
      <c r="X58" s="4"/>
      <c r="Y58" s="4"/>
      <c r="Z58" s="4"/>
    </row>
    <row r="59" ht="12.0" customHeight="1">
      <c r="A59" s="103"/>
      <c r="B59" s="6"/>
      <c r="C59" s="6"/>
      <c r="D59" s="6"/>
      <c r="E59" s="6"/>
      <c r="F59" s="6"/>
      <c r="G59" s="26" t="s">
        <v>22</v>
      </c>
      <c r="H59" s="39"/>
      <c r="I59" s="40">
        <v>1.0</v>
      </c>
      <c r="J59" s="6"/>
      <c r="K59" s="6"/>
      <c r="L59" s="6"/>
      <c r="M59" s="6"/>
      <c r="N59" s="6"/>
      <c r="O59" s="6"/>
      <c r="P59" s="6"/>
      <c r="Q59" s="6"/>
      <c r="R59" s="6"/>
      <c r="S59" s="7"/>
      <c r="T59" s="4"/>
      <c r="U59" s="4"/>
      <c r="V59" s="4"/>
      <c r="W59" s="4"/>
      <c r="X59" s="4"/>
      <c r="Y59" s="4"/>
      <c r="Z59" s="4"/>
    </row>
    <row r="60" ht="12.0" customHeight="1">
      <c r="A60" s="95"/>
      <c r="B60" s="6"/>
      <c r="C60" s="11"/>
      <c r="D60" s="6"/>
      <c r="E60" s="6"/>
      <c r="F60" s="6"/>
      <c r="G60" s="26" t="s">
        <v>81</v>
      </c>
      <c r="H60" s="18"/>
      <c r="I60" s="27">
        <v>5.0</v>
      </c>
      <c r="J60" s="28"/>
      <c r="K60" s="6"/>
      <c r="L60" s="6"/>
      <c r="M60" s="6"/>
      <c r="N60" s="6"/>
      <c r="O60" s="6"/>
      <c r="P60" s="6"/>
      <c r="Q60" s="6"/>
      <c r="R60" s="6"/>
      <c r="S60" s="7"/>
      <c r="T60" s="4"/>
      <c r="U60" s="4"/>
      <c r="V60" s="4"/>
      <c r="W60" s="4"/>
      <c r="X60" s="4"/>
      <c r="Y60" s="4"/>
      <c r="Z60" s="4"/>
    </row>
    <row r="61" ht="11.25" customHeight="1">
      <c r="A61" s="8"/>
      <c r="B61" s="6"/>
      <c r="C61" s="6"/>
      <c r="D61" s="6"/>
      <c r="E61" s="6"/>
      <c r="F61" s="6"/>
      <c r="G61" s="26" t="s">
        <v>24</v>
      </c>
      <c r="H61" s="18"/>
      <c r="I61" s="27">
        <v>1.0</v>
      </c>
      <c r="J61" s="6"/>
      <c r="K61" s="6"/>
      <c r="L61" s="6"/>
      <c r="M61" s="6"/>
      <c r="N61" s="6"/>
      <c r="O61" s="6"/>
      <c r="P61" s="6"/>
      <c r="Q61" s="6"/>
      <c r="R61" s="6"/>
      <c r="S61" s="7"/>
      <c r="T61" s="4"/>
      <c r="U61" s="4"/>
      <c r="V61" s="4"/>
      <c r="W61" s="4"/>
      <c r="X61" s="4"/>
      <c r="Y61" s="4"/>
      <c r="Z61" s="4"/>
    </row>
    <row r="62" ht="11.25" customHeight="1">
      <c r="A62" s="8"/>
      <c r="B62" s="6"/>
      <c r="C62" s="6"/>
      <c r="D62" s="6"/>
      <c r="E62" s="6"/>
      <c r="F62" s="6"/>
      <c r="G62" s="26"/>
      <c r="H62" s="18"/>
      <c r="I62" s="6"/>
      <c r="J62" s="6"/>
      <c r="K62" s="6"/>
      <c r="L62" s="6"/>
      <c r="M62" s="6"/>
      <c r="N62" s="6"/>
      <c r="O62" s="6"/>
      <c r="P62" s="6"/>
      <c r="Q62" s="6"/>
      <c r="R62" s="6"/>
      <c r="S62" s="7"/>
      <c r="T62" s="4"/>
      <c r="U62" s="4"/>
      <c r="V62" s="4"/>
      <c r="W62" s="4"/>
      <c r="X62" s="4"/>
      <c r="Y62" s="4"/>
      <c r="Z62" s="4"/>
    </row>
    <row r="63" ht="11.25" customHeight="1">
      <c r="A63" s="8"/>
      <c r="B63" s="6"/>
      <c r="C63" s="6"/>
      <c r="D63" s="6"/>
      <c r="E63" s="6"/>
      <c r="F63" s="6"/>
      <c r="G63" s="20" t="str">
        <f>A35</f>
        <v>Preferred Stock</v>
      </c>
      <c r="H63" s="21"/>
      <c r="I63" s="6"/>
      <c r="J63" s="6"/>
      <c r="K63" s="6"/>
      <c r="L63" s="6"/>
      <c r="M63" s="6"/>
      <c r="N63" s="6"/>
      <c r="O63" s="6"/>
      <c r="P63" s="6"/>
      <c r="Q63" s="6"/>
      <c r="R63" s="6"/>
      <c r="S63" s="7"/>
      <c r="T63" s="4"/>
      <c r="U63" s="4"/>
      <c r="V63" s="4"/>
      <c r="W63" s="4"/>
      <c r="X63" s="4"/>
      <c r="Y63" s="4"/>
      <c r="Z63" s="4"/>
    </row>
    <row r="64" ht="11.25" customHeight="1">
      <c r="A64" s="8"/>
      <c r="B64" s="6"/>
      <c r="C64" s="6"/>
      <c r="D64" s="6"/>
      <c r="E64" s="6"/>
      <c r="F64" s="6"/>
      <c r="G64" s="26" t="s">
        <v>102</v>
      </c>
      <c r="H64" s="18"/>
      <c r="I64" s="25">
        <v>0.07</v>
      </c>
      <c r="J64" s="6"/>
      <c r="K64" s="6"/>
      <c r="L64" s="6"/>
      <c r="M64" s="6"/>
      <c r="N64" s="6"/>
      <c r="O64" s="6"/>
      <c r="P64" s="6"/>
      <c r="Q64" s="6"/>
      <c r="R64" s="6"/>
      <c r="S64" s="7"/>
      <c r="T64" s="4"/>
      <c r="U64" s="4"/>
      <c r="V64" s="4"/>
      <c r="W64" s="4"/>
      <c r="X64" s="4"/>
      <c r="Y64" s="4"/>
      <c r="Z64" s="4"/>
    </row>
    <row r="65" ht="11.25" customHeight="1">
      <c r="A65" s="8"/>
      <c r="B65" s="6"/>
      <c r="C65" s="6"/>
      <c r="D65" s="6"/>
      <c r="E65" s="6"/>
      <c r="F65" s="6"/>
      <c r="G65" s="26" t="s">
        <v>81</v>
      </c>
      <c r="H65" s="18"/>
      <c r="I65" s="27">
        <v>5.0</v>
      </c>
      <c r="J65" s="28"/>
      <c r="K65" s="6"/>
      <c r="L65" s="6"/>
      <c r="M65" s="6"/>
      <c r="N65" s="6"/>
      <c r="O65" s="6"/>
      <c r="P65" s="6"/>
      <c r="Q65" s="6"/>
      <c r="R65" s="6"/>
      <c r="S65" s="7"/>
      <c r="T65" s="4"/>
      <c r="U65" s="4"/>
      <c r="V65" s="4"/>
      <c r="W65" s="4"/>
      <c r="X65" s="4"/>
      <c r="Y65" s="4"/>
      <c r="Z65" s="4"/>
    </row>
    <row r="66" ht="12.0" customHeight="1">
      <c r="A66" s="108"/>
      <c r="B66" s="109"/>
      <c r="C66" s="109"/>
      <c r="D66" s="109"/>
      <c r="E66" s="109"/>
      <c r="F66" s="109"/>
      <c r="G66" s="110" t="s">
        <v>103</v>
      </c>
      <c r="H66" s="111"/>
      <c r="I66" s="112"/>
      <c r="J66" s="113"/>
      <c r="K66" s="109"/>
      <c r="L66" s="109"/>
      <c r="M66" s="109"/>
      <c r="N66" s="109"/>
      <c r="O66" s="109"/>
      <c r="P66" s="109"/>
      <c r="Q66" s="109"/>
      <c r="R66" s="109"/>
      <c r="S66" s="114"/>
      <c r="T66" s="4"/>
      <c r="U66" s="4"/>
      <c r="V66" s="4"/>
      <c r="W66" s="4"/>
      <c r="X66" s="4"/>
      <c r="Y66" s="4"/>
      <c r="Z66" s="4"/>
    </row>
    <row r="67" ht="11.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1.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1.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1.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1.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1.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1.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1.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1.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1.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1.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1.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1.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1.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1.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1.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1.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1.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1.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1.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1.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1.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1.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1.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1.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1.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1.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1.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1.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1.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1.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1.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1.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1.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1.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1.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1.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1.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1.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1.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1.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1.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1.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1.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1.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1.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1.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1.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1.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1.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1.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1.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1.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1.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1.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1.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1.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1.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1.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1.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1.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1.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1.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1.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1.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1.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1.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1.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1.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1.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1.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1.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1.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1.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1.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1.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1.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1.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1.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1.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1.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1.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1.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1.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1.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1.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1.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1.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1.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1.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1.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1.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1.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1.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1.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1.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1.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1.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1.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1.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1.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1.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1.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1.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1.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1.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1.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1.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1.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1.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1.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1.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1.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1.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1.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1.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1.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1.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1.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1.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1.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1.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1.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1.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1.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1.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1.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1.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1.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1.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1.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1.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1.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1.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1.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1.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1.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1.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1.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1.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1.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1.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1.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1.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1.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1.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1.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1.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1.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1.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1.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1.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1.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1.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1.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1.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1.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1.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1.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1.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1.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1.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1.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1.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1.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1.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1.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1.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1.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1.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1.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1.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1.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1.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1.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1.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1.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1.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1.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1.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1.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1.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1.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1.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1.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1.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1.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1.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1.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1.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1.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1.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1.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1.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1.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1.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1.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1.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1.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1.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1.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1.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1.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1.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1.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1.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1.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1.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1.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1.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1.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1.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1.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1.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1.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1.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1.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1.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1.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1.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1.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1.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1.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1.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1.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1.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1.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1.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1.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1.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1.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1.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1.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1.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1.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1.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1.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1.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1.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1.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1.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1.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1.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1.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1.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1.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1.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1.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1.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1.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1.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1.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1.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1.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1.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1.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1.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1.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1.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1.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1.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1.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1.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1.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1.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1.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1.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1.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1.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1.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1.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1.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1.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1.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1.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1.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1.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1.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1.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1.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1.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1.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1.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1.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1.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1.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1.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1.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1.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1.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1.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1.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1.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1.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1.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1.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1.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1.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1.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1.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1.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1.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1.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1.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1.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1.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1.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1.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1.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1.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1.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1.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1.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1.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1.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1.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1.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1.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1.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1.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1.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1.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1.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1.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1.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1.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1.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1.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1.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1.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1.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1.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1.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1.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1.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1.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1.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1.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1.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1.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1.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1.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1.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1.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1.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1.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1.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1.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1.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1.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1.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1.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1.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1.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1.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1.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1.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1.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1.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1.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1.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1.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1.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1.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1.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1.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1.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1.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1.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1.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1.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1.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1.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1.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1.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1.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1.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1.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1.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1.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1.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1.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1.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1.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1.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1.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1.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1.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1.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1.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1.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1.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1.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1.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1.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1.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1.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1.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1.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1.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1.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1.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1.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1.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1.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1.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1.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1.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1.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1.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1.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1.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1.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1.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1.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1.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1.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1.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1.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1.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1.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1.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1.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1.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1.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1.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1.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1.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1.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1.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1.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1.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1.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1.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1.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1.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1.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1.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1.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1.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1.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1.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1.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1.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1.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1.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1.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1.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1.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1.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1.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1.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1.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1.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1.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1.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1.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1.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1.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1.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1.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1.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1.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1.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1.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1.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1.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1.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1.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1.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1.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1.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1.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1.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1.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1.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1.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1.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1.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1.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1.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1.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1.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1.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1.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1.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1.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1.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1.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1.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1.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1.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1.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1.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1.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1.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1.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1.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1.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1.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1.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1.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1.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1.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1.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1.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1.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1.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1.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1.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1.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1.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1.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1.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1.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1.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1.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1.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1.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1.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1.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1.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1.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1.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1.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1.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1.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1.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1.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1.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1.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1.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1.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1.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1.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1.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1.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1.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1.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1.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1.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1.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1.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1.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1.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1.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1.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1.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1.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1.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1.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1.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1.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1.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1.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1.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1.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1.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1.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1.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1.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1.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1.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1.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1.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1.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1.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1.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1.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1.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1.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1.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1.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1.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1.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1.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1.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1.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1.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1.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1.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1.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1.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1.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1.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1.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1.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1.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1.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1.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1.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1.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1.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1.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1.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1.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1.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1.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1.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1.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1.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1.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1.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1.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1.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1.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1.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1.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1.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1.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1.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1.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1.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1.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1.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1.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1.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1.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1.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1.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1.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1.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1.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1.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1.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1.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1.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1.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1.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1.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1.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1.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1.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1.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1.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1.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1.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1.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1.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1.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1.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1.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1.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1.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1.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1.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1.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1.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1.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1.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1.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1.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1.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1.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1.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1.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1.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1.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1.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1.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1.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1.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1.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1.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1.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1.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1.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1.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1.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1.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1.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1.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1.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1.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1.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1.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1.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1.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1.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1.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1.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1.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1.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1.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1.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1.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1.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1.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1.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1.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1.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1.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1.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1.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1.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1.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1.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1.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1.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1.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1.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1.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1.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1.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1.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1.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1.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1.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1.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1.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1.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1.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1.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1.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1.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1.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1.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1.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1.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1.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1.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1.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1.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1.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1.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1.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1.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1.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1.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1.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1.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1.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1.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1.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1.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1.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1.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1.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1.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1.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1.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1.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1.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1.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1.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1.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1.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1.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1.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1.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1.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1.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1.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1.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1.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1.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1.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1.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1.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1.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1.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1.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1.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1.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1.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1.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1.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1.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1.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1.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1.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1.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1.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1.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1.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1.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1.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1.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1.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1.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1.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1.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1.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1.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1.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1.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1.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1.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1.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1.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1.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1.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1.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1.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1.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1.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1.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1.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1.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1.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1.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1.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1.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1.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1.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1.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1.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1.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1.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1.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1.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1.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1.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1.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1.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1.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1.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1.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1.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1.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1.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1.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1.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1.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1.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1.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1.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1.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1.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1.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1.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1.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1.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1.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1.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1.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1.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1.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1.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1.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1.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1.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1.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1.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1.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1.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1.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1.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1.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1.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1.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1.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1.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1.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1.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1.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1.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1.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1.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1.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1.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1.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1.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1.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1.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1.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1.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1.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1.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1.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1.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1.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1.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1.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1.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1.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1.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1.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1.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1.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1.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1.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1.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1.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1.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1.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1.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1.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1.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1.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1.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1.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1.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1.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1.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1.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1.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1.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1.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1.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1.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1.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1.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1.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1.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1.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1.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1.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1.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1.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1.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1.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1.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1.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1.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1.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1.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1.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1.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1.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1.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1.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1.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1.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1.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1.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1.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1.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1.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1.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1.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1.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1.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1.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decimal" allowBlank="1" showInputMessage="1" showErrorMessage="1" prompt=" - " sqref="I60">
      <formula1>0.0</formula1>
      <formula2>A65533</formula2>
    </dataValidation>
    <dataValidation type="list" allowBlank="1" showInputMessage="1" showErrorMessage="1" prompt=" - " sqref="I9 I21 I28 I36 I42 I49 I56">
      <formula1>"1,2,3,4,5,6,7,8,9,10,11,12,13,14,15,16,17,18,19,20,21,22,23,24,25"</formula1>
    </dataValidation>
    <dataValidation type="decimal" allowBlank="1" showInputMessage="1" showErrorMessage="1" prompt=" - " sqref="I45 I52">
      <formula1>0.0</formula1>
      <formula2>A65534</formula2>
    </dataValidation>
    <dataValidation type="list" allowBlank="1" showInputMessage="1" showErrorMessage="1" prompt=" - " sqref="I12:I13 I24:I25 I32:I33 I38:I39 N43 I44 I46 I51 I53 I59 I61">
      <formula1>"0,1"</formula1>
    </dataValidation>
    <dataValidation type="decimal" allowBlank="1" showInputMessage="1" showErrorMessage="1" prompt=" - " sqref="C58">
      <formula1>0.0</formula1>
      <formula2>A65495</formula2>
    </dataValidation>
    <dataValidation type="decimal" operator="greaterThanOrEqual" allowBlank="1" showInputMessage="1" showErrorMessage="1" prompt=" - " sqref="I65">
      <formula1>0.0</formula1>
    </dataValidation>
    <dataValidation type="list" allowBlank="1" showInputMessage="1" showErrorMessage="1" prompt=" - " sqref="N37:N38 I66">
      <formula1>"1,2,3,4,5,6,7,8,9,10"</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15.63"/>
    <col customWidth="1" min="3" max="3" width="2.88"/>
    <col customWidth="1" min="4" max="13" width="10.63"/>
    <col customWidth="1" min="14" max="33" width="8.0"/>
  </cols>
  <sheetData>
    <row r="1" ht="12.75" customHeight="1"/>
    <row r="2" ht="15.0" customHeight="1">
      <c r="A2" s="115" t="s">
        <v>104</v>
      </c>
      <c r="D2" s="116"/>
      <c r="E2" s="116"/>
      <c r="F2" s="116"/>
      <c r="G2" s="116"/>
      <c r="H2" s="116"/>
      <c r="I2" s="116"/>
      <c r="J2" s="116"/>
      <c r="K2" s="116"/>
      <c r="L2" s="116"/>
      <c r="M2" s="116"/>
    </row>
    <row r="3" ht="12.75" customHeight="1">
      <c r="D3" s="117"/>
      <c r="E3" s="117"/>
      <c r="F3" s="117"/>
      <c r="G3" s="117"/>
      <c r="H3" s="117"/>
      <c r="I3" s="117"/>
      <c r="J3" s="117"/>
      <c r="K3" s="117"/>
      <c r="L3" s="117"/>
      <c r="M3" s="117"/>
    </row>
    <row r="4" ht="12.75" customHeight="1">
      <c r="A4" s="118" t="s">
        <v>105</v>
      </c>
      <c r="C4" s="119"/>
      <c r="D4" s="120">
        <v>2016.0</v>
      </c>
      <c r="E4" s="121">
        <f t="shared" ref="E4:M4" si="1">D4+1</f>
        <v>2017</v>
      </c>
      <c r="F4" s="121">
        <f t="shared" si="1"/>
        <v>2018</v>
      </c>
      <c r="G4" s="121">
        <f t="shared" si="1"/>
        <v>2019</v>
      </c>
      <c r="H4" s="121">
        <f t="shared" si="1"/>
        <v>2020</v>
      </c>
      <c r="I4" s="121">
        <f t="shared" si="1"/>
        <v>2021</v>
      </c>
      <c r="J4" s="121">
        <f t="shared" si="1"/>
        <v>2022</v>
      </c>
      <c r="K4" s="121">
        <f t="shared" si="1"/>
        <v>2023</v>
      </c>
      <c r="L4" s="121">
        <f t="shared" si="1"/>
        <v>2024</v>
      </c>
      <c r="M4" s="121">
        <f t="shared" si="1"/>
        <v>2025</v>
      </c>
      <c r="P4" s="122"/>
    </row>
    <row r="5" ht="12.75" customHeight="1">
      <c r="A5" s="118" t="s">
        <v>106</v>
      </c>
      <c r="C5" s="119"/>
      <c r="D5" s="123">
        <v>1.0</v>
      </c>
      <c r="E5" s="124">
        <f t="shared" ref="E5:M5" si="2">D5+1</f>
        <v>2</v>
      </c>
      <c r="F5" s="124">
        <f t="shared" si="2"/>
        <v>3</v>
      </c>
      <c r="G5" s="124">
        <f t="shared" si="2"/>
        <v>4</v>
      </c>
      <c r="H5" s="124">
        <f t="shared" si="2"/>
        <v>5</v>
      </c>
      <c r="I5" s="124">
        <f t="shared" si="2"/>
        <v>6</v>
      </c>
      <c r="J5" s="124">
        <f t="shared" si="2"/>
        <v>7</v>
      </c>
      <c r="K5" s="124">
        <f t="shared" si="2"/>
        <v>8</v>
      </c>
      <c r="L5" s="124">
        <f t="shared" si="2"/>
        <v>9</v>
      </c>
      <c r="M5" s="124">
        <f t="shared" si="2"/>
        <v>10</v>
      </c>
      <c r="N5" s="125"/>
      <c r="O5" s="126"/>
      <c r="P5" s="127"/>
      <c r="Q5" s="125"/>
      <c r="R5" s="125"/>
      <c r="S5" s="125"/>
      <c r="T5" s="125"/>
      <c r="U5" s="125"/>
      <c r="V5" s="125"/>
      <c r="W5" s="125"/>
      <c r="X5" s="125"/>
      <c r="Y5" s="125"/>
      <c r="Z5" s="125"/>
      <c r="AA5" s="125"/>
      <c r="AB5" s="125"/>
      <c r="AC5" s="125"/>
      <c r="AD5" s="125"/>
      <c r="AE5" s="125"/>
      <c r="AF5" s="125"/>
      <c r="AG5" s="125"/>
    </row>
    <row r="6" ht="12.75" customHeight="1">
      <c r="C6" s="128"/>
      <c r="D6" s="129"/>
      <c r="E6" s="129"/>
      <c r="F6" s="129"/>
      <c r="G6" s="129"/>
      <c r="H6" s="129"/>
      <c r="I6" s="129"/>
      <c r="J6" s="129"/>
      <c r="K6" s="129"/>
      <c r="L6" s="129"/>
      <c r="M6" s="129"/>
      <c r="O6" s="130"/>
      <c r="P6" s="122"/>
    </row>
    <row r="7" ht="12.75" customHeight="1">
      <c r="C7" s="128"/>
      <c r="D7" s="129"/>
      <c r="E7" s="129"/>
      <c r="F7" s="129"/>
      <c r="G7" s="129"/>
      <c r="H7" s="129"/>
      <c r="I7" s="129"/>
      <c r="J7" s="129"/>
      <c r="K7" s="129"/>
      <c r="L7" s="129"/>
      <c r="M7" s="129"/>
      <c r="O7" s="130"/>
      <c r="P7" s="122"/>
    </row>
    <row r="8" ht="12.75" customHeight="1">
      <c r="A8" s="131" t="s">
        <v>107</v>
      </c>
      <c r="C8" s="128"/>
      <c r="D8" s="58">
        <f>sales_yr1</f>
        <v>1100000</v>
      </c>
      <c r="E8" s="58">
        <f>D8*(1+sales_ann_incr)</f>
        <v>1210000</v>
      </c>
      <c r="F8" s="58">
        <f>E8*(1+sales_ann_incr)</f>
        <v>1331000</v>
      </c>
      <c r="G8" s="58">
        <f>F8*(1+sales_ann_incr)</f>
        <v>1464100</v>
      </c>
      <c r="H8" s="58">
        <f>G8*(1+sales_ann_incr)</f>
        <v>1610510</v>
      </c>
      <c r="I8" s="58">
        <f>H8*(1+sales_ann_incr)</f>
        <v>1771561</v>
      </c>
      <c r="J8" s="58">
        <f>I8*(1+sales_ann_incr)</f>
        <v>1948717.1</v>
      </c>
      <c r="K8" s="58">
        <f>J8*(1+sales_ann_incr)</f>
        <v>2143588.81</v>
      </c>
      <c r="L8" s="58">
        <f>K8*(1+sales_ann_incr)</f>
        <v>2357947.691</v>
      </c>
      <c r="M8" s="58">
        <f>L8*(1+sales_ann_incr)</f>
        <v>2593742.46</v>
      </c>
      <c r="O8" s="130"/>
      <c r="P8" s="122"/>
    </row>
    <row r="9" ht="12.75" customHeight="1">
      <c r="C9" s="128"/>
      <c r="D9" s="58"/>
      <c r="E9" s="58"/>
      <c r="F9" s="58"/>
      <c r="G9" s="58"/>
      <c r="H9" s="58"/>
      <c r="I9" s="58"/>
      <c r="J9" s="58"/>
      <c r="K9" s="58"/>
      <c r="L9" s="58"/>
      <c r="M9" s="58"/>
      <c r="O9" s="130"/>
      <c r="P9" s="130"/>
    </row>
    <row r="10" ht="12.75" customHeight="1">
      <c r="A10" s="131" t="str">
        <f>Input!L11</f>
        <v>Cost of goods sold</v>
      </c>
      <c r="C10" s="128"/>
      <c r="D10" s="58">
        <f>D8*cogs*(1+cogs_ann_incr)^(D5-1)</f>
        <v>495000</v>
      </c>
      <c r="E10" s="58">
        <f>E8*cogs*(1+cogs_ann_incr)^(E5-1)</f>
        <v>545861.25</v>
      </c>
      <c r="F10" s="58">
        <f>F8*cogs*(1+cogs_ann_incr)^(F5-1)</f>
        <v>601948.4934</v>
      </c>
      <c r="G10" s="58">
        <f>G8*cogs*(1+cogs_ann_incr)^(G5-1)</f>
        <v>663798.7011</v>
      </c>
      <c r="H10" s="58">
        <f>H8*cogs*(1+cogs_ann_incr)^(H5-1)</f>
        <v>732004.0177</v>
      </c>
      <c r="I10" s="58">
        <f>I8*cogs*(1+cogs_ann_incr)^(I5-1)</f>
        <v>807217.4305</v>
      </c>
      <c r="J10" s="58">
        <f>J8*cogs*(1+cogs_ann_incr)^(J5-1)</f>
        <v>890159.0215</v>
      </c>
      <c r="K10" s="58">
        <f>K8*cogs*(1+cogs_ann_incr)^(K5-1)</f>
        <v>981622.8609</v>
      </c>
      <c r="L10" s="58">
        <f>L8*cogs*(1+cogs_ann_incr)^(L5-1)</f>
        <v>1082484.61</v>
      </c>
      <c r="M10" s="58">
        <f>M8*cogs*(1+cogs_ann_incr)^(M5-1)</f>
        <v>1193709.904</v>
      </c>
      <c r="O10" s="130"/>
      <c r="P10" s="122"/>
    </row>
    <row r="11" ht="12.75" customHeight="1">
      <c r="C11" s="128"/>
      <c r="D11" s="58"/>
      <c r="E11" s="58"/>
      <c r="F11" s="58"/>
      <c r="G11" s="58"/>
      <c r="H11" s="58"/>
      <c r="I11" s="58"/>
      <c r="J11" s="58"/>
      <c r="K11" s="58"/>
      <c r="L11" s="58"/>
      <c r="M11" s="58"/>
      <c r="O11" s="132"/>
      <c r="P11" s="133"/>
    </row>
    <row r="12" ht="12.75" customHeight="1">
      <c r="A12" s="131" t="s">
        <v>108</v>
      </c>
      <c r="C12" s="128"/>
      <c r="D12" s="58">
        <f t="shared" ref="D12:M12" si="3">D8-D10</f>
        <v>605000</v>
      </c>
      <c r="E12" s="58">
        <f t="shared" si="3"/>
        <v>664138.75</v>
      </c>
      <c r="F12" s="58">
        <f t="shared" si="3"/>
        <v>729051.5066</v>
      </c>
      <c r="G12" s="58">
        <f t="shared" si="3"/>
        <v>800301.2989</v>
      </c>
      <c r="H12" s="58">
        <f t="shared" si="3"/>
        <v>878505.9823</v>
      </c>
      <c r="I12" s="58">
        <f t="shared" si="3"/>
        <v>964343.5695</v>
      </c>
      <c r="J12" s="58">
        <f t="shared" si="3"/>
        <v>1058558.079</v>
      </c>
      <c r="K12" s="58">
        <f t="shared" si="3"/>
        <v>1161965.949</v>
      </c>
      <c r="L12" s="58">
        <f t="shared" si="3"/>
        <v>1275463.081</v>
      </c>
      <c r="M12" s="58">
        <f t="shared" si="3"/>
        <v>1400032.557</v>
      </c>
      <c r="O12" s="130"/>
      <c r="P12" s="122"/>
    </row>
    <row r="13" ht="12.75" customHeight="1">
      <c r="C13" s="128"/>
      <c r="D13" s="58"/>
      <c r="E13" s="58"/>
      <c r="F13" s="58"/>
      <c r="G13" s="58"/>
      <c r="H13" s="58"/>
      <c r="I13" s="58"/>
      <c r="J13" s="58"/>
      <c r="K13" s="58"/>
      <c r="L13" s="58"/>
      <c r="M13" s="58"/>
      <c r="O13" s="130"/>
      <c r="P13" s="122"/>
    </row>
    <row r="14" ht="12.75" customHeight="1">
      <c r="A14" s="118" t="s">
        <v>109</v>
      </c>
      <c r="C14" s="128"/>
      <c r="D14" s="58">
        <f t="shared" ref="D14:M14" si="4">SUM(D15:D16)</f>
        <v>286000</v>
      </c>
      <c r="E14" s="58">
        <f t="shared" si="4"/>
        <v>315664.8</v>
      </c>
      <c r="F14" s="58">
        <f t="shared" si="4"/>
        <v>348407.5779</v>
      </c>
      <c r="G14" s="58">
        <f t="shared" si="4"/>
        <v>384547.8092</v>
      </c>
      <c r="H14" s="58">
        <f t="shared" si="4"/>
        <v>424438.1404</v>
      </c>
      <c r="I14" s="58">
        <f t="shared" si="4"/>
        <v>468467.8342</v>
      </c>
      <c r="J14" s="58">
        <f t="shared" si="4"/>
        <v>517066.5727</v>
      </c>
      <c r="K14" s="58">
        <f t="shared" si="4"/>
        <v>570708.6556</v>
      </c>
      <c r="L14" s="58">
        <f t="shared" si="4"/>
        <v>629917.6352</v>
      </c>
      <c r="M14" s="58">
        <f t="shared" si="4"/>
        <v>695271.4326</v>
      </c>
      <c r="O14" s="134"/>
      <c r="P14" s="122"/>
    </row>
    <row r="15" ht="12.75" customHeight="1">
      <c r="A15" s="135" t="str">
        <f>Input!L13</f>
        <v>SG&amp;A expenses</v>
      </c>
      <c r="C15" s="128"/>
      <c r="D15" s="136">
        <f>D8*sga_exp*(1+sga_exp_ann_incr)^(D5-1)</f>
        <v>154000</v>
      </c>
      <c r="E15" s="136">
        <f>E8*sga_exp*(1+sga_exp_ann_incr)^(E5-1)</f>
        <v>170247</v>
      </c>
      <c r="F15" s="136">
        <f>F8*sga_exp*(1+sga_exp_ann_incr)^(F5-1)</f>
        <v>188208.0585</v>
      </c>
      <c r="G15" s="136">
        <f>G8*sga_exp*(1+sga_exp_ann_incr)^(G5-1)</f>
        <v>208064.0087</v>
      </c>
      <c r="H15" s="136">
        <f>H8*sga_exp*(1+sga_exp_ann_incr)^(H5-1)</f>
        <v>230014.7616</v>
      </c>
      <c r="I15" s="136">
        <f>I8*sga_exp*(1+sga_exp_ann_incr)^(I5-1)</f>
        <v>254281.3189</v>
      </c>
      <c r="J15" s="136">
        <f>J8*sga_exp*(1+sga_exp_ann_incr)^(J5-1)</f>
        <v>281107.9981</v>
      </c>
      <c r="K15" s="136">
        <f>K8*sga_exp*(1+sga_exp_ann_incr)^(K5-1)</f>
        <v>310764.8919</v>
      </c>
      <c r="L15" s="136">
        <f>L8*sga_exp*(1+sga_exp_ann_incr)^(L5-1)</f>
        <v>343550.588</v>
      </c>
      <c r="M15" s="136">
        <f>M8*sga_exp*(1+sga_exp_ann_incr)^(M5-1)</f>
        <v>379795.175</v>
      </c>
      <c r="O15" s="130"/>
      <c r="P15" s="122"/>
    </row>
    <row r="16" ht="12.75" customHeight="1">
      <c r="A16" s="135" t="str">
        <f>Input!L15</f>
        <v>Other expenses</v>
      </c>
      <c r="C16" s="128"/>
      <c r="D16" s="136">
        <f>D8*other_exp*(1+other_exp_ann_incr)^(D5-1)</f>
        <v>132000</v>
      </c>
      <c r="E16" s="136">
        <f>E8*other_exp*(1+other_exp_ann_incr)^(E5-1)</f>
        <v>145417.8</v>
      </c>
      <c r="F16" s="136">
        <f>F8*other_exp*(1+other_exp_ann_incr)^(F5-1)</f>
        <v>160199.5194</v>
      </c>
      <c r="G16" s="136">
        <f>G8*other_exp*(1+other_exp_ann_incr)^(G5-1)</f>
        <v>176483.8005</v>
      </c>
      <c r="H16" s="136">
        <f>H8*other_exp*(1+other_exp_ann_incr)^(H5-1)</f>
        <v>194423.3788</v>
      </c>
      <c r="I16" s="136">
        <f>I8*other_exp*(1+other_exp_ann_incr)^(I5-1)</f>
        <v>214186.5153</v>
      </c>
      <c r="J16" s="136">
        <f>J8*other_exp*(1+other_exp_ann_incr)^(J5-1)</f>
        <v>235958.5746</v>
      </c>
      <c r="K16" s="136">
        <f>K8*other_exp*(1+other_exp_ann_incr)^(K5-1)</f>
        <v>259943.7637</v>
      </c>
      <c r="L16" s="136">
        <f>L8*other_exp*(1+other_exp_ann_incr)^(L5-1)</f>
        <v>286367.0473</v>
      </c>
      <c r="M16" s="136">
        <f>M8*other_exp*(1+other_exp_ann_incr)^(M5-1)</f>
        <v>315476.2576</v>
      </c>
      <c r="O16" s="130"/>
      <c r="P16" s="122"/>
    </row>
    <row r="17" ht="12.75" customHeight="1">
      <c r="C17" s="128"/>
      <c r="D17" s="58"/>
      <c r="E17" s="58"/>
      <c r="F17" s="58"/>
      <c r="G17" s="58"/>
      <c r="H17" s="58"/>
      <c r="I17" s="58"/>
      <c r="J17" s="58"/>
      <c r="K17" s="58"/>
      <c r="L17" s="58"/>
      <c r="M17" s="58"/>
      <c r="O17" s="132"/>
      <c r="P17" s="133"/>
    </row>
    <row r="18" ht="12.75" customHeight="1">
      <c r="A18" s="131" t="s">
        <v>110</v>
      </c>
      <c r="C18" s="128"/>
      <c r="D18" s="58">
        <f t="shared" ref="D18:M18" si="5">D12-D14</f>
        <v>319000</v>
      </c>
      <c r="E18" s="58">
        <f t="shared" si="5"/>
        <v>348473.95</v>
      </c>
      <c r="F18" s="58">
        <f t="shared" si="5"/>
        <v>380643.9287</v>
      </c>
      <c r="G18" s="58">
        <f t="shared" si="5"/>
        <v>415753.4897</v>
      </c>
      <c r="H18" s="58">
        <f t="shared" si="5"/>
        <v>454067.8419</v>
      </c>
      <c r="I18" s="58">
        <f t="shared" si="5"/>
        <v>495875.7353</v>
      </c>
      <c r="J18" s="58">
        <f t="shared" si="5"/>
        <v>541491.5059</v>
      </c>
      <c r="K18" s="58">
        <f t="shared" si="5"/>
        <v>591257.2935</v>
      </c>
      <c r="L18" s="58">
        <f t="shared" si="5"/>
        <v>645545.4459</v>
      </c>
      <c r="M18" s="58">
        <f t="shared" si="5"/>
        <v>704761.1239</v>
      </c>
      <c r="O18" s="130"/>
      <c r="P18" s="122"/>
    </row>
    <row r="19" ht="12.75" customHeight="1">
      <c r="C19" s="128"/>
      <c r="D19" s="58"/>
      <c r="E19" s="58"/>
      <c r="F19" s="58"/>
      <c r="G19" s="58"/>
      <c r="H19" s="58"/>
      <c r="I19" s="58"/>
      <c r="J19" s="58"/>
      <c r="K19" s="58"/>
      <c r="L19" s="58"/>
      <c r="M19" s="58"/>
      <c r="O19" s="130"/>
      <c r="P19" s="122"/>
    </row>
    <row r="20" ht="12.75" customHeight="1">
      <c r="A20" s="131" t="s">
        <v>111</v>
      </c>
      <c r="C20" s="128"/>
      <c r="D20" s="58">
        <f>Depr_Amort!F39+Depr_Amort!F42+Depr_Amort!F43</f>
        <v>72924.16667</v>
      </c>
      <c r="E20" s="58">
        <f>Depr_Amort!G39+Depr_Amort!G42+Depr_Amort!G43</f>
        <v>85024.16667</v>
      </c>
      <c r="F20" s="58">
        <f>Depr_Amort!H39+Depr_Amort!H42+Depr_Amort!H43</f>
        <v>93897.5</v>
      </c>
      <c r="G20" s="58">
        <f>Depr_Amort!I39+Depr_Amort!I42+Depr_Amort!I43</f>
        <v>104355.3571</v>
      </c>
      <c r="H20" s="58">
        <f>Depr_Amort!J39+Depr_Amort!J42+Depr_Amort!J43</f>
        <v>117776.2738</v>
      </c>
      <c r="I20" s="58">
        <f>Depr_Amort!K39+Depr_Amort!K42+Depr_Amort!K43</f>
        <v>128848.5301</v>
      </c>
      <c r="J20" s="58">
        <f>Depr_Amort!L39+Depr_Amort!L42+Depr_Amort!L43</f>
        <v>101531.6441</v>
      </c>
      <c r="K20" s="58">
        <f>Depr_Amort!M39+Depr_Amort!M42+Depr_Amort!M43</f>
        <v>115822.2361</v>
      </c>
      <c r="L20" s="58">
        <f>Depr_Amort!N39+Depr_Amort!N42+Depr_Amort!N43</f>
        <v>128046.8002</v>
      </c>
      <c r="M20" s="58">
        <f>Depr_Amort!O39+Depr_Amort!O42+Depr_Amort!O43</f>
        <v>149661.3207</v>
      </c>
      <c r="O20" s="130"/>
      <c r="P20" s="122"/>
    </row>
    <row r="21" ht="12.75" customHeight="1">
      <c r="C21" s="128"/>
      <c r="D21" s="58"/>
      <c r="E21" s="58"/>
      <c r="F21" s="58"/>
      <c r="G21" s="58"/>
      <c r="H21" s="58"/>
      <c r="I21" s="58"/>
      <c r="J21" s="58"/>
      <c r="K21" s="58"/>
      <c r="L21" s="58"/>
      <c r="M21" s="58"/>
      <c r="O21" s="132"/>
      <c r="P21" s="133"/>
    </row>
    <row r="22" ht="12.75" customHeight="1">
      <c r="A22" s="131" t="s">
        <v>112</v>
      </c>
      <c r="C22" s="128"/>
      <c r="D22" s="58">
        <f t="shared" ref="D22:M22" si="6">D18-D20</f>
        <v>246075.8333</v>
      </c>
      <c r="E22" s="58">
        <f t="shared" si="6"/>
        <v>263449.7833</v>
      </c>
      <c r="F22" s="58">
        <f t="shared" si="6"/>
        <v>286746.4287</v>
      </c>
      <c r="G22" s="58">
        <f t="shared" si="6"/>
        <v>311398.1325</v>
      </c>
      <c r="H22" s="58">
        <f t="shared" si="6"/>
        <v>336291.5681</v>
      </c>
      <c r="I22" s="58">
        <f t="shared" si="6"/>
        <v>367027.2052</v>
      </c>
      <c r="J22" s="58">
        <f t="shared" si="6"/>
        <v>439959.8618</v>
      </c>
      <c r="K22" s="58">
        <f t="shared" si="6"/>
        <v>475435.0574</v>
      </c>
      <c r="L22" s="58">
        <f t="shared" si="6"/>
        <v>517498.6457</v>
      </c>
      <c r="M22" s="58">
        <f t="shared" si="6"/>
        <v>555099.8032</v>
      </c>
      <c r="O22" s="130"/>
      <c r="P22" s="122"/>
    </row>
    <row r="23" ht="12.75" customHeight="1">
      <c r="C23" s="128"/>
      <c r="D23" s="58"/>
      <c r="E23" s="58"/>
      <c r="F23" s="58"/>
      <c r="G23" s="58"/>
      <c r="H23" s="58"/>
      <c r="I23" s="58"/>
      <c r="J23" s="58"/>
      <c r="K23" s="58"/>
      <c r="L23" s="58"/>
      <c r="M23" s="58"/>
      <c r="O23" s="130"/>
      <c r="P23" s="122"/>
    </row>
    <row r="24" ht="12.75" customHeight="1">
      <c r="A24" s="131" t="s">
        <v>113</v>
      </c>
      <c r="C24" s="128"/>
      <c r="D24" s="58" t="str">
        <f t="shared" ref="D24:M24" si="7">SUM(D25:D32)</f>
        <v>#REF!</v>
      </c>
      <c r="E24" s="58" t="str">
        <f t="shared" si="7"/>
        <v>#REF!</v>
      </c>
      <c r="F24" s="58" t="str">
        <f t="shared" si="7"/>
        <v>#REF!</v>
      </c>
      <c r="G24" s="58" t="str">
        <f t="shared" si="7"/>
        <v>#REF!</v>
      </c>
      <c r="H24" s="58" t="str">
        <f t="shared" si="7"/>
        <v>#REF!</v>
      </c>
      <c r="I24" s="58" t="str">
        <f t="shared" si="7"/>
        <v>#REF!</v>
      </c>
      <c r="J24" s="58" t="str">
        <f t="shared" si="7"/>
        <v>#REF!</v>
      </c>
      <c r="K24" s="58" t="str">
        <f t="shared" si="7"/>
        <v>#REF!</v>
      </c>
      <c r="L24" s="58" t="str">
        <f t="shared" si="7"/>
        <v>#REF!</v>
      </c>
      <c r="M24" s="58" t="str">
        <f t="shared" si="7"/>
        <v>#REF!</v>
      </c>
      <c r="O24" s="132"/>
      <c r="P24" s="133"/>
    </row>
    <row r="25" ht="12.75" customHeight="1">
      <c r="A25" s="135" t="str">
        <f>Bal_Sheet!A46</f>
        <v>Existing Debt</v>
      </c>
      <c r="C25" s="128"/>
      <c r="D25" s="136" t="str">
        <f>IF(assumed_debt_avg_int=1,AVERAGE(Bal_Sheet!E46,Bal_Sheet!F46)*assumed_debt_cou_rate,Bal_Sheet!E46*assumed_debt_cou_rate)</f>
        <v>#REF!</v>
      </c>
      <c r="E25" s="136" t="str">
        <f>IF(assumed_debt_avg_int=1,AVERAGE(Bal_Sheet!F46,Bal_Sheet!G46)*assumed_debt_cou_rate,Bal_Sheet!F46*assumed_debt_cou_rate)</f>
        <v>#REF!</v>
      </c>
      <c r="F25" s="136" t="str">
        <f>IF(assumed_debt_avg_int=1,AVERAGE(Bal_Sheet!G46,Bal_Sheet!H46)*assumed_debt_cou_rate,Bal_Sheet!G46*assumed_debt_cou_rate)</f>
        <v>#REF!</v>
      </c>
      <c r="G25" s="136" t="str">
        <f>IF(assumed_debt_avg_int=1,AVERAGE(Bal_Sheet!H46,Bal_Sheet!I46)*assumed_debt_cou_rate,Bal_Sheet!H46*assumed_debt_cou_rate)</f>
        <v>#REF!</v>
      </c>
      <c r="H25" s="136" t="str">
        <f>IF(assumed_debt_avg_int=1,AVERAGE(Bal_Sheet!I46,Bal_Sheet!J46)*assumed_debt_cou_rate,Bal_Sheet!I46*assumed_debt_cou_rate)</f>
        <v>#REF!</v>
      </c>
      <c r="I25" s="136" t="str">
        <f>IF(assumed_debt_avg_int=1,AVERAGE(Bal_Sheet!J46,Bal_Sheet!K46)*assumed_debt_cou_rate,Bal_Sheet!J46*assumed_debt_cou_rate)</f>
        <v>#REF!</v>
      </c>
      <c r="J25" s="136" t="str">
        <f>IF(assumed_debt_avg_int=1,AVERAGE(Bal_Sheet!K46,Bal_Sheet!L46)*assumed_debt_cou_rate,Bal_Sheet!K46*assumed_debt_cou_rate)</f>
        <v>#REF!</v>
      </c>
      <c r="K25" s="136" t="str">
        <f>IF(assumed_debt_avg_int=1,AVERAGE(Bal_Sheet!L46,Bal_Sheet!M46)*assumed_debt_cou_rate,Bal_Sheet!L46*assumed_debt_cou_rate)</f>
        <v>#REF!</v>
      </c>
      <c r="L25" s="136" t="str">
        <f>IF(assumed_debt_avg_int=1,AVERAGE(Bal_Sheet!M46,Bal_Sheet!N46)*assumed_debt_cou_rate,Bal_Sheet!M46*assumed_debt_cou_rate)</f>
        <v>#REF!</v>
      </c>
      <c r="M25" s="136" t="str">
        <f>IF(assumed_debt_avg_int=1,AVERAGE(Bal_Sheet!N46,Bal_Sheet!O46)*assumed_debt_cou_rate,Bal_Sheet!N46*assumed_debt_cou_rate)</f>
        <v>#REF!</v>
      </c>
      <c r="O25" s="130"/>
      <c r="P25" s="122"/>
    </row>
    <row r="26" ht="12.75" customHeight="1">
      <c r="A26" s="135" t="str">
        <f>Bal_Sheet!A47</f>
        <v>Bank Revolver</v>
      </c>
      <c r="C26" s="128"/>
      <c r="D26" s="136">
        <f>Bal_Sheet!E47*bank_revolver_cou_rate+(revolver_limit-Bal_Sheet!E47)*undrawn_commit_fee</f>
        <v>13533.28125</v>
      </c>
      <c r="E26" s="136" t="str">
        <f>Bal_Sheet!F47*bank_revolver_cou_rate+(revolver_limit-Bal_Sheet!F47)*undrawn_commit_fee</f>
        <v>#REF!</v>
      </c>
      <c r="F26" s="136" t="str">
        <f>Bal_Sheet!G47*bank_revolver_cou_rate+(revolver_limit-Bal_Sheet!G47)*undrawn_commit_fee</f>
        <v>#REF!</v>
      </c>
      <c r="G26" s="136" t="str">
        <f>Bal_Sheet!H47*bank_revolver_cou_rate+(revolver_limit-Bal_Sheet!H47)*undrawn_commit_fee</f>
        <v>#REF!</v>
      </c>
      <c r="H26" s="136" t="str">
        <f>Bal_Sheet!I47*bank_revolver_cou_rate+(revolver_limit-Bal_Sheet!I47)*undrawn_commit_fee</f>
        <v>#REF!</v>
      </c>
      <c r="I26" s="136" t="str">
        <f>Bal_Sheet!J47*bank_revolver_cou_rate+(revolver_limit-Bal_Sheet!J47)*undrawn_commit_fee</f>
        <v>#REF!</v>
      </c>
      <c r="J26" s="136" t="str">
        <f>Bal_Sheet!K47*bank_revolver_cou_rate+(revolver_limit-Bal_Sheet!K47)*undrawn_commit_fee</f>
        <v>#REF!</v>
      </c>
      <c r="K26" s="136" t="str">
        <f>Bal_Sheet!L47*bank_revolver_cou_rate+(revolver_limit-Bal_Sheet!L47)*undrawn_commit_fee</f>
        <v>#REF!</v>
      </c>
      <c r="L26" s="136" t="str">
        <f>Bal_Sheet!M47*bank_revolver_cou_rate+(revolver_limit-Bal_Sheet!M47)*undrawn_commit_fee</f>
        <v>#REF!</v>
      </c>
      <c r="M26" s="136" t="str">
        <f>Bal_Sheet!N47*bank_revolver_cou_rate+(revolver_limit-Bal_Sheet!N47)*undrawn_commit_fee</f>
        <v>#REF!</v>
      </c>
      <c r="O26" s="130"/>
      <c r="P26" s="122"/>
    </row>
    <row r="27" ht="12.75" customHeight="1">
      <c r="A27" s="135" t="str">
        <f>Bal_Sheet!A48</f>
        <v>Term Loan "A"</v>
      </c>
      <c r="C27" s="128"/>
      <c r="D27" s="136" t="str">
        <f>IF(termloanA_avg_int=1,AVERAGE(Bal_Sheet!E48,Bal_Sheet!F48)*termloanA_cou_rate,Bal_Sheet!E48*termloanA_cou_rate)</f>
        <v>#REF!</v>
      </c>
      <c r="E27" s="136" t="str">
        <f>IF(termloanA_avg_int=1,AVERAGE(Bal_Sheet!F48,Bal_Sheet!G48)*termloanA_cou_rate,Bal_Sheet!F48*termloanA_cou_rate)</f>
        <v>#REF!</v>
      </c>
      <c r="F27" s="136" t="str">
        <f>IF(termloanA_avg_int=1,AVERAGE(Bal_Sheet!G48,Bal_Sheet!H48)*termloanA_cou_rate,Bal_Sheet!G48*termloanA_cou_rate)</f>
        <v>#REF!</v>
      </c>
      <c r="G27" s="136" t="str">
        <f>IF(termloanA_avg_int=1,AVERAGE(Bal_Sheet!H48,Bal_Sheet!I48)*termloanA_cou_rate,Bal_Sheet!H48*termloanA_cou_rate)</f>
        <v>#REF!</v>
      </c>
      <c r="H27" s="136" t="str">
        <f>IF(termloanA_avg_int=1,AVERAGE(Bal_Sheet!I48,Bal_Sheet!J48)*termloanA_cou_rate,Bal_Sheet!I48*termloanA_cou_rate)</f>
        <v>#REF!</v>
      </c>
      <c r="I27" s="136" t="str">
        <f>IF(termloanA_avg_int=1,AVERAGE(Bal_Sheet!J48,Bal_Sheet!K48)*termloanA_cou_rate,Bal_Sheet!J48*termloanA_cou_rate)</f>
        <v>#REF!</v>
      </c>
      <c r="J27" s="136" t="str">
        <f>IF(termloanA_avg_int=1,AVERAGE(Bal_Sheet!K48,Bal_Sheet!L48)*termloanA_cou_rate,Bal_Sheet!K48*termloanA_cou_rate)</f>
        <v>#REF!</v>
      </c>
      <c r="K27" s="136" t="str">
        <f>IF(termloanA_avg_int=1,AVERAGE(Bal_Sheet!L48,Bal_Sheet!M48)*termloanA_cou_rate,Bal_Sheet!L48*termloanA_cou_rate)</f>
        <v>#REF!</v>
      </c>
      <c r="L27" s="136" t="str">
        <f>IF(termloanA_avg_int=1,AVERAGE(Bal_Sheet!M48,Bal_Sheet!N48)*termloanA_cou_rate,Bal_Sheet!M48*termloanA_cou_rate)</f>
        <v>#REF!</v>
      </c>
      <c r="M27" s="136" t="str">
        <f>IF(termloanA_avg_int=1,AVERAGE(Bal_Sheet!N48,Bal_Sheet!O48)*termloanA_cou_rate,Bal_Sheet!N48*termloanA_cou_rate)</f>
        <v>#REF!</v>
      </c>
      <c r="P27" s="116"/>
    </row>
    <row r="28" ht="12.75" customHeight="1">
      <c r="A28" s="135" t="str">
        <f>Bal_Sheet!A49</f>
        <v>Term Loan "B"</v>
      </c>
      <c r="C28" s="128"/>
      <c r="D28" s="136" t="str">
        <f>IF(termloanB_avg_int=1,AVERAGE(Bal_Sheet!E49,Bal_Sheet!F49)*termloanB_cou_rate,Bal_Sheet!E49*termloanB_cou_rate)</f>
        <v>#REF!</v>
      </c>
      <c r="E28" s="136" t="str">
        <f>IF(termloanB_avg_int=1,AVERAGE(Bal_Sheet!F49,Bal_Sheet!G49)*termloanB_cou_rate,Bal_Sheet!F49*termloanB_cou_rate)</f>
        <v>#REF!</v>
      </c>
      <c r="F28" s="136" t="str">
        <f>IF(termloanB_avg_int=1,AVERAGE(Bal_Sheet!G49,Bal_Sheet!H49)*termloanB_cou_rate,Bal_Sheet!G49*termloanB_cou_rate)</f>
        <v>#REF!</v>
      </c>
      <c r="G28" s="136" t="str">
        <f>IF(termloanB_avg_int=1,AVERAGE(Bal_Sheet!H49,Bal_Sheet!I49)*termloanB_cou_rate,Bal_Sheet!H49*termloanB_cou_rate)</f>
        <v>#REF!</v>
      </c>
      <c r="H28" s="136" t="str">
        <f>IF(termloanB_avg_int=1,AVERAGE(Bal_Sheet!I49,Bal_Sheet!J49)*termloanB_cou_rate,Bal_Sheet!I49*termloanB_cou_rate)</f>
        <v>#REF!</v>
      </c>
      <c r="I28" s="136" t="str">
        <f>IF(termloanB_avg_int=1,AVERAGE(Bal_Sheet!J49,Bal_Sheet!K49)*termloanB_cou_rate,Bal_Sheet!J49*termloanB_cou_rate)</f>
        <v>#REF!</v>
      </c>
      <c r="J28" s="136" t="str">
        <f>IF(termloanB_avg_int=1,AVERAGE(Bal_Sheet!K49,Bal_Sheet!L49)*termloanB_cou_rate,Bal_Sheet!K49*termloanB_cou_rate)</f>
        <v>#REF!</v>
      </c>
      <c r="K28" s="136" t="str">
        <f>IF(termloanB_avg_int=1,AVERAGE(Bal_Sheet!L49,Bal_Sheet!M49)*termloanB_cou_rate,Bal_Sheet!L49*termloanB_cou_rate)</f>
        <v>#REF!</v>
      </c>
      <c r="L28" s="136" t="str">
        <f>IF(termloanB_avg_int=1,AVERAGE(Bal_Sheet!M49,Bal_Sheet!N49)*termloanB_cou_rate,Bal_Sheet!M49*termloanB_cou_rate)</f>
        <v>#REF!</v>
      </c>
      <c r="M28" s="136" t="str">
        <f>IF(termloanB_avg_int=1,AVERAGE(Bal_Sheet!N49,Bal_Sheet!O49)*termloanB_cou_rate,Bal_Sheet!N49*termloanB_cou_rate)</f>
        <v>#REF!</v>
      </c>
      <c r="P28" s="116"/>
    </row>
    <row r="29" ht="12.75" customHeight="1">
      <c r="A29" s="135" t="str">
        <f>Bal_Sheet!A50</f>
        <v>Senior Notes</v>
      </c>
      <c r="C29" s="128"/>
      <c r="D29" s="136" t="str">
        <f>IF(senior_notes_avg_int=1,AVERAGE(Bal_Sheet!E50,Bal_Sheet!F50)*senior_notes_cou_rate,Bal_Sheet!E50*senior_notes_cou_rate)</f>
        <v>#REF!</v>
      </c>
      <c r="E29" s="136" t="str">
        <f>IF(senior_notes_avg_int=1,AVERAGE(Bal_Sheet!F50,Bal_Sheet!G50)*senior_notes_cou_rate,Bal_Sheet!F50*senior_notes_cou_rate)</f>
        <v>#REF!</v>
      </c>
      <c r="F29" s="136" t="str">
        <f>IF(senior_notes_avg_int=1,AVERAGE(Bal_Sheet!G50,Bal_Sheet!H50)*senior_notes_cou_rate,Bal_Sheet!G50*senior_notes_cou_rate)</f>
        <v>#REF!</v>
      </c>
      <c r="G29" s="136" t="str">
        <f>IF(senior_notes_avg_int=1,AVERAGE(Bal_Sheet!H50,Bal_Sheet!I50)*senior_notes_cou_rate,Bal_Sheet!H50*senior_notes_cou_rate)</f>
        <v>#REF!</v>
      </c>
      <c r="H29" s="136" t="str">
        <f>IF(senior_notes_avg_int=1,AVERAGE(Bal_Sheet!I50,Bal_Sheet!J50)*senior_notes_cou_rate,Bal_Sheet!I50*senior_notes_cou_rate)</f>
        <v>#REF!</v>
      </c>
      <c r="I29" s="136" t="str">
        <f>IF(senior_notes_avg_int=1,AVERAGE(Bal_Sheet!J50,Bal_Sheet!K50)*senior_notes_cou_rate,Bal_Sheet!J50*senior_notes_cou_rate)</f>
        <v>#REF!</v>
      </c>
      <c r="J29" s="136" t="str">
        <f>IF(senior_notes_avg_int=1,AVERAGE(Bal_Sheet!K50,Bal_Sheet!L50)*senior_notes_cou_rate,Bal_Sheet!K50*senior_notes_cou_rate)</f>
        <v>#REF!</v>
      </c>
      <c r="K29" s="136" t="str">
        <f>IF(senior_notes_avg_int=1,AVERAGE(Bal_Sheet!L50,Bal_Sheet!M50)*senior_notes_cou_rate,Bal_Sheet!L50*senior_notes_cou_rate)</f>
        <v>#REF!</v>
      </c>
      <c r="L29" s="136" t="str">
        <f>IF(senior_notes_avg_int=1,AVERAGE(Bal_Sheet!M50,Bal_Sheet!N50)*senior_notes_cou_rate,Bal_Sheet!M50*senior_notes_cou_rate)</f>
        <v>#REF!</v>
      </c>
      <c r="M29" s="136" t="str">
        <f>IF(senior_notes_avg_int=1,AVERAGE(Bal_Sheet!N50,Bal_Sheet!O50)*senior_notes_cou_rate,Bal_Sheet!N50*senior_notes_cou_rate)</f>
        <v>#REF!</v>
      </c>
      <c r="P29" s="116"/>
    </row>
    <row r="30" ht="12.75" customHeight="1">
      <c r="A30" s="135" t="str">
        <f>Bal_Sheet!A51</f>
        <v>Subordinated Notes</v>
      </c>
      <c r="C30" s="128"/>
      <c r="D30" s="136">
        <f>IF(sub_notes_avg_int=1,AVERAGE(Bal_Sheet!E51,Bal_Sheet!F51)*sub_notes_cou_rate,Bal_Sheet!E51*sub_notes_cou_rate)</f>
        <v>1800</v>
      </c>
      <c r="E30" s="136" t="str">
        <f>IF(sub_notes_avg_int=1,AVERAGE(Bal_Sheet!F51,Bal_Sheet!G51)*sub_notes_cou_rate,Bal_Sheet!F51*sub_notes_cou_rate)</f>
        <v>#REF!</v>
      </c>
      <c r="F30" s="136" t="str">
        <f>IF(sub_notes_avg_int=1,AVERAGE(Bal_Sheet!G51,Bal_Sheet!H51)*sub_notes_cou_rate,Bal_Sheet!G51*sub_notes_cou_rate)</f>
        <v>#REF!</v>
      </c>
      <c r="G30" s="136" t="str">
        <f>IF(sub_notes_avg_int=1,AVERAGE(Bal_Sheet!H51,Bal_Sheet!I51)*sub_notes_cou_rate,Bal_Sheet!H51*sub_notes_cou_rate)</f>
        <v>#REF!</v>
      </c>
      <c r="H30" s="136" t="str">
        <f>IF(sub_notes_avg_int=1,AVERAGE(Bal_Sheet!I51,Bal_Sheet!J51)*sub_notes_cou_rate,Bal_Sheet!I51*sub_notes_cou_rate)</f>
        <v>#REF!</v>
      </c>
      <c r="I30" s="136" t="str">
        <f>IF(sub_notes_avg_int=1,AVERAGE(Bal_Sheet!J51,Bal_Sheet!K51)*sub_notes_cou_rate,Bal_Sheet!J51*sub_notes_cou_rate)</f>
        <v>#REF!</v>
      </c>
      <c r="J30" s="136" t="str">
        <f>IF(sub_notes_avg_int=1,AVERAGE(Bal_Sheet!K51,Bal_Sheet!L51)*sub_notes_cou_rate,Bal_Sheet!K51*sub_notes_cou_rate)</f>
        <v>#REF!</v>
      </c>
      <c r="K30" s="136" t="str">
        <f>IF(sub_notes_avg_int=1,AVERAGE(Bal_Sheet!L51,Bal_Sheet!M51)*sub_notes_cou_rate,Bal_Sheet!L51*sub_notes_cou_rate)</f>
        <v>#REF!</v>
      </c>
      <c r="L30" s="136" t="str">
        <f>IF(sub_notes_avg_int=1,AVERAGE(Bal_Sheet!M51,Bal_Sheet!N51)*sub_notes_cou_rate,Bal_Sheet!M51*sub_notes_cou_rate)</f>
        <v>#REF!</v>
      </c>
      <c r="M30" s="136" t="str">
        <f>IF(sub_notes_avg_int=1,AVERAGE(Bal_Sheet!N51,Bal_Sheet!O51)*sub_notes_cou_rate,Bal_Sheet!N51*sub_notes_cou_rate)</f>
        <v>#REF!</v>
      </c>
    </row>
    <row r="31" ht="12.75" customHeight="1">
      <c r="A31" s="135" t="str">
        <f>Bal_Sheet!A52</f>
        <v>Mezzanine Debt</v>
      </c>
      <c r="C31" s="128"/>
      <c r="D31" s="136">
        <f>IF(mezzdebt_avg_int=1,AVERAGE(Bal_Sheet!E52,Bal_Sheet!F52)*mezzdebt_cou_rate,Bal_Sheet!E52*mezzdebt_cou_rate)</f>
        <v>3150</v>
      </c>
      <c r="E31" s="136" t="str">
        <f>IF(mezzdebt_avg_int=1,AVERAGE(Bal_Sheet!F52,Bal_Sheet!G52)*mezzdebt_cou_rate,Bal_Sheet!F52*mezzdebt_cou_rate)</f>
        <v>#REF!</v>
      </c>
      <c r="F31" s="136" t="str">
        <f>IF(mezzdebt_avg_int=1,AVERAGE(Bal_Sheet!G52,Bal_Sheet!H52)*mezzdebt_cou_rate,Bal_Sheet!G52*mezzdebt_cou_rate)</f>
        <v>#REF!</v>
      </c>
      <c r="G31" s="136" t="str">
        <f>IF(mezzdebt_avg_int=1,AVERAGE(Bal_Sheet!H52,Bal_Sheet!I52)*mezzdebt_cou_rate,Bal_Sheet!H52*mezzdebt_cou_rate)</f>
        <v>#REF!</v>
      </c>
      <c r="H31" s="136" t="str">
        <f>IF(mezzdebt_avg_int=1,AVERAGE(Bal_Sheet!I52,Bal_Sheet!J52)*mezzdebt_cou_rate,Bal_Sheet!I52*mezzdebt_cou_rate)</f>
        <v>#REF!</v>
      </c>
      <c r="I31" s="136" t="str">
        <f>IF(mezzdebt_avg_int=1,AVERAGE(Bal_Sheet!J52,Bal_Sheet!K52)*mezzdebt_cou_rate,Bal_Sheet!J52*mezzdebt_cou_rate)</f>
        <v>#REF!</v>
      </c>
      <c r="J31" s="136" t="str">
        <f>IF(mezzdebt_avg_int=1,AVERAGE(Bal_Sheet!K52,Bal_Sheet!L52)*mezzdebt_cou_rate,Bal_Sheet!K52*mezzdebt_cou_rate)</f>
        <v>#REF!</v>
      </c>
      <c r="K31" s="136" t="str">
        <f>IF(mezzdebt_avg_int=1,AVERAGE(Bal_Sheet!L52,Bal_Sheet!M52)*mezzdebt_cou_rate,Bal_Sheet!L52*mezzdebt_cou_rate)</f>
        <v>#REF!</v>
      </c>
      <c r="L31" s="136" t="str">
        <f>IF(mezzdebt_avg_int=1,AVERAGE(Bal_Sheet!M52,Bal_Sheet!N52)*mezzdebt_cou_rate,Bal_Sheet!M52*mezzdebt_cou_rate)</f>
        <v>#REF!</v>
      </c>
      <c r="M31" s="136" t="str">
        <f>IF(mezzdebt_avg_int=1,AVERAGE(Bal_Sheet!N52,Bal_Sheet!O52)*mezzdebt_cou_rate,Bal_Sheet!N52*mezzdebt_cou_rate)</f>
        <v>#REF!</v>
      </c>
    </row>
    <row r="32" ht="12.75" customHeight="1">
      <c r="A32" s="135" t="str">
        <f>Bal_Sheet!A53</f>
        <v>Seller Notes</v>
      </c>
      <c r="C32" s="128"/>
      <c r="D32" s="136" t="str">
        <f>IF(seller_notes_avg_int=1,AVERAGE(Bal_Sheet!E53,Bal_Sheet!F53)*seller_notes_cou_rate,Bal_Sheet!E53*seller_notes_cou_rate)</f>
        <v>#REF!</v>
      </c>
      <c r="E32" s="136" t="str">
        <f>IF(seller_notes_avg_int=1,AVERAGE(Bal_Sheet!F53,Bal_Sheet!G53)*seller_notes_cou_rate,Bal_Sheet!F53*seller_notes_cou_rate)</f>
        <v>#REF!</v>
      </c>
      <c r="F32" s="136" t="str">
        <f>IF(seller_notes_avg_int=1,AVERAGE(Bal_Sheet!G53,Bal_Sheet!H53)*seller_notes_cou_rate,Bal_Sheet!G53*seller_notes_cou_rate)</f>
        <v>#REF!</v>
      </c>
      <c r="G32" s="136" t="str">
        <f>IF(seller_notes_avg_int=1,AVERAGE(Bal_Sheet!H53,Bal_Sheet!I53)*seller_notes_cou_rate,Bal_Sheet!H53*seller_notes_cou_rate)</f>
        <v>#REF!</v>
      </c>
      <c r="H32" s="136" t="str">
        <f>IF(seller_notes_avg_int=1,AVERAGE(Bal_Sheet!I53,Bal_Sheet!J53)*seller_notes_cou_rate,Bal_Sheet!I53*seller_notes_cou_rate)</f>
        <v>#REF!</v>
      </c>
      <c r="I32" s="136" t="str">
        <f>IF(seller_notes_avg_int=1,AVERAGE(Bal_Sheet!J53,Bal_Sheet!K53)*seller_notes_cou_rate,Bal_Sheet!J53*seller_notes_cou_rate)</f>
        <v>#REF!</v>
      </c>
      <c r="J32" s="136" t="str">
        <f>IF(seller_notes_avg_int=1,AVERAGE(Bal_Sheet!K53,Bal_Sheet!L53)*seller_notes_cou_rate,Bal_Sheet!K53*seller_notes_cou_rate)</f>
        <v>#REF!</v>
      </c>
      <c r="K32" s="136" t="str">
        <f>IF(seller_notes_avg_int=1,AVERAGE(Bal_Sheet!L53,Bal_Sheet!M53)*seller_notes_cou_rate,Bal_Sheet!L53*seller_notes_cou_rate)</f>
        <v>#REF!</v>
      </c>
      <c r="L32" s="136" t="str">
        <f>IF(seller_notes_avg_int=1,AVERAGE(Bal_Sheet!M53,Bal_Sheet!N53)*seller_notes_cou_rate,Bal_Sheet!M53*seller_notes_cou_rate)</f>
        <v>#REF!</v>
      </c>
      <c r="M32" s="136" t="str">
        <f>IF(seller_notes_avg_int=1,AVERAGE(Bal_Sheet!N53,Bal_Sheet!O53)*seller_notes_cou_rate,Bal_Sheet!N53*seller_notes_cou_rate)</f>
        <v>#REF!</v>
      </c>
    </row>
    <row r="33" ht="12.75" customHeight="1">
      <c r="A33" s="135"/>
      <c r="C33" s="128"/>
      <c r="D33" s="136"/>
      <c r="E33" s="136"/>
      <c r="F33" s="136"/>
      <c r="G33" s="136"/>
      <c r="H33" s="136"/>
      <c r="I33" s="136"/>
      <c r="J33" s="136"/>
      <c r="K33" s="136"/>
      <c r="L33" s="136"/>
      <c r="M33" s="136"/>
    </row>
    <row r="34" ht="12.75" customHeight="1">
      <c r="A34" s="137" t="s">
        <v>114</v>
      </c>
      <c r="C34" s="128"/>
      <c r="D34" s="136" t="str">
        <f t="shared" ref="D34:M34" si="8">SUM(D36:D37)</f>
        <v>#REF!</v>
      </c>
      <c r="E34" s="136" t="str">
        <f t="shared" si="8"/>
        <v>#REF!</v>
      </c>
      <c r="F34" s="136" t="str">
        <f t="shared" si="8"/>
        <v>#REF!</v>
      </c>
      <c r="G34" s="136" t="str">
        <f t="shared" si="8"/>
        <v>#REF!</v>
      </c>
      <c r="H34" s="136" t="str">
        <f t="shared" si="8"/>
        <v>#REF!</v>
      </c>
      <c r="I34" s="136" t="str">
        <f t="shared" si="8"/>
        <v>#REF!</v>
      </c>
      <c r="J34" s="136" t="str">
        <f t="shared" si="8"/>
        <v>#REF!</v>
      </c>
      <c r="K34" s="136" t="str">
        <f t="shared" si="8"/>
        <v>#REF!</v>
      </c>
      <c r="L34" s="136" t="str">
        <f t="shared" si="8"/>
        <v>#REF!</v>
      </c>
      <c r="M34" s="136" t="str">
        <f t="shared" si="8"/>
        <v>#REF!</v>
      </c>
    </row>
    <row r="35" ht="12.75" customHeight="1">
      <c r="A35" s="135" t="s">
        <v>115</v>
      </c>
      <c r="C35" s="128"/>
      <c r="D35" s="136"/>
      <c r="E35" s="136"/>
      <c r="F35" s="136"/>
      <c r="G35" s="136"/>
      <c r="H35" s="136"/>
      <c r="I35" s="136"/>
      <c r="J35" s="136"/>
      <c r="K35" s="136"/>
      <c r="L35" s="136"/>
      <c r="M35" s="136"/>
    </row>
    <row r="36" ht="12.75" customHeight="1">
      <c r="A36" s="135" t="s">
        <v>116</v>
      </c>
      <c r="C36" s="128"/>
      <c r="D36" s="136" t="str">
        <f>Depr_Amort!F45</f>
        <v>#REF!</v>
      </c>
      <c r="E36" s="136" t="str">
        <f>Depr_Amort!G45</f>
        <v>#REF!</v>
      </c>
      <c r="F36" s="136" t="str">
        <f>Depr_Amort!H45</f>
        <v>#REF!</v>
      </c>
      <c r="G36" s="136" t="str">
        <f>Depr_Amort!I45</f>
        <v>#REF!</v>
      </c>
      <c r="H36" s="136" t="str">
        <f>Depr_Amort!J45</f>
        <v>#REF!</v>
      </c>
      <c r="I36" s="136" t="str">
        <f>Depr_Amort!K45</f>
        <v>#REF!</v>
      </c>
      <c r="J36" s="136" t="str">
        <f>Depr_Amort!L45</f>
        <v>#REF!</v>
      </c>
      <c r="K36" s="136" t="str">
        <f>Depr_Amort!M45</f>
        <v>#REF!</v>
      </c>
      <c r="L36" s="136" t="str">
        <f>Depr_Amort!N45</f>
        <v>#REF!</v>
      </c>
      <c r="M36" s="136" t="str">
        <f>Depr_Amort!O45</f>
        <v>#REF!</v>
      </c>
    </row>
    <row r="37" ht="12.75" customHeight="1">
      <c r="A37" s="135" t="s">
        <v>117</v>
      </c>
      <c r="C37" s="128"/>
      <c r="D37" s="136">
        <f>-Income_Tax!D11</f>
        <v>-1250</v>
      </c>
      <c r="E37" s="136">
        <f>-Income_Tax!E11</f>
        <v>-1350</v>
      </c>
      <c r="F37" s="136">
        <f>-Income_Tax!F11</f>
        <v>-1450</v>
      </c>
      <c r="G37" s="136">
        <f>-Income_Tax!G11</f>
        <v>-1550</v>
      </c>
      <c r="H37" s="136">
        <f>-Income_Tax!H11</f>
        <v>-1650</v>
      </c>
      <c r="I37" s="136">
        <f>-Income_Tax!I11</f>
        <v>-1750</v>
      </c>
      <c r="J37" s="136">
        <f>-Income_Tax!J11</f>
        <v>-1850</v>
      </c>
      <c r="K37" s="136">
        <f>-Income_Tax!K11</f>
        <v>-1950</v>
      </c>
      <c r="L37" s="136">
        <f>-Income_Tax!L11</f>
        <v>-2050</v>
      </c>
      <c r="M37" s="136">
        <f>-Income_Tax!M11</f>
        <v>-2150</v>
      </c>
      <c r="O37" s="118"/>
      <c r="P37" s="128"/>
    </row>
    <row r="38" ht="12.75" customHeight="1">
      <c r="C38" s="128"/>
      <c r="D38" s="58"/>
      <c r="E38" s="58"/>
      <c r="F38" s="58"/>
      <c r="G38" s="58"/>
      <c r="H38" s="58"/>
      <c r="I38" s="58"/>
      <c r="J38" s="58"/>
      <c r="K38" s="58"/>
      <c r="L38" s="58"/>
      <c r="M38" s="58"/>
      <c r="P38" s="128"/>
    </row>
    <row r="39" ht="12.75" customHeight="1">
      <c r="A39" s="131" t="s">
        <v>118</v>
      </c>
      <c r="C39" s="128"/>
      <c r="D39" s="58" t="str">
        <f t="shared" ref="D39:M39" si="9">D22-D24-D34</f>
        <v>#REF!</v>
      </c>
      <c r="E39" s="58" t="str">
        <f t="shared" si="9"/>
        <v>#REF!</v>
      </c>
      <c r="F39" s="58" t="str">
        <f t="shared" si="9"/>
        <v>#REF!</v>
      </c>
      <c r="G39" s="58" t="str">
        <f t="shared" si="9"/>
        <v>#REF!</v>
      </c>
      <c r="H39" s="58" t="str">
        <f t="shared" si="9"/>
        <v>#REF!</v>
      </c>
      <c r="I39" s="58" t="str">
        <f t="shared" si="9"/>
        <v>#REF!</v>
      </c>
      <c r="J39" s="58" t="str">
        <f t="shared" si="9"/>
        <v>#REF!</v>
      </c>
      <c r="K39" s="58" t="str">
        <f t="shared" si="9"/>
        <v>#REF!</v>
      </c>
      <c r="L39" s="58" t="str">
        <f t="shared" si="9"/>
        <v>#REF!</v>
      </c>
      <c r="M39" s="58" t="str">
        <f t="shared" si="9"/>
        <v>#REF!</v>
      </c>
      <c r="P39" s="128"/>
    </row>
    <row r="40" ht="12.75" customHeight="1">
      <c r="C40" s="128"/>
      <c r="D40" s="58"/>
      <c r="E40" s="58"/>
      <c r="F40" s="58"/>
      <c r="G40" s="58"/>
      <c r="H40" s="58"/>
      <c r="I40" s="58"/>
      <c r="J40" s="58"/>
      <c r="K40" s="58"/>
      <c r="L40" s="58"/>
      <c r="M40" s="58"/>
      <c r="P40" s="128"/>
    </row>
    <row r="41" ht="12.75" customHeight="1">
      <c r="A41" s="118" t="s">
        <v>119</v>
      </c>
      <c r="C41" s="128"/>
      <c r="D41" s="58" t="str">
        <f>Income_Tax!D28</f>
        <v>#REF!</v>
      </c>
      <c r="E41" s="58" t="str">
        <f>Income_Tax!E28</f>
        <v>#REF!</v>
      </c>
      <c r="F41" s="58" t="str">
        <f>Income_Tax!F28</f>
        <v>#REF!</v>
      </c>
      <c r="G41" s="58" t="str">
        <f>Income_Tax!G28</f>
        <v>#REF!</v>
      </c>
      <c r="H41" s="58" t="str">
        <f>Income_Tax!H28</f>
        <v>#REF!</v>
      </c>
      <c r="I41" s="58" t="str">
        <f>Income_Tax!I28</f>
        <v>#REF!</v>
      </c>
      <c r="J41" s="58" t="str">
        <f>Income_Tax!J28</f>
        <v>#REF!</v>
      </c>
      <c r="K41" s="58" t="str">
        <f>Income_Tax!K28</f>
        <v>#REF!</v>
      </c>
      <c r="L41" s="58" t="str">
        <f>Income_Tax!L28</f>
        <v>#REF!</v>
      </c>
      <c r="M41" s="58" t="str">
        <f>Income_Tax!M28</f>
        <v>#REF!</v>
      </c>
      <c r="P41" s="138"/>
    </row>
    <row r="42" ht="12.75" customHeight="1">
      <c r="C42" s="128"/>
      <c r="D42" s="58"/>
      <c r="E42" s="58"/>
      <c r="F42" s="58"/>
      <c r="G42" s="58"/>
      <c r="H42" s="58"/>
      <c r="I42" s="58"/>
      <c r="J42" s="58"/>
      <c r="K42" s="58"/>
      <c r="L42" s="58"/>
      <c r="M42" s="58"/>
    </row>
    <row r="43" ht="12.75" customHeight="1">
      <c r="A43" s="139" t="s">
        <v>120</v>
      </c>
      <c r="C43" s="128"/>
      <c r="D43" s="140" t="str">
        <f t="shared" ref="D43:M43" si="10">D39-D41</f>
        <v>#REF!</v>
      </c>
      <c r="E43" s="140" t="str">
        <f t="shared" si="10"/>
        <v>#REF!</v>
      </c>
      <c r="F43" s="140" t="str">
        <f t="shared" si="10"/>
        <v>#REF!</v>
      </c>
      <c r="G43" s="140" t="str">
        <f t="shared" si="10"/>
        <v>#REF!</v>
      </c>
      <c r="H43" s="140" t="str">
        <f t="shared" si="10"/>
        <v>#REF!</v>
      </c>
      <c r="I43" s="140" t="str">
        <f t="shared" si="10"/>
        <v>#REF!</v>
      </c>
      <c r="J43" s="140" t="str">
        <f t="shared" si="10"/>
        <v>#REF!</v>
      </c>
      <c r="K43" s="140" t="str">
        <f t="shared" si="10"/>
        <v>#REF!</v>
      </c>
      <c r="L43" s="140" t="str">
        <f t="shared" si="10"/>
        <v>#REF!</v>
      </c>
      <c r="M43" s="140" t="str">
        <f t="shared" si="10"/>
        <v>#REF!</v>
      </c>
    </row>
    <row r="44" ht="12.75" customHeight="1">
      <c r="A44" s="139"/>
      <c r="C44" s="128"/>
      <c r="D44" s="140"/>
      <c r="E44" s="140"/>
      <c r="F44" s="140"/>
      <c r="G44" s="140"/>
      <c r="H44" s="140"/>
      <c r="I44" s="140"/>
      <c r="J44" s="140"/>
      <c r="K44" s="140"/>
      <c r="L44" s="140"/>
      <c r="M44" s="140"/>
    </row>
    <row r="45" ht="12.75" customHeight="1">
      <c r="A45" s="118" t="s">
        <v>121</v>
      </c>
      <c r="C45" s="128"/>
      <c r="D45" s="58">
        <f t="shared" ref="D45:M45" si="11">SUM(D46:D47)</f>
        <v>6700</v>
      </c>
      <c r="E45" s="58">
        <f t="shared" si="11"/>
        <v>7194</v>
      </c>
      <c r="F45" s="58">
        <f t="shared" si="11"/>
        <v>7658.58</v>
      </c>
      <c r="G45" s="58">
        <f t="shared" si="11"/>
        <v>8245.1806</v>
      </c>
      <c r="H45" s="58">
        <f t="shared" si="11"/>
        <v>8955.343242</v>
      </c>
      <c r="I45" s="58">
        <f t="shared" si="11"/>
        <v>9390.717269</v>
      </c>
      <c r="J45" s="58">
        <f t="shared" si="11"/>
        <v>9590.717269</v>
      </c>
      <c r="K45" s="58">
        <f t="shared" si="11"/>
        <v>9890.717269</v>
      </c>
      <c r="L45" s="58">
        <f t="shared" si="11"/>
        <v>9990.717269</v>
      </c>
      <c r="M45" s="58">
        <f t="shared" si="11"/>
        <v>10290.71727</v>
      </c>
    </row>
    <row r="46" ht="12.75" customHeight="1">
      <c r="A46" s="135" t="str">
        <f>Input!G64</f>
        <v>Preferred Stock Dividend</v>
      </c>
      <c r="C46" s="128"/>
      <c r="D46" s="136">
        <f>Bal_Sheet!E61*pref_stock_div</f>
        <v>4200</v>
      </c>
      <c r="E46" s="136">
        <f>Bal_Sheet!F61*pref_stock_div</f>
        <v>4494</v>
      </c>
      <c r="F46" s="136">
        <f>Bal_Sheet!G61*pref_stock_div</f>
        <v>4808.58</v>
      </c>
      <c r="G46" s="136">
        <f>Bal_Sheet!H61*pref_stock_div</f>
        <v>5145.1806</v>
      </c>
      <c r="H46" s="136">
        <f>Bal_Sheet!I61*pref_stock_div</f>
        <v>5505.343242</v>
      </c>
      <c r="I46" s="136">
        <f>Bal_Sheet!J61*pref_stock_div</f>
        <v>5890.717269</v>
      </c>
      <c r="J46" s="136">
        <f>Bal_Sheet!K61*pref_stock_div</f>
        <v>5890.717269</v>
      </c>
      <c r="K46" s="136">
        <f>Bal_Sheet!L61*pref_stock_div</f>
        <v>5890.717269</v>
      </c>
      <c r="L46" s="136">
        <f>Bal_Sheet!M61*pref_stock_div</f>
        <v>5890.717269</v>
      </c>
      <c r="M46" s="136">
        <f>Bal_Sheet!N61*pref_stock_div</f>
        <v>5890.717269</v>
      </c>
    </row>
    <row r="47" ht="12.75" customHeight="1">
      <c r="A47" s="135" t="s">
        <v>122</v>
      </c>
      <c r="C47" s="128"/>
      <c r="D47" s="141">
        <v>2500.0</v>
      </c>
      <c r="E47" s="141">
        <v>2700.0</v>
      </c>
      <c r="F47" s="141">
        <v>2850.0</v>
      </c>
      <c r="G47" s="141">
        <v>3100.0</v>
      </c>
      <c r="H47" s="141">
        <v>3450.0</v>
      </c>
      <c r="I47" s="141">
        <v>3500.0</v>
      </c>
      <c r="J47" s="141">
        <v>3700.0</v>
      </c>
      <c r="K47" s="141">
        <v>4000.0</v>
      </c>
      <c r="L47" s="141">
        <v>4100.0</v>
      </c>
      <c r="M47" s="141">
        <v>4400.0</v>
      </c>
    </row>
    <row r="48" ht="12.75" customHeight="1">
      <c r="C48" s="128"/>
      <c r="D48" s="58"/>
      <c r="E48" s="58"/>
      <c r="F48" s="58"/>
      <c r="G48" s="58"/>
      <c r="H48" s="58"/>
      <c r="I48" s="58"/>
      <c r="J48" s="58"/>
      <c r="K48" s="58"/>
      <c r="L48" s="58"/>
      <c r="M48" s="58"/>
    </row>
    <row r="49" ht="12.75" customHeight="1">
      <c r="A49" s="139" t="s">
        <v>123</v>
      </c>
      <c r="C49" s="128"/>
      <c r="D49" s="140" t="str">
        <f t="shared" ref="D49:M49" si="12">D43-D45</f>
        <v>#REF!</v>
      </c>
      <c r="E49" s="140" t="str">
        <f t="shared" si="12"/>
        <v>#REF!</v>
      </c>
      <c r="F49" s="140" t="str">
        <f t="shared" si="12"/>
        <v>#REF!</v>
      </c>
      <c r="G49" s="140" t="str">
        <f t="shared" si="12"/>
        <v>#REF!</v>
      </c>
      <c r="H49" s="140" t="str">
        <f t="shared" si="12"/>
        <v>#REF!</v>
      </c>
      <c r="I49" s="140" t="str">
        <f t="shared" si="12"/>
        <v>#REF!</v>
      </c>
      <c r="J49" s="140" t="str">
        <f t="shared" si="12"/>
        <v>#REF!</v>
      </c>
      <c r="K49" s="140" t="str">
        <f t="shared" si="12"/>
        <v>#REF!</v>
      </c>
      <c r="L49" s="140" t="str">
        <f t="shared" si="12"/>
        <v>#REF!</v>
      </c>
      <c r="M49" s="140" t="str">
        <f t="shared" si="12"/>
        <v>#REF!</v>
      </c>
    </row>
    <row r="50" ht="12.75" customHeight="1">
      <c r="C50" s="128"/>
      <c r="D50" s="58"/>
      <c r="E50" s="58"/>
      <c r="F50" s="58"/>
      <c r="G50" s="58"/>
      <c r="H50" s="58"/>
      <c r="I50" s="58"/>
      <c r="J50" s="58"/>
      <c r="K50" s="58"/>
      <c r="L50" s="58"/>
      <c r="M50" s="58"/>
    </row>
    <row r="51" ht="12.75" customHeight="1">
      <c r="C51" s="128"/>
      <c r="D51" s="58"/>
      <c r="E51" s="58"/>
      <c r="F51" s="58"/>
      <c r="G51" s="58"/>
      <c r="H51" s="58"/>
      <c r="I51" s="58"/>
      <c r="J51" s="58"/>
      <c r="K51" s="58"/>
      <c r="L51" s="58"/>
      <c r="M51" s="58"/>
    </row>
    <row r="52" ht="12.75" customHeight="1">
      <c r="C52" s="128"/>
      <c r="D52" s="58"/>
      <c r="E52" s="58"/>
      <c r="F52" s="58"/>
      <c r="G52" s="58"/>
      <c r="H52" s="58"/>
      <c r="I52" s="58"/>
      <c r="J52" s="58"/>
      <c r="K52" s="58"/>
      <c r="L52" s="58"/>
      <c r="M52" s="58"/>
    </row>
    <row r="53" ht="12.75" customHeight="1">
      <c r="C53" s="128"/>
      <c r="D53" s="58"/>
      <c r="E53" s="58"/>
      <c r="F53" s="58"/>
      <c r="G53" s="58"/>
      <c r="H53" s="58"/>
      <c r="I53" s="58"/>
      <c r="J53" s="58"/>
      <c r="K53" s="58"/>
      <c r="L53" s="58"/>
      <c r="M53" s="58"/>
    </row>
    <row r="54" ht="12.75" customHeight="1">
      <c r="C54" s="128"/>
      <c r="D54" s="58"/>
      <c r="E54" s="58"/>
      <c r="F54" s="58"/>
      <c r="G54" s="58"/>
      <c r="H54" s="58"/>
      <c r="I54" s="58"/>
      <c r="J54" s="58"/>
      <c r="K54" s="58"/>
      <c r="L54" s="58"/>
      <c r="M54" s="58"/>
    </row>
    <row r="55" ht="12.75" customHeight="1">
      <c r="C55" s="128"/>
      <c r="D55" s="58"/>
      <c r="E55" s="58"/>
      <c r="F55" s="58"/>
      <c r="G55" s="58"/>
      <c r="H55" s="58"/>
      <c r="I55" s="58"/>
      <c r="J55" s="58"/>
      <c r="K55" s="58"/>
      <c r="L55" s="58"/>
      <c r="M55" s="58"/>
    </row>
    <row r="56" ht="12.75" customHeight="1">
      <c r="C56" s="128"/>
      <c r="D56" s="58"/>
      <c r="E56" s="58"/>
      <c r="F56" s="58"/>
      <c r="G56" s="58"/>
      <c r="H56" s="58"/>
      <c r="I56" s="58"/>
      <c r="J56" s="58"/>
      <c r="K56" s="58"/>
      <c r="L56" s="58"/>
      <c r="M56" s="58"/>
    </row>
    <row r="57" ht="12.75" customHeight="1">
      <c r="C57" s="128"/>
      <c r="D57" s="58"/>
      <c r="E57" s="58"/>
      <c r="F57" s="58"/>
      <c r="G57" s="58"/>
      <c r="H57" s="58"/>
      <c r="I57" s="58"/>
      <c r="J57" s="58"/>
      <c r="K57" s="58"/>
      <c r="L57" s="58"/>
      <c r="M57" s="58"/>
    </row>
    <row r="58" ht="12.75" customHeight="1">
      <c r="C58" s="128"/>
      <c r="D58" s="58"/>
      <c r="E58" s="58"/>
      <c r="F58" s="58"/>
      <c r="G58" s="58"/>
      <c r="H58" s="58"/>
      <c r="I58" s="58"/>
      <c r="J58" s="58"/>
      <c r="K58" s="58"/>
      <c r="L58" s="58"/>
      <c r="M58" s="58"/>
    </row>
    <row r="59" ht="12.75" customHeight="1">
      <c r="C59" s="128"/>
      <c r="D59" s="58"/>
      <c r="E59" s="58"/>
      <c r="F59" s="58"/>
      <c r="G59" s="58"/>
      <c r="H59" s="58"/>
      <c r="I59" s="58"/>
      <c r="J59" s="58"/>
      <c r="K59" s="58"/>
      <c r="L59" s="58"/>
      <c r="M59" s="58"/>
    </row>
    <row r="60" ht="12.75" customHeight="1">
      <c r="C60" s="128"/>
      <c r="D60" s="58"/>
      <c r="E60" s="58"/>
      <c r="F60" s="58"/>
      <c r="G60" s="58"/>
      <c r="H60" s="58"/>
      <c r="I60" s="58"/>
      <c r="J60" s="58"/>
      <c r="K60" s="58"/>
      <c r="L60" s="58"/>
      <c r="M60" s="58"/>
    </row>
    <row r="61" ht="12.75" customHeight="1">
      <c r="C61" s="128"/>
      <c r="D61" s="58"/>
      <c r="E61" s="58"/>
      <c r="F61" s="58"/>
      <c r="G61" s="58"/>
      <c r="H61" s="58"/>
      <c r="I61" s="58"/>
      <c r="J61" s="58"/>
      <c r="K61" s="58"/>
      <c r="L61" s="58"/>
      <c r="M61" s="58"/>
    </row>
    <row r="62" ht="12.75" customHeight="1">
      <c r="C62" s="128"/>
      <c r="D62" s="58"/>
      <c r="E62" s="58"/>
      <c r="F62" s="58"/>
      <c r="G62" s="58"/>
      <c r="H62" s="58"/>
      <c r="I62" s="58"/>
      <c r="J62" s="58"/>
      <c r="K62" s="58"/>
      <c r="L62" s="58"/>
      <c r="M62" s="58"/>
    </row>
    <row r="63" ht="12.75" customHeight="1">
      <c r="C63" s="128"/>
      <c r="D63" s="58"/>
      <c r="E63" s="58"/>
      <c r="F63" s="58"/>
      <c r="G63" s="58"/>
      <c r="H63" s="58"/>
      <c r="I63" s="58"/>
      <c r="J63" s="58"/>
      <c r="K63" s="58"/>
      <c r="L63" s="58"/>
      <c r="M63" s="58"/>
    </row>
    <row r="64" ht="12.75" customHeight="1">
      <c r="C64" s="128"/>
      <c r="D64" s="58"/>
      <c r="E64" s="58"/>
      <c r="F64" s="58"/>
      <c r="G64" s="58"/>
      <c r="H64" s="58"/>
      <c r="I64" s="58"/>
      <c r="J64" s="58"/>
      <c r="K64" s="58"/>
      <c r="L64" s="58"/>
      <c r="M64" s="58"/>
    </row>
    <row r="65" ht="12.75" customHeight="1">
      <c r="C65" s="128"/>
      <c r="D65" s="58"/>
      <c r="E65" s="58"/>
      <c r="F65" s="58"/>
      <c r="G65" s="58"/>
      <c r="H65" s="58"/>
      <c r="I65" s="58"/>
      <c r="J65" s="58"/>
      <c r="K65" s="58"/>
      <c r="L65" s="58"/>
      <c r="M65" s="58"/>
    </row>
    <row r="66" ht="12.75" customHeight="1">
      <c r="C66" s="128"/>
      <c r="D66" s="58"/>
      <c r="E66" s="58"/>
      <c r="F66" s="58"/>
      <c r="G66" s="58"/>
      <c r="H66" s="58"/>
      <c r="I66" s="58"/>
      <c r="J66" s="58"/>
      <c r="K66" s="58"/>
      <c r="L66" s="58"/>
      <c r="M66" s="58"/>
    </row>
    <row r="67" ht="12.75" customHeight="1">
      <c r="C67" s="128"/>
      <c r="D67" s="58"/>
      <c r="E67" s="58"/>
      <c r="F67" s="58"/>
      <c r="G67" s="58"/>
      <c r="H67" s="58"/>
      <c r="I67" s="58"/>
      <c r="J67" s="58"/>
      <c r="K67" s="58"/>
      <c r="L67" s="58"/>
      <c r="M67" s="58"/>
    </row>
    <row r="68" ht="12.75" customHeight="1">
      <c r="C68" s="128"/>
      <c r="D68" s="58"/>
      <c r="E68" s="58"/>
      <c r="F68" s="58"/>
      <c r="G68" s="58"/>
      <c r="H68" s="58"/>
      <c r="I68" s="58"/>
      <c r="J68" s="58"/>
      <c r="K68" s="58"/>
      <c r="L68" s="58"/>
      <c r="M68" s="58"/>
    </row>
    <row r="69" ht="12.75" customHeight="1">
      <c r="C69" s="128"/>
      <c r="D69" s="58"/>
      <c r="E69" s="58"/>
      <c r="F69" s="58"/>
      <c r="G69" s="58"/>
      <c r="H69" s="58"/>
      <c r="I69" s="58"/>
      <c r="J69" s="58"/>
      <c r="K69" s="58"/>
      <c r="L69" s="58"/>
      <c r="M69" s="58"/>
    </row>
    <row r="70" ht="12.75" customHeight="1">
      <c r="C70" s="128"/>
      <c r="D70" s="58"/>
      <c r="E70" s="58"/>
      <c r="F70" s="58"/>
      <c r="G70" s="58"/>
      <c r="H70" s="58"/>
      <c r="I70" s="58"/>
      <c r="J70" s="58"/>
      <c r="K70" s="58"/>
      <c r="L70" s="58"/>
      <c r="M70" s="58"/>
    </row>
    <row r="71" ht="12.75" customHeight="1">
      <c r="C71" s="128"/>
      <c r="D71" s="58"/>
      <c r="E71" s="58"/>
      <c r="F71" s="58"/>
      <c r="G71" s="58"/>
      <c r="H71" s="58"/>
      <c r="I71" s="58"/>
      <c r="J71" s="58"/>
      <c r="K71" s="58"/>
      <c r="L71" s="58"/>
      <c r="M71" s="58"/>
    </row>
    <row r="72" ht="12.75" customHeight="1">
      <c r="C72" s="128"/>
      <c r="D72" s="58"/>
      <c r="E72" s="58"/>
      <c r="F72" s="58"/>
      <c r="G72" s="58"/>
      <c r="H72" s="58"/>
      <c r="I72" s="58"/>
      <c r="J72" s="58"/>
      <c r="K72" s="58"/>
      <c r="L72" s="58"/>
      <c r="M72" s="58"/>
    </row>
    <row r="73" ht="12.75" customHeight="1">
      <c r="C73" s="128"/>
      <c r="D73" s="58"/>
      <c r="E73" s="58"/>
      <c r="F73" s="58"/>
      <c r="G73" s="58"/>
      <c r="H73" s="58"/>
      <c r="I73" s="58"/>
      <c r="J73" s="58"/>
      <c r="K73" s="58"/>
      <c r="L73" s="58"/>
      <c r="M73" s="58"/>
    </row>
    <row r="74" ht="12.75" customHeight="1">
      <c r="C74" s="128"/>
      <c r="D74" s="58"/>
      <c r="E74" s="58"/>
      <c r="F74" s="58"/>
      <c r="G74" s="58"/>
      <c r="H74" s="58"/>
      <c r="I74" s="58"/>
      <c r="J74" s="58"/>
      <c r="K74" s="58"/>
      <c r="L74" s="58"/>
      <c r="M74" s="58"/>
    </row>
    <row r="75" ht="12.75" customHeight="1">
      <c r="C75" s="128"/>
      <c r="D75" s="58"/>
      <c r="E75" s="58"/>
      <c r="F75" s="58"/>
      <c r="G75" s="58"/>
      <c r="H75" s="58"/>
      <c r="I75" s="58"/>
      <c r="J75" s="58"/>
      <c r="K75" s="58"/>
      <c r="L75" s="58"/>
      <c r="M75" s="58"/>
    </row>
    <row r="76" ht="12.75" customHeight="1">
      <c r="C76" s="128"/>
      <c r="D76" s="58"/>
      <c r="E76" s="58"/>
      <c r="F76" s="58"/>
      <c r="G76" s="58"/>
      <c r="H76" s="58"/>
      <c r="I76" s="58"/>
      <c r="J76" s="58"/>
      <c r="K76" s="58"/>
      <c r="L76" s="58"/>
      <c r="M76" s="58"/>
    </row>
    <row r="77" ht="12.75" customHeight="1">
      <c r="C77" s="128"/>
      <c r="D77" s="58"/>
      <c r="E77" s="58"/>
      <c r="F77" s="58"/>
      <c r="G77" s="58"/>
      <c r="H77" s="58"/>
      <c r="I77" s="58"/>
      <c r="J77" s="58"/>
      <c r="K77" s="58"/>
      <c r="L77" s="58"/>
      <c r="M77" s="58"/>
    </row>
    <row r="78" ht="12.75" customHeight="1">
      <c r="C78" s="128"/>
      <c r="D78" s="58"/>
      <c r="E78" s="58"/>
      <c r="F78" s="58"/>
      <c r="G78" s="58"/>
      <c r="H78" s="58"/>
      <c r="I78" s="58"/>
      <c r="J78" s="58"/>
      <c r="K78" s="58"/>
      <c r="L78" s="58"/>
      <c r="M78" s="58"/>
    </row>
    <row r="79" ht="12.75" customHeight="1">
      <c r="C79" s="128"/>
      <c r="D79" s="58"/>
      <c r="E79" s="58"/>
      <c r="F79" s="58"/>
      <c r="G79" s="58"/>
      <c r="H79" s="58"/>
      <c r="I79" s="58"/>
      <c r="J79" s="58"/>
      <c r="K79" s="58"/>
      <c r="L79" s="58"/>
      <c r="M79" s="58"/>
    </row>
    <row r="80" ht="12.75" customHeight="1">
      <c r="C80" s="128"/>
      <c r="D80" s="58"/>
      <c r="E80" s="58"/>
      <c r="F80" s="58"/>
      <c r="G80" s="58"/>
      <c r="H80" s="58"/>
      <c r="I80" s="58"/>
      <c r="J80" s="58"/>
      <c r="K80" s="58"/>
      <c r="L80" s="58"/>
      <c r="M80" s="58"/>
    </row>
    <row r="81" ht="12.75" customHeight="1">
      <c r="C81" s="128"/>
      <c r="D81" s="58"/>
      <c r="E81" s="58"/>
      <c r="F81" s="58"/>
      <c r="G81" s="58"/>
      <c r="H81" s="58"/>
      <c r="I81" s="58"/>
      <c r="J81" s="58"/>
      <c r="K81" s="58"/>
      <c r="L81" s="58"/>
      <c r="M81" s="58"/>
    </row>
    <row r="82" ht="12.75" customHeight="1">
      <c r="C82" s="128"/>
      <c r="D82" s="58"/>
      <c r="E82" s="58"/>
      <c r="F82" s="58"/>
      <c r="G82" s="58"/>
      <c r="H82" s="58"/>
      <c r="I82" s="58"/>
      <c r="J82" s="58"/>
      <c r="K82" s="58"/>
      <c r="L82" s="58"/>
      <c r="M82" s="58"/>
    </row>
    <row r="83" ht="12.75" customHeight="1">
      <c r="C83" s="128"/>
      <c r="D83" s="58"/>
      <c r="E83" s="58"/>
      <c r="F83" s="58"/>
      <c r="G83" s="58"/>
      <c r="H83" s="58"/>
      <c r="I83" s="58"/>
      <c r="J83" s="58"/>
      <c r="K83" s="58"/>
      <c r="L83" s="58"/>
      <c r="M83" s="58"/>
    </row>
    <row r="84" ht="12.75" customHeight="1">
      <c r="C84" s="128"/>
      <c r="D84" s="58"/>
      <c r="E84" s="58"/>
      <c r="F84" s="58"/>
      <c r="G84" s="58"/>
      <c r="H84" s="58"/>
      <c r="I84" s="58"/>
      <c r="J84" s="58"/>
      <c r="K84" s="58"/>
      <c r="L84" s="58"/>
      <c r="M84" s="58"/>
    </row>
    <row r="85" ht="12.75" customHeight="1">
      <c r="C85" s="128"/>
      <c r="D85" s="58"/>
      <c r="E85" s="58"/>
      <c r="F85" s="58"/>
      <c r="G85" s="58"/>
      <c r="H85" s="58"/>
      <c r="I85" s="58"/>
      <c r="J85" s="58"/>
      <c r="K85" s="58"/>
      <c r="L85" s="58"/>
      <c r="M85" s="58"/>
    </row>
    <row r="86" ht="12.75" customHeight="1">
      <c r="C86" s="128"/>
      <c r="D86" s="58"/>
      <c r="E86" s="58"/>
      <c r="F86" s="58"/>
      <c r="G86" s="58"/>
      <c r="H86" s="58"/>
      <c r="I86" s="58"/>
      <c r="J86" s="58"/>
      <c r="K86" s="58"/>
      <c r="L86" s="58"/>
      <c r="M86" s="58"/>
    </row>
    <row r="87" ht="12.75" customHeight="1">
      <c r="C87" s="128"/>
      <c r="D87" s="58"/>
      <c r="E87" s="58"/>
      <c r="F87" s="58"/>
      <c r="G87" s="58"/>
      <c r="H87" s="58"/>
      <c r="I87" s="58"/>
      <c r="J87" s="58"/>
      <c r="K87" s="58"/>
      <c r="L87" s="58"/>
      <c r="M87" s="58"/>
    </row>
    <row r="88" ht="12.75" customHeight="1">
      <c r="C88" s="128"/>
      <c r="D88" s="58"/>
      <c r="E88" s="58"/>
      <c r="F88" s="58"/>
      <c r="G88" s="58"/>
      <c r="H88" s="58"/>
      <c r="I88" s="58"/>
      <c r="J88" s="58"/>
      <c r="K88" s="58"/>
      <c r="L88" s="58"/>
      <c r="M88" s="58"/>
    </row>
    <row r="89" ht="12.75" customHeight="1">
      <c r="C89" s="128"/>
      <c r="D89" s="58"/>
      <c r="E89" s="58"/>
      <c r="F89" s="58"/>
      <c r="G89" s="58"/>
      <c r="H89" s="58"/>
      <c r="I89" s="58"/>
      <c r="J89" s="58"/>
      <c r="K89" s="58"/>
      <c r="L89" s="58"/>
      <c r="M89" s="58"/>
    </row>
    <row r="90" ht="12.75" customHeight="1">
      <c r="C90" s="128"/>
      <c r="D90" s="58"/>
      <c r="E90" s="58"/>
      <c r="F90" s="58"/>
      <c r="G90" s="58"/>
      <c r="H90" s="58"/>
      <c r="I90" s="58"/>
      <c r="J90" s="58"/>
      <c r="K90" s="58"/>
      <c r="L90" s="58"/>
      <c r="M90" s="58"/>
    </row>
    <row r="91" ht="12.75" customHeight="1">
      <c r="C91" s="128"/>
      <c r="D91" s="58"/>
      <c r="E91" s="58"/>
      <c r="F91" s="58"/>
      <c r="G91" s="58"/>
      <c r="H91" s="58"/>
      <c r="I91" s="58"/>
      <c r="J91" s="58"/>
      <c r="K91" s="58"/>
      <c r="L91" s="58"/>
      <c r="M91" s="58"/>
    </row>
    <row r="92" ht="12.75" customHeight="1">
      <c r="C92" s="128"/>
      <c r="D92" s="58"/>
      <c r="E92" s="58"/>
      <c r="F92" s="58"/>
      <c r="G92" s="58"/>
      <c r="H92" s="58"/>
      <c r="I92" s="58"/>
      <c r="J92" s="58"/>
      <c r="K92" s="58"/>
      <c r="L92" s="58"/>
      <c r="M92" s="58"/>
    </row>
    <row r="93" ht="12.75" customHeight="1">
      <c r="C93" s="128"/>
      <c r="D93" s="58"/>
      <c r="E93" s="58"/>
      <c r="F93" s="58"/>
      <c r="G93" s="58"/>
      <c r="H93" s="58"/>
      <c r="I93" s="58"/>
      <c r="J93" s="58"/>
      <c r="K93" s="58"/>
      <c r="L93" s="58"/>
      <c r="M93" s="58"/>
    </row>
    <row r="94" ht="12.75" customHeight="1">
      <c r="C94" s="128"/>
      <c r="D94" s="58"/>
      <c r="E94" s="58"/>
      <c r="F94" s="58"/>
      <c r="G94" s="58"/>
      <c r="H94" s="58"/>
      <c r="I94" s="58"/>
      <c r="J94" s="58"/>
      <c r="K94" s="58"/>
      <c r="L94" s="58"/>
      <c r="M94" s="58"/>
    </row>
    <row r="95" ht="12.75" customHeight="1">
      <c r="C95" s="128"/>
      <c r="D95" s="58"/>
      <c r="E95" s="58"/>
      <c r="F95" s="58"/>
      <c r="G95" s="58"/>
      <c r="H95" s="58"/>
      <c r="I95" s="58"/>
      <c r="J95" s="58"/>
      <c r="K95" s="58"/>
      <c r="L95" s="58"/>
      <c r="M95" s="58"/>
    </row>
    <row r="96" ht="12.75" customHeight="1">
      <c r="C96" s="128"/>
      <c r="D96" s="58"/>
      <c r="E96" s="58"/>
      <c r="F96" s="58"/>
      <c r="G96" s="58"/>
      <c r="H96" s="58"/>
      <c r="I96" s="58"/>
      <c r="J96" s="58"/>
      <c r="K96" s="58"/>
      <c r="L96" s="58"/>
      <c r="M96" s="58"/>
    </row>
    <row r="97" ht="12.75" customHeight="1">
      <c r="C97" s="128"/>
      <c r="D97" s="58"/>
      <c r="E97" s="58"/>
      <c r="F97" s="58"/>
      <c r="G97" s="58"/>
      <c r="H97" s="58"/>
      <c r="I97" s="58"/>
      <c r="J97" s="58"/>
      <c r="K97" s="58"/>
      <c r="L97" s="58"/>
      <c r="M97" s="58"/>
    </row>
    <row r="98" ht="12.75" customHeight="1">
      <c r="C98" s="128"/>
      <c r="D98" s="58"/>
      <c r="E98" s="58"/>
      <c r="F98" s="58"/>
      <c r="G98" s="58"/>
      <c r="H98" s="58"/>
      <c r="I98" s="58"/>
      <c r="J98" s="58"/>
      <c r="K98" s="58"/>
      <c r="L98" s="58"/>
      <c r="M98" s="58"/>
    </row>
    <row r="99" ht="12.75" customHeight="1">
      <c r="C99" s="128"/>
      <c r="D99" s="58"/>
      <c r="E99" s="58"/>
      <c r="F99" s="58"/>
      <c r="G99" s="58"/>
      <c r="H99" s="58"/>
      <c r="I99" s="58"/>
      <c r="J99" s="58"/>
      <c r="K99" s="58"/>
      <c r="L99" s="58"/>
      <c r="M99" s="58"/>
    </row>
    <row r="100" ht="12.75" customHeight="1">
      <c r="C100" s="128"/>
      <c r="D100" s="58"/>
      <c r="E100" s="58"/>
      <c r="F100" s="58"/>
      <c r="G100" s="58"/>
      <c r="H100" s="58"/>
      <c r="I100" s="58"/>
      <c r="J100" s="58"/>
      <c r="K100" s="58"/>
      <c r="L100" s="58"/>
      <c r="M100" s="58"/>
    </row>
    <row r="101" ht="12.75" customHeight="1">
      <c r="C101" s="128"/>
      <c r="D101" s="58"/>
      <c r="E101" s="58"/>
      <c r="F101" s="58"/>
      <c r="G101" s="58"/>
      <c r="H101" s="58"/>
      <c r="I101" s="58"/>
      <c r="J101" s="58"/>
      <c r="K101" s="58"/>
      <c r="L101" s="58"/>
      <c r="M101" s="58"/>
    </row>
    <row r="102" ht="12.75" customHeight="1">
      <c r="C102" s="128"/>
      <c r="D102" s="58"/>
      <c r="E102" s="58"/>
      <c r="F102" s="58"/>
      <c r="G102" s="58"/>
      <c r="H102" s="58"/>
      <c r="I102" s="58"/>
      <c r="J102" s="58"/>
      <c r="K102" s="58"/>
      <c r="L102" s="58"/>
      <c r="M102" s="58"/>
    </row>
    <row r="103" ht="12.75" customHeight="1">
      <c r="C103" s="128"/>
      <c r="D103" s="58"/>
      <c r="E103" s="58"/>
      <c r="F103" s="58"/>
      <c r="G103" s="58"/>
      <c r="H103" s="58"/>
      <c r="I103" s="58"/>
      <c r="J103" s="58"/>
      <c r="K103" s="58"/>
      <c r="L103" s="58"/>
      <c r="M103" s="58"/>
    </row>
    <row r="104" ht="12.75" customHeight="1">
      <c r="C104" s="128"/>
      <c r="D104" s="58"/>
      <c r="E104" s="58"/>
      <c r="F104" s="58"/>
      <c r="G104" s="58"/>
      <c r="H104" s="58"/>
      <c r="I104" s="58"/>
      <c r="J104" s="58"/>
      <c r="K104" s="58"/>
      <c r="L104" s="58"/>
      <c r="M104" s="58"/>
    </row>
    <row r="105" ht="12.75" customHeight="1">
      <c r="C105" s="128"/>
      <c r="D105" s="58"/>
      <c r="E105" s="58"/>
      <c r="F105" s="58"/>
      <c r="G105" s="58"/>
      <c r="H105" s="58"/>
      <c r="I105" s="58"/>
      <c r="J105" s="58"/>
      <c r="K105" s="58"/>
      <c r="L105" s="58"/>
      <c r="M105" s="58"/>
    </row>
    <row r="106" ht="12.75" customHeight="1">
      <c r="C106" s="128"/>
      <c r="D106" s="58"/>
      <c r="E106" s="58"/>
      <c r="F106" s="58"/>
      <c r="G106" s="58"/>
      <c r="H106" s="58"/>
      <c r="I106" s="58"/>
      <c r="J106" s="58"/>
      <c r="K106" s="58"/>
      <c r="L106" s="58"/>
      <c r="M106" s="58"/>
    </row>
    <row r="107" ht="12.75" customHeight="1">
      <c r="C107" s="128"/>
      <c r="D107" s="58"/>
      <c r="E107" s="58"/>
      <c r="F107" s="58"/>
      <c r="G107" s="58"/>
      <c r="H107" s="58"/>
      <c r="I107" s="58"/>
      <c r="J107" s="58"/>
      <c r="K107" s="58"/>
      <c r="L107" s="58"/>
      <c r="M107" s="58"/>
    </row>
    <row r="108" ht="12.75" customHeight="1">
      <c r="C108" s="128"/>
      <c r="D108" s="58"/>
      <c r="E108" s="58"/>
      <c r="F108" s="58"/>
      <c r="G108" s="58"/>
      <c r="H108" s="58"/>
      <c r="I108" s="58"/>
      <c r="J108" s="58"/>
      <c r="K108" s="58"/>
      <c r="L108" s="58"/>
      <c r="M108" s="58"/>
    </row>
    <row r="109" ht="12.75" customHeight="1">
      <c r="C109" s="128"/>
      <c r="D109" s="58"/>
      <c r="E109" s="58"/>
      <c r="F109" s="58"/>
      <c r="G109" s="58"/>
      <c r="H109" s="58"/>
      <c r="I109" s="58"/>
      <c r="J109" s="58"/>
      <c r="K109" s="58"/>
      <c r="L109" s="58"/>
      <c r="M109" s="58"/>
    </row>
    <row r="110" ht="12.75" customHeight="1">
      <c r="C110" s="128"/>
      <c r="D110" s="58"/>
      <c r="E110" s="58"/>
      <c r="F110" s="58"/>
      <c r="G110" s="58"/>
      <c r="H110" s="58"/>
      <c r="I110" s="58"/>
      <c r="J110" s="58"/>
      <c r="K110" s="58"/>
      <c r="L110" s="58"/>
      <c r="M110" s="58"/>
    </row>
    <row r="111" ht="12.75" customHeight="1">
      <c r="C111" s="128"/>
      <c r="D111" s="58"/>
      <c r="E111" s="58"/>
      <c r="F111" s="58"/>
      <c r="G111" s="58"/>
      <c r="H111" s="58"/>
      <c r="I111" s="58"/>
      <c r="J111" s="58"/>
      <c r="K111" s="58"/>
      <c r="L111" s="58"/>
      <c r="M111" s="58"/>
    </row>
    <row r="112" ht="12.75" customHeight="1">
      <c r="C112" s="128"/>
      <c r="D112" s="58"/>
      <c r="E112" s="58"/>
      <c r="F112" s="58"/>
      <c r="G112" s="58"/>
      <c r="H112" s="58"/>
      <c r="I112" s="58"/>
      <c r="J112" s="58"/>
      <c r="K112" s="58"/>
      <c r="L112" s="58"/>
      <c r="M112" s="58"/>
    </row>
    <row r="113" ht="12.75" customHeight="1">
      <c r="C113" s="128"/>
      <c r="D113" s="58"/>
      <c r="E113" s="58"/>
      <c r="F113" s="58"/>
      <c r="G113" s="58"/>
      <c r="H113" s="58"/>
      <c r="I113" s="58"/>
      <c r="J113" s="58"/>
      <c r="K113" s="58"/>
      <c r="L113" s="58"/>
      <c r="M113" s="58"/>
    </row>
    <row r="114" ht="12.75" customHeight="1">
      <c r="C114" s="128"/>
      <c r="D114" s="58"/>
      <c r="E114" s="58"/>
      <c r="F114" s="58"/>
      <c r="G114" s="58"/>
      <c r="H114" s="58"/>
      <c r="I114" s="58"/>
      <c r="J114" s="58"/>
      <c r="K114" s="58"/>
      <c r="L114" s="58"/>
      <c r="M114" s="58"/>
    </row>
    <row r="115" ht="12.75" customHeight="1">
      <c r="C115" s="128"/>
      <c r="D115" s="58"/>
      <c r="E115" s="58"/>
      <c r="F115" s="58"/>
      <c r="G115" s="58"/>
      <c r="H115" s="58"/>
      <c r="I115" s="58"/>
      <c r="J115" s="58"/>
      <c r="K115" s="58"/>
      <c r="L115" s="58"/>
      <c r="M115" s="58"/>
    </row>
    <row r="116" ht="12.75" customHeight="1">
      <c r="C116" s="128"/>
      <c r="D116" s="58"/>
      <c r="E116" s="58"/>
      <c r="F116" s="58"/>
      <c r="G116" s="58"/>
      <c r="H116" s="58"/>
      <c r="I116" s="58"/>
      <c r="J116" s="58"/>
      <c r="K116" s="58"/>
      <c r="L116" s="58"/>
      <c r="M116" s="58"/>
    </row>
    <row r="117" ht="12.75" customHeight="1">
      <c r="C117" s="128"/>
      <c r="D117" s="58"/>
      <c r="E117" s="58"/>
      <c r="F117" s="58"/>
      <c r="G117" s="58"/>
      <c r="H117" s="58"/>
      <c r="I117" s="58"/>
      <c r="J117" s="58"/>
      <c r="K117" s="58"/>
      <c r="L117" s="58"/>
      <c r="M117" s="58"/>
    </row>
    <row r="118" ht="12.75" customHeight="1">
      <c r="C118" s="128"/>
      <c r="D118" s="58"/>
      <c r="E118" s="58"/>
      <c r="F118" s="58"/>
      <c r="G118" s="58"/>
      <c r="H118" s="58"/>
      <c r="I118" s="58"/>
      <c r="J118" s="58"/>
      <c r="K118" s="58"/>
      <c r="L118" s="58"/>
      <c r="M118" s="58"/>
    </row>
    <row r="119" ht="12.75" customHeight="1">
      <c r="C119" s="128"/>
      <c r="D119" s="58"/>
      <c r="E119" s="58"/>
      <c r="F119" s="58"/>
      <c r="G119" s="58"/>
      <c r="H119" s="58"/>
      <c r="I119" s="58"/>
      <c r="J119" s="58"/>
      <c r="K119" s="58"/>
      <c r="L119" s="58"/>
      <c r="M119" s="58"/>
    </row>
    <row r="120" ht="12.75" customHeight="1">
      <c r="C120" s="128"/>
      <c r="D120" s="58"/>
      <c r="E120" s="58"/>
      <c r="F120" s="58"/>
      <c r="G120" s="58"/>
      <c r="H120" s="58"/>
      <c r="I120" s="58"/>
      <c r="J120" s="58"/>
      <c r="K120" s="58"/>
      <c r="L120" s="58"/>
      <c r="M120" s="58"/>
    </row>
    <row r="121" ht="12.75" customHeight="1">
      <c r="C121" s="128"/>
      <c r="D121" s="58"/>
      <c r="E121" s="58"/>
      <c r="F121" s="58"/>
      <c r="G121" s="58"/>
      <c r="H121" s="58"/>
      <c r="I121" s="58"/>
      <c r="J121" s="58"/>
      <c r="K121" s="58"/>
      <c r="L121" s="58"/>
      <c r="M121" s="58"/>
    </row>
    <row r="122" ht="12.75" customHeight="1">
      <c r="C122" s="128"/>
      <c r="D122" s="58"/>
      <c r="E122" s="58"/>
      <c r="F122" s="58"/>
      <c r="G122" s="58"/>
      <c r="H122" s="58"/>
      <c r="I122" s="58"/>
      <c r="J122" s="58"/>
      <c r="K122" s="58"/>
      <c r="L122" s="58"/>
      <c r="M122" s="58"/>
    </row>
    <row r="123" ht="12.75" customHeight="1">
      <c r="D123" s="58"/>
      <c r="E123" s="58"/>
      <c r="F123" s="58"/>
      <c r="G123" s="58"/>
      <c r="H123" s="58"/>
      <c r="I123" s="58"/>
      <c r="J123" s="58"/>
      <c r="K123" s="58"/>
      <c r="L123" s="58"/>
      <c r="M123" s="58"/>
    </row>
    <row r="124" ht="12.75" customHeight="1">
      <c r="D124" s="58"/>
      <c r="E124" s="58"/>
      <c r="F124" s="58"/>
      <c r="G124" s="58"/>
      <c r="H124" s="58"/>
      <c r="I124" s="58"/>
      <c r="J124" s="58"/>
      <c r="K124" s="58"/>
      <c r="L124" s="58"/>
      <c r="M124" s="58"/>
    </row>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4.13"/>
    <col customWidth="1" min="2" max="2" width="13.0"/>
    <col customWidth="1" min="3" max="15" width="10.63"/>
    <col customWidth="1" min="16" max="20" width="10.38"/>
    <col customWidth="1" min="21" max="35" width="8.0"/>
  </cols>
  <sheetData>
    <row r="1" ht="12.75" customHeight="1"/>
    <row r="2" ht="15.0" customHeight="1">
      <c r="A2" s="115" t="s">
        <v>124</v>
      </c>
    </row>
    <row r="3" ht="12.75" customHeight="1"/>
    <row r="4" ht="12.75" customHeight="1">
      <c r="A4" s="118" t="s">
        <v>105</v>
      </c>
      <c r="C4" s="142" t="s">
        <v>125</v>
      </c>
      <c r="D4" s="143" t="s">
        <v>126</v>
      </c>
      <c r="E4" s="144" t="s">
        <v>127</v>
      </c>
      <c r="F4" s="121">
        <v>2016.0</v>
      </c>
      <c r="G4" s="121">
        <f t="shared" ref="G4:O4" si="1">F4+1</f>
        <v>2017</v>
      </c>
      <c r="H4" s="121">
        <f t="shared" si="1"/>
        <v>2018</v>
      </c>
      <c r="I4" s="121">
        <f t="shared" si="1"/>
        <v>2019</v>
      </c>
      <c r="J4" s="121">
        <f t="shared" si="1"/>
        <v>2020</v>
      </c>
      <c r="K4" s="121">
        <f t="shared" si="1"/>
        <v>2021</v>
      </c>
      <c r="L4" s="121">
        <f t="shared" si="1"/>
        <v>2022</v>
      </c>
      <c r="M4" s="121">
        <f t="shared" si="1"/>
        <v>2023</v>
      </c>
      <c r="N4" s="121">
        <f t="shared" si="1"/>
        <v>2024</v>
      </c>
      <c r="O4" s="121">
        <f t="shared" si="1"/>
        <v>2025</v>
      </c>
    </row>
    <row r="5" ht="12.75" customHeight="1">
      <c r="A5" s="118" t="s">
        <v>106</v>
      </c>
      <c r="E5" s="144">
        <f>F5-1</f>
        <v>0</v>
      </c>
      <c r="F5" s="124">
        <v>1.0</v>
      </c>
      <c r="G5" s="124">
        <f t="shared" ref="G5:O5" si="2">F5+1</f>
        <v>2</v>
      </c>
      <c r="H5" s="124">
        <f t="shared" si="2"/>
        <v>3</v>
      </c>
      <c r="I5" s="124">
        <f t="shared" si="2"/>
        <v>4</v>
      </c>
      <c r="J5" s="124">
        <f t="shared" si="2"/>
        <v>5</v>
      </c>
      <c r="K5" s="124">
        <f t="shared" si="2"/>
        <v>6</v>
      </c>
      <c r="L5" s="124">
        <f t="shared" si="2"/>
        <v>7</v>
      </c>
      <c r="M5" s="124">
        <f t="shared" si="2"/>
        <v>8</v>
      </c>
      <c r="N5" s="124">
        <f t="shared" si="2"/>
        <v>9</v>
      </c>
      <c r="O5" s="124">
        <f t="shared" si="2"/>
        <v>10</v>
      </c>
      <c r="P5" s="125"/>
      <c r="Q5" s="125"/>
      <c r="R5" s="125"/>
      <c r="S5" s="125"/>
      <c r="T5" s="125"/>
      <c r="U5" s="125"/>
      <c r="V5" s="125"/>
      <c r="W5" s="125"/>
      <c r="X5" s="125"/>
      <c r="Y5" s="125"/>
      <c r="Z5" s="125"/>
      <c r="AA5" s="125"/>
      <c r="AB5" s="125"/>
      <c r="AC5" s="125"/>
      <c r="AD5" s="125"/>
      <c r="AE5" s="125"/>
      <c r="AF5" s="125"/>
      <c r="AG5" s="125"/>
      <c r="AH5" s="125"/>
      <c r="AI5" s="125"/>
    </row>
    <row r="6" ht="12.75" customHeight="1">
      <c r="A6" s="118"/>
      <c r="F6" s="129"/>
      <c r="G6" s="129"/>
      <c r="H6" s="129"/>
      <c r="I6" s="129"/>
      <c r="J6" s="129"/>
      <c r="K6" s="129"/>
      <c r="L6" s="129"/>
      <c r="M6" s="129"/>
      <c r="N6" s="129"/>
      <c r="O6" s="129"/>
      <c r="P6" s="125"/>
      <c r="Q6" s="125"/>
      <c r="R6" s="125"/>
      <c r="S6" s="125"/>
      <c r="T6" s="125"/>
      <c r="U6" s="125"/>
      <c r="V6" s="125"/>
      <c r="W6" s="125"/>
      <c r="X6" s="125"/>
      <c r="Y6" s="125"/>
      <c r="Z6" s="125"/>
      <c r="AA6" s="125"/>
      <c r="AB6" s="125"/>
      <c r="AC6" s="125"/>
      <c r="AD6" s="125"/>
      <c r="AE6" s="125"/>
      <c r="AF6" s="125"/>
      <c r="AG6" s="125"/>
      <c r="AH6" s="125"/>
      <c r="AI6" s="125"/>
    </row>
    <row r="7" ht="12.75" customHeight="1">
      <c r="A7" s="139" t="s">
        <v>128</v>
      </c>
      <c r="E7" s="4"/>
      <c r="F7" s="145"/>
      <c r="G7" s="145"/>
      <c r="H7" s="145"/>
      <c r="I7" s="145"/>
      <c r="J7" s="145"/>
      <c r="K7" s="145"/>
      <c r="L7" s="145"/>
      <c r="M7" s="145"/>
      <c r="N7" s="145"/>
      <c r="O7" s="145"/>
      <c r="P7" s="125"/>
      <c r="Q7" s="125"/>
      <c r="R7" s="125"/>
      <c r="S7" s="125"/>
      <c r="T7" s="125"/>
      <c r="U7" s="125"/>
      <c r="V7" s="125"/>
      <c r="W7" s="125"/>
      <c r="X7" s="125"/>
      <c r="Y7" s="125"/>
      <c r="Z7" s="125"/>
      <c r="AA7" s="125"/>
      <c r="AB7" s="125"/>
      <c r="AC7" s="125"/>
      <c r="AD7" s="125"/>
      <c r="AE7" s="125"/>
      <c r="AF7" s="125"/>
      <c r="AG7" s="125"/>
      <c r="AH7" s="125"/>
      <c r="AI7" s="125"/>
    </row>
    <row r="8" ht="12.75" customHeight="1">
      <c r="C8" s="128"/>
      <c r="D8" s="128"/>
      <c r="E8" s="58"/>
      <c r="F8" s="58"/>
      <c r="G8" s="58"/>
      <c r="H8" s="58"/>
      <c r="I8" s="58"/>
      <c r="J8" s="58"/>
      <c r="K8" s="58"/>
      <c r="L8" s="58"/>
      <c r="M8" s="58"/>
      <c r="N8" s="58"/>
      <c r="O8" s="58"/>
    </row>
    <row r="9" ht="12.75" customHeight="1">
      <c r="A9" s="118" t="s">
        <v>129</v>
      </c>
      <c r="C9" s="128"/>
      <c r="D9" s="128"/>
      <c r="E9" s="58"/>
      <c r="F9" s="58"/>
      <c r="G9" s="58"/>
      <c r="H9" s="58"/>
      <c r="I9" s="58"/>
      <c r="J9" s="58"/>
      <c r="K9" s="58"/>
      <c r="L9" s="58"/>
      <c r="M9" s="58"/>
      <c r="N9" s="58"/>
      <c r="O9" s="58"/>
    </row>
    <row r="10" ht="12.75" customHeight="1">
      <c r="A10" s="137" t="s">
        <v>130</v>
      </c>
      <c r="C10" s="141">
        <v>55000.0</v>
      </c>
      <c r="D10" s="58">
        <f>Input!C18-Input!C24</f>
        <v>22500</v>
      </c>
      <c r="E10" s="58">
        <f t="shared" ref="E10:E14" si="3">SUM(C10:D10)</f>
        <v>77500</v>
      </c>
      <c r="F10" s="58" t="str">
        <f>Cash_Flow!D110</f>
        <v>#REF!</v>
      </c>
      <c r="G10" s="58" t="str">
        <f>Cash_Flow!E110</f>
        <v>#REF!</v>
      </c>
      <c r="H10" s="58" t="str">
        <f>Cash_Flow!F110</f>
        <v>#REF!</v>
      </c>
      <c r="I10" s="58" t="str">
        <f>Cash_Flow!G110</f>
        <v>#REF!</v>
      </c>
      <c r="J10" s="58" t="str">
        <f>Cash_Flow!H110</f>
        <v>#REF!</v>
      </c>
      <c r="K10" s="58" t="str">
        <f>Cash_Flow!I110</f>
        <v>#REF!</v>
      </c>
      <c r="L10" s="58" t="str">
        <f>Cash_Flow!J110</f>
        <v>#REF!</v>
      </c>
      <c r="M10" s="58" t="str">
        <f>Cash_Flow!K110</f>
        <v>#REF!</v>
      </c>
      <c r="N10" s="58" t="str">
        <f>Cash_Flow!L110</f>
        <v>#REF!</v>
      </c>
      <c r="O10" s="58" t="str">
        <f>Cash_Flow!M110</f>
        <v>#REF!</v>
      </c>
    </row>
    <row r="11" ht="12.75" customHeight="1">
      <c r="A11" s="137" t="s">
        <v>35</v>
      </c>
      <c r="C11" s="141">
        <v>85000.0</v>
      </c>
      <c r="D11" s="58"/>
      <c r="E11" s="58">
        <f t="shared" si="3"/>
        <v>85000</v>
      </c>
      <c r="F11" s="58">
        <f>Inc_St!D8*acc_recv*(1+acc_recv_ann_incr)^(F5-1)</f>
        <v>198000</v>
      </c>
      <c r="G11" s="58">
        <f>Inc_St!E8*acc_recv*(1+acc_recv_ann_incr)^(G5-1)</f>
        <v>228690</v>
      </c>
      <c r="H11" s="58">
        <f>Inc_St!F8*acc_recv*(1+acc_recv_ann_incr)^(H5-1)</f>
        <v>264136.95</v>
      </c>
      <c r="I11" s="58">
        <f>Inc_St!G8*acc_recv*(1+acc_recv_ann_incr)^(I5-1)</f>
        <v>305078.1773</v>
      </c>
      <c r="J11" s="58">
        <f>Inc_St!H8*acc_recv*(1+acc_recv_ann_incr)^(J5-1)</f>
        <v>352365.2947</v>
      </c>
      <c r="K11" s="58">
        <f>Inc_St!I8*acc_recv*(1+acc_recv_ann_incr)^(K5-1)</f>
        <v>406981.9154</v>
      </c>
      <c r="L11" s="58">
        <f>Inc_St!J8*acc_recv*(1+acc_recv_ann_incr)^(L5-1)</f>
        <v>470064.1123</v>
      </c>
      <c r="M11" s="58">
        <f>Inc_St!K8*acc_recv*(1+acc_recv_ann_incr)^(M5-1)</f>
        <v>542924.0497</v>
      </c>
      <c r="N11" s="58">
        <f>Inc_St!L8*acc_recv*(1+acc_recv_ann_incr)^(N5-1)</f>
        <v>627077.2774</v>
      </c>
      <c r="O11" s="58">
        <f>Inc_St!M8*acc_recv*(1+acc_recv_ann_incr)^(O5-1)</f>
        <v>724274.2554</v>
      </c>
    </row>
    <row r="12" ht="12.75" customHeight="1">
      <c r="A12" s="137" t="s">
        <v>38</v>
      </c>
      <c r="C12" s="141">
        <v>95999.0</v>
      </c>
      <c r="D12" s="58"/>
      <c r="E12" s="58">
        <f t="shared" si="3"/>
        <v>95999</v>
      </c>
      <c r="F12" s="58">
        <f>Inc_St!D10*inventories*(1+inventories_ann_incr)^(F5-1)</f>
        <v>99000</v>
      </c>
      <c r="G12" s="58">
        <f>Inc_St!E10*inventories*(1+inventories_ann_incr)^(G5-1)</f>
        <v>113539.14</v>
      </c>
      <c r="H12" s="58">
        <f>Inc_St!F10*inventories*(1+inventories_ann_incr)^(H5-1)</f>
        <v>130213.4981</v>
      </c>
      <c r="I12" s="58">
        <f>Inc_St!G10*inventories*(1+inventories_ann_incr)^(I5-1)</f>
        <v>149336.6524</v>
      </c>
      <c r="J12" s="58">
        <f>Inc_St!H10*inventories*(1+inventories_ann_incr)^(J5-1)</f>
        <v>171268.2332</v>
      </c>
      <c r="K12" s="58">
        <f>Inc_St!I10*inventories*(1+inventories_ann_incr)^(K5-1)</f>
        <v>196420.6859</v>
      </c>
      <c r="L12" s="58">
        <f>Inc_St!J10*inventories*(1+inventories_ann_incr)^(L5-1)</f>
        <v>225267.0279</v>
      </c>
      <c r="M12" s="58">
        <f>Inc_St!K10*inventories*(1+inventories_ann_incr)^(M5-1)</f>
        <v>258349.7436</v>
      </c>
      <c r="N12" s="58">
        <f>Inc_St!L10*inventories*(1+inventories_ann_incr)^(N5-1)</f>
        <v>296290.9869</v>
      </c>
      <c r="O12" s="58">
        <f>Inc_St!M10*inventories*(1+inventories_ann_incr)^(O5-1)</f>
        <v>339804.2813</v>
      </c>
    </row>
    <row r="13" ht="12.75" customHeight="1">
      <c r="A13" s="137" t="s">
        <v>41</v>
      </c>
      <c r="C13" s="141">
        <v>22000.0</v>
      </c>
      <c r="D13" s="58"/>
      <c r="E13" s="58">
        <f t="shared" si="3"/>
        <v>22000</v>
      </c>
      <c r="F13" s="58">
        <f>Inc_St!D8*prepaids*(1+prepaids_ann_incr)^(F5-1)</f>
        <v>49500</v>
      </c>
      <c r="G13" s="58">
        <f>Inc_St!E8*prepaids*(1+prepaids_ann_incr)^(G5-1)</f>
        <v>55539</v>
      </c>
      <c r="H13" s="58">
        <f>Inc_St!F8*prepaids*(1+prepaids_ann_incr)^(H5-1)</f>
        <v>62314.758</v>
      </c>
      <c r="I13" s="58">
        <f>Inc_St!G8*prepaids*(1+prepaids_ann_incr)^(I5-1)</f>
        <v>69917.15848</v>
      </c>
      <c r="J13" s="58">
        <f>Inc_St!H8*prepaids*(1+prepaids_ann_incr)^(J5-1)</f>
        <v>78447.05181</v>
      </c>
      <c r="K13" s="58">
        <f>Inc_St!I8*prepaids*(1+prepaids_ann_incr)^(K5-1)</f>
        <v>88017.59213</v>
      </c>
      <c r="L13" s="58">
        <f>Inc_St!J8*prepaids*(1+prepaids_ann_incr)^(L5-1)</f>
        <v>98755.73837</v>
      </c>
      <c r="M13" s="58">
        <f>Inc_St!K8*prepaids*(1+prepaids_ann_incr)^(M5-1)</f>
        <v>110803.9385</v>
      </c>
      <c r="N13" s="58">
        <f>Inc_St!L8*prepaids*(1+prepaids_ann_incr)^(N5-1)</f>
        <v>124322.0189</v>
      </c>
      <c r="O13" s="58">
        <f>Inc_St!M8*prepaids*(1+prepaids_ann_incr)^(O5-1)</f>
        <v>139489.3053</v>
      </c>
    </row>
    <row r="14" ht="12.75" customHeight="1">
      <c r="A14" s="137" t="s">
        <v>47</v>
      </c>
      <c r="C14" s="141">
        <v>45000.0</v>
      </c>
      <c r="D14" s="58"/>
      <c r="E14" s="58">
        <f t="shared" si="3"/>
        <v>45000</v>
      </c>
      <c r="F14" s="58">
        <f>Inc_St!D8*other_curr_assets*(1+other_curr_assets_ann_incr)^(F5-1)</f>
        <v>132000</v>
      </c>
      <c r="G14" s="58">
        <f>Inc_St!E8*other_curr_assets*(1+other_curr_assets_ann_incr)^(G5-1)</f>
        <v>148830</v>
      </c>
      <c r="H14" s="58">
        <f>Inc_St!F8*other_curr_assets*(1+other_curr_assets_ann_incr)^(H5-1)</f>
        <v>167805.825</v>
      </c>
      <c r="I14" s="58">
        <f>Inc_St!G8*other_curr_assets*(1+other_curr_assets_ann_incr)^(I5-1)</f>
        <v>189201.0677</v>
      </c>
      <c r="J14" s="58">
        <f>Inc_St!H8*other_curr_assets*(1+other_curr_assets_ann_incr)^(J5-1)</f>
        <v>213324.2038</v>
      </c>
      <c r="K14" s="58">
        <f>Inc_St!I8*other_curr_assets*(1+other_curr_assets_ann_incr)^(K5-1)</f>
        <v>240523.0398</v>
      </c>
      <c r="L14" s="58">
        <f>Inc_St!J8*other_curr_assets*(1+other_curr_assets_ann_incr)^(L5-1)</f>
        <v>271189.7274</v>
      </c>
      <c r="M14" s="58">
        <f>Inc_St!K8*other_curr_assets*(1+other_curr_assets_ann_incr)^(M5-1)</f>
        <v>305766.4176</v>
      </c>
      <c r="N14" s="58">
        <f>Inc_St!L8*other_curr_assets*(1+other_curr_assets_ann_incr)^(N5-1)</f>
        <v>344751.6359</v>
      </c>
      <c r="O14" s="58">
        <f>Inc_St!M8*other_curr_assets*(1+other_curr_assets_ann_incr)^(O5-1)</f>
        <v>388707.4694</v>
      </c>
    </row>
    <row r="15" ht="12.75" customHeight="1">
      <c r="A15" s="118"/>
      <c r="C15" s="58"/>
      <c r="D15" s="58"/>
      <c r="E15" s="58"/>
      <c r="F15" s="58"/>
      <c r="G15" s="58"/>
      <c r="H15" s="58"/>
      <c r="I15" s="58"/>
      <c r="J15" s="58"/>
      <c r="K15" s="58"/>
      <c r="L15" s="58"/>
      <c r="M15" s="58"/>
      <c r="N15" s="58"/>
      <c r="O15" s="58"/>
    </row>
    <row r="16" ht="12.75" customHeight="1">
      <c r="A16" s="118" t="s">
        <v>131</v>
      </c>
      <c r="C16" s="58">
        <f>SUM(C10:C14)</f>
        <v>302999</v>
      </c>
      <c r="D16" s="58"/>
      <c r="E16" s="58">
        <f t="shared" ref="E16:O16" si="4">SUM(E10:E14)</f>
        <v>325499</v>
      </c>
      <c r="F16" s="58" t="str">
        <f t="shared" si="4"/>
        <v>#REF!</v>
      </c>
      <c r="G16" s="58" t="str">
        <f t="shared" si="4"/>
        <v>#REF!</v>
      </c>
      <c r="H16" s="58" t="str">
        <f t="shared" si="4"/>
        <v>#REF!</v>
      </c>
      <c r="I16" s="58" t="str">
        <f t="shared" si="4"/>
        <v>#REF!</v>
      </c>
      <c r="J16" s="58" t="str">
        <f t="shared" si="4"/>
        <v>#REF!</v>
      </c>
      <c r="K16" s="58" t="str">
        <f t="shared" si="4"/>
        <v>#REF!</v>
      </c>
      <c r="L16" s="58" t="str">
        <f t="shared" si="4"/>
        <v>#REF!</v>
      </c>
      <c r="M16" s="58" t="str">
        <f t="shared" si="4"/>
        <v>#REF!</v>
      </c>
      <c r="N16" s="58" t="str">
        <f t="shared" si="4"/>
        <v>#REF!</v>
      </c>
      <c r="O16" s="58" t="str">
        <f t="shared" si="4"/>
        <v>#REF!</v>
      </c>
    </row>
    <row r="17" ht="12.75" customHeight="1">
      <c r="C17" s="58"/>
      <c r="D17" s="58"/>
      <c r="E17" s="58"/>
      <c r="F17" s="58"/>
      <c r="G17" s="58"/>
      <c r="H17" s="58"/>
      <c r="I17" s="58"/>
      <c r="J17" s="58"/>
      <c r="K17" s="58"/>
      <c r="L17" s="58"/>
      <c r="M17" s="58"/>
      <c r="N17" s="58"/>
      <c r="O17" s="58"/>
    </row>
    <row r="18" ht="12.75" customHeight="1">
      <c r="A18" s="118" t="s">
        <v>132</v>
      </c>
      <c r="C18" s="58"/>
      <c r="D18" s="58"/>
      <c r="E18" s="58"/>
      <c r="F18" s="58"/>
      <c r="G18" s="58"/>
      <c r="H18" s="58"/>
      <c r="I18" s="58"/>
      <c r="J18" s="58"/>
      <c r="K18" s="58"/>
      <c r="L18" s="58"/>
      <c r="M18" s="58"/>
      <c r="N18" s="58"/>
      <c r="O18" s="58"/>
    </row>
    <row r="19" ht="12.75" customHeight="1">
      <c r="A19" s="137" t="s">
        <v>133</v>
      </c>
      <c r="C19" s="141">
        <v>20000.0</v>
      </c>
      <c r="D19" s="58">
        <f>-C19+Input!C53</f>
        <v>191478.5</v>
      </c>
      <c r="E19" s="58">
        <f t="shared" ref="E19:E22" si="5">SUM(C19:D19)</f>
        <v>211478.5</v>
      </c>
      <c r="F19" s="58">
        <f>E19-Depr_Amort!F43</f>
        <v>211478.5</v>
      </c>
      <c r="G19" s="58">
        <f>F19-Depr_Amort!G43</f>
        <v>211478.5</v>
      </c>
      <c r="H19" s="58">
        <f>G19-Depr_Amort!H43</f>
        <v>211478.5</v>
      </c>
      <c r="I19" s="58">
        <f>H19-Depr_Amort!I43</f>
        <v>211478.5</v>
      </c>
      <c r="J19" s="58">
        <f>I19-Depr_Amort!J43</f>
        <v>211478.5</v>
      </c>
      <c r="K19" s="58">
        <f>J19-Depr_Amort!K43</f>
        <v>211478.5</v>
      </c>
      <c r="L19" s="58">
        <f>K19-Depr_Amort!L43</f>
        <v>211478.5</v>
      </c>
      <c r="M19" s="58">
        <f>L19-Depr_Amort!M43</f>
        <v>211478.5</v>
      </c>
      <c r="N19" s="58">
        <f>M19-Depr_Amort!N43</f>
        <v>211478.5</v>
      </c>
      <c r="O19" s="58">
        <f>N19-Depr_Amort!O43</f>
        <v>211478.5</v>
      </c>
    </row>
    <row r="20" ht="12.75" customHeight="1">
      <c r="A20" s="137" t="s">
        <v>134</v>
      </c>
      <c r="C20" s="141">
        <v>950.0</v>
      </c>
      <c r="D20" s="58">
        <f>Input!C50</f>
        <v>1200</v>
      </c>
      <c r="E20" s="58">
        <f t="shared" si="5"/>
        <v>2150</v>
      </c>
      <c r="F20" s="58">
        <f>E20-Depr_Amort!F42</f>
        <v>1970.833333</v>
      </c>
      <c r="G20" s="58">
        <f>F20-Depr_Amort!G42</f>
        <v>1791.666667</v>
      </c>
      <c r="H20" s="58">
        <f>G20-Depr_Amort!H42</f>
        <v>1612.5</v>
      </c>
      <c r="I20" s="58">
        <f>H20-Depr_Amort!I42</f>
        <v>1433.333333</v>
      </c>
      <c r="J20" s="58">
        <f>I20-Depr_Amort!J42</f>
        <v>1254.166667</v>
      </c>
      <c r="K20" s="58">
        <f>J20-Depr_Amort!K42</f>
        <v>1075</v>
      </c>
      <c r="L20" s="58">
        <f>K20-Depr_Amort!L42</f>
        <v>895.8333333</v>
      </c>
      <c r="M20" s="58">
        <f>L20-Depr_Amort!M42</f>
        <v>716.6666667</v>
      </c>
      <c r="N20" s="58">
        <f>M20-Depr_Amort!N42</f>
        <v>537.5</v>
      </c>
      <c r="O20" s="58">
        <f>N20-Depr_Amort!O42</f>
        <v>358.3333333</v>
      </c>
    </row>
    <row r="21" ht="12.75" customHeight="1">
      <c r="A21" s="137" t="str">
        <f>Input!A17</f>
        <v>Capitalized Financing Costs</v>
      </c>
      <c r="C21" s="58">
        <v>0.0</v>
      </c>
      <c r="D21" s="58">
        <f>Input!Q34</f>
        <v>10887.5</v>
      </c>
      <c r="E21" s="58">
        <f t="shared" si="5"/>
        <v>10887.5</v>
      </c>
      <c r="F21" s="58" t="str">
        <f>E21-Depr_Amort!F45</f>
        <v>#REF!</v>
      </c>
      <c r="G21" s="58" t="str">
        <f>F21-Depr_Amort!G45</f>
        <v>#REF!</v>
      </c>
      <c r="H21" s="58" t="str">
        <f>G21-Depr_Amort!H45</f>
        <v>#REF!</v>
      </c>
      <c r="I21" s="58" t="str">
        <f>H21-Depr_Amort!I45</f>
        <v>#REF!</v>
      </c>
      <c r="J21" s="58" t="str">
        <f>I21-Depr_Amort!J45</f>
        <v>#REF!</v>
      </c>
      <c r="K21" s="58" t="str">
        <f>J21-Depr_Amort!K45</f>
        <v>#REF!</v>
      </c>
      <c r="L21" s="58" t="str">
        <f>K21-Depr_Amort!L45</f>
        <v>#REF!</v>
      </c>
      <c r="M21" s="58" t="str">
        <f>L21-Depr_Amort!M45</f>
        <v>#REF!</v>
      </c>
      <c r="N21" s="58" t="str">
        <f>M21-Depr_Amort!N45</f>
        <v>#REF!</v>
      </c>
      <c r="O21" s="58" t="str">
        <f>N21-Depr_Amort!O45</f>
        <v>#REF!</v>
      </c>
    </row>
    <row r="22" ht="12.75" customHeight="1">
      <c r="A22" s="137" t="s">
        <v>135</v>
      </c>
      <c r="C22" s="141">
        <v>15000.0</v>
      </c>
      <c r="D22" s="58"/>
      <c r="E22" s="58">
        <f t="shared" si="5"/>
        <v>15000</v>
      </c>
      <c r="F22" s="58">
        <f>Inc_St!D8*other_longterm_assets*(1+other_longterm_assets_ann_incr)^(F5-1)</f>
        <v>44000</v>
      </c>
      <c r="G22" s="58">
        <f>Inc_St!E8*other_longterm_assets*(1+other_longterm_assets_ann_incr)^(G5-1)</f>
        <v>48642</v>
      </c>
      <c r="H22" s="58">
        <f>Inc_St!F8*other_longterm_assets*(1+other_longterm_assets_ann_incr)^(H5-1)</f>
        <v>53773.731</v>
      </c>
      <c r="I22" s="58">
        <f>Inc_St!G8*other_longterm_assets*(1+other_longterm_assets_ann_incr)^(I5-1)</f>
        <v>59446.85962</v>
      </c>
      <c r="J22" s="58">
        <f>Inc_St!H8*other_longterm_assets*(1+other_longterm_assets_ann_incr)^(J5-1)</f>
        <v>65718.50331</v>
      </c>
      <c r="K22" s="58">
        <f>Inc_St!I8*other_longterm_assets*(1+other_longterm_assets_ann_incr)^(K5-1)</f>
        <v>72651.80541</v>
      </c>
      <c r="L22" s="58">
        <f>Inc_St!J8*other_longterm_assets*(1+other_longterm_assets_ann_incr)^(L5-1)</f>
        <v>80316.57088</v>
      </c>
      <c r="M22" s="58">
        <f>Inc_St!K8*other_longterm_assets*(1+other_longterm_assets_ann_incr)^(M5-1)</f>
        <v>88789.96911</v>
      </c>
      <c r="N22" s="58">
        <f>Inc_St!L8*other_longterm_assets*(1+other_longterm_assets_ann_incr)^(N5-1)</f>
        <v>98157.31085</v>
      </c>
      <c r="O22" s="58">
        <f>Inc_St!M8*other_longterm_assets*(1+other_longterm_assets_ann_incr)^(O5-1)</f>
        <v>108512.9071</v>
      </c>
    </row>
    <row r="23" ht="12.75" customHeight="1">
      <c r="A23" s="118" t="s">
        <v>136</v>
      </c>
      <c r="C23" s="58"/>
      <c r="D23" s="58"/>
      <c r="E23" s="58"/>
      <c r="F23" s="58"/>
      <c r="G23" s="58"/>
      <c r="H23" s="58"/>
      <c r="I23" s="58"/>
      <c r="J23" s="58"/>
      <c r="K23" s="58"/>
      <c r="L23" s="58"/>
      <c r="M23" s="58"/>
      <c r="N23" s="58"/>
      <c r="O23" s="58"/>
    </row>
    <row r="24" ht="12.75" customHeight="1">
      <c r="A24" s="137" t="s">
        <v>137</v>
      </c>
      <c r="C24" s="141">
        <v>500000.0</v>
      </c>
      <c r="D24" s="58">
        <f>Input!C49</f>
        <v>2450</v>
      </c>
      <c r="E24" s="58">
        <f t="shared" ref="E24:E27" si="7">SUM(C24:D24)</f>
        <v>502450</v>
      </c>
      <c r="F24" s="58">
        <f>E24</f>
        <v>502450</v>
      </c>
      <c r="G24" s="58">
        <f t="shared" ref="G24:O24" si="6">F24+F25</f>
        <v>612450</v>
      </c>
      <c r="H24" s="58">
        <f t="shared" si="6"/>
        <v>733450</v>
      </c>
      <c r="I24" s="58">
        <f t="shared" si="6"/>
        <v>866550</v>
      </c>
      <c r="J24" s="58">
        <f t="shared" si="6"/>
        <v>1012960</v>
      </c>
      <c r="K24" s="58">
        <f t="shared" si="6"/>
        <v>1174011</v>
      </c>
      <c r="L24" s="58">
        <f t="shared" si="6"/>
        <v>1351167.1</v>
      </c>
      <c r="M24" s="58">
        <f t="shared" si="6"/>
        <v>1546038.81</v>
      </c>
      <c r="N24" s="58">
        <f t="shared" si="6"/>
        <v>1760397.691</v>
      </c>
      <c r="O24" s="58">
        <f t="shared" si="6"/>
        <v>1996192.46</v>
      </c>
    </row>
    <row r="25" ht="12.75" customHeight="1">
      <c r="A25" s="137" t="s">
        <v>67</v>
      </c>
      <c r="C25" s="58">
        <v>0.0</v>
      </c>
      <c r="D25" s="58"/>
      <c r="E25" s="58">
        <f t="shared" si="7"/>
        <v>0</v>
      </c>
      <c r="F25" s="58">
        <f>Depr_Amort!B24</f>
        <v>110000</v>
      </c>
      <c r="G25" s="58">
        <f>Depr_Amort!B25</f>
        <v>121000</v>
      </c>
      <c r="H25" s="58">
        <f>Depr_Amort!B26</f>
        <v>133100</v>
      </c>
      <c r="I25" s="58">
        <f>Depr_Amort!B27</f>
        <v>146410</v>
      </c>
      <c r="J25" s="58">
        <f>Depr_Amort!B28</f>
        <v>161051</v>
      </c>
      <c r="K25" s="58">
        <f>Depr_Amort!B29</f>
        <v>177156.1</v>
      </c>
      <c r="L25" s="58">
        <f>Depr_Amort!B30</f>
        <v>194871.71</v>
      </c>
      <c r="M25" s="58">
        <f>Depr_Amort!B31</f>
        <v>214358.881</v>
      </c>
      <c r="N25" s="58">
        <f>Depr_Amort!B32</f>
        <v>235794.7691</v>
      </c>
      <c r="O25" s="58">
        <f>Depr_Amort!B33</f>
        <v>259374.246</v>
      </c>
    </row>
    <row r="26" ht="12.75" customHeight="1">
      <c r="A26" s="137" t="s">
        <v>138</v>
      </c>
      <c r="C26" s="58">
        <v>0.0</v>
      </c>
      <c r="D26" s="58"/>
      <c r="E26" s="58">
        <f t="shared" si="7"/>
        <v>0</v>
      </c>
      <c r="F26" s="58">
        <f>Depr_Amort!F39</f>
        <v>72745</v>
      </c>
      <c r="G26" s="58">
        <f>Depr_Amort!G39</f>
        <v>84845</v>
      </c>
      <c r="H26" s="58">
        <f>Depr_Amort!H39</f>
        <v>93718.33333</v>
      </c>
      <c r="I26" s="58">
        <f>Depr_Amort!I39</f>
        <v>104176.1905</v>
      </c>
      <c r="J26" s="58">
        <f>Depr_Amort!J39</f>
        <v>117597.1071</v>
      </c>
      <c r="K26" s="58">
        <f>Depr_Amort!K39</f>
        <v>128669.3634</v>
      </c>
      <c r="L26" s="58">
        <f>Depr_Amort!L39</f>
        <v>101352.4774</v>
      </c>
      <c r="M26" s="58">
        <f>Depr_Amort!M39</f>
        <v>115643.0695</v>
      </c>
      <c r="N26" s="58">
        <f>Depr_Amort!N39</f>
        <v>127867.6336</v>
      </c>
      <c r="O26" s="58">
        <f>Depr_Amort!O39</f>
        <v>149482.1541</v>
      </c>
      <c r="P26" s="118"/>
    </row>
    <row r="27" ht="12.75" customHeight="1">
      <c r="A27" s="137" t="s">
        <v>139</v>
      </c>
      <c r="C27" s="141">
        <v>25000.0</v>
      </c>
      <c r="D27" s="58"/>
      <c r="E27" s="58">
        <f t="shared" si="7"/>
        <v>25000</v>
      </c>
      <c r="F27" s="58">
        <f t="shared" ref="F27:O27" si="8">E27+F26</f>
        <v>97745</v>
      </c>
      <c r="G27" s="58">
        <f t="shared" si="8"/>
        <v>182590</v>
      </c>
      <c r="H27" s="58">
        <f t="shared" si="8"/>
        <v>276308.3333</v>
      </c>
      <c r="I27" s="58">
        <f t="shared" si="8"/>
        <v>380484.5238</v>
      </c>
      <c r="J27" s="58">
        <f t="shared" si="8"/>
        <v>498081.631</v>
      </c>
      <c r="K27" s="58">
        <f t="shared" si="8"/>
        <v>626750.9943</v>
      </c>
      <c r="L27" s="58">
        <f t="shared" si="8"/>
        <v>728103.4717</v>
      </c>
      <c r="M27" s="58">
        <f t="shared" si="8"/>
        <v>843746.5412</v>
      </c>
      <c r="N27" s="58">
        <f t="shared" si="8"/>
        <v>971614.1747</v>
      </c>
      <c r="O27" s="58">
        <f t="shared" si="8"/>
        <v>1121096.329</v>
      </c>
    </row>
    <row r="28" ht="12.75" customHeight="1">
      <c r="A28" s="137" t="s">
        <v>140</v>
      </c>
      <c r="C28" s="58">
        <f>C24+C25-C27</f>
        <v>475000</v>
      </c>
      <c r="D28" s="58"/>
      <c r="E28" s="58">
        <f t="shared" ref="E28:O28" si="9">E24+E25-E27</f>
        <v>477450</v>
      </c>
      <c r="F28" s="58">
        <f t="shared" si="9"/>
        <v>514705</v>
      </c>
      <c r="G28" s="58">
        <f t="shared" si="9"/>
        <v>550860</v>
      </c>
      <c r="H28" s="58">
        <f t="shared" si="9"/>
        <v>590241.6667</v>
      </c>
      <c r="I28" s="58">
        <f t="shared" si="9"/>
        <v>632475.4762</v>
      </c>
      <c r="J28" s="58">
        <f t="shared" si="9"/>
        <v>675929.369</v>
      </c>
      <c r="K28" s="58">
        <f t="shared" si="9"/>
        <v>724416.1057</v>
      </c>
      <c r="L28" s="58">
        <f t="shared" si="9"/>
        <v>817935.3383</v>
      </c>
      <c r="M28" s="58">
        <f t="shared" si="9"/>
        <v>916651.1498</v>
      </c>
      <c r="N28" s="58">
        <f t="shared" si="9"/>
        <v>1024578.285</v>
      </c>
      <c r="O28" s="58">
        <f t="shared" si="9"/>
        <v>1134470.377</v>
      </c>
    </row>
    <row r="29" ht="12.75" customHeight="1">
      <c r="C29" s="58"/>
      <c r="D29" s="58"/>
      <c r="E29" s="58"/>
      <c r="F29" s="58"/>
      <c r="G29" s="58"/>
      <c r="H29" s="58"/>
      <c r="I29" s="58"/>
      <c r="J29" s="58"/>
      <c r="K29" s="58"/>
      <c r="L29" s="58"/>
      <c r="M29" s="58"/>
      <c r="N29" s="58"/>
      <c r="O29" s="58"/>
    </row>
    <row r="30" ht="12.75" customHeight="1">
      <c r="A30" s="118" t="s">
        <v>141</v>
      </c>
      <c r="C30" s="58">
        <f>SUM(C19,C20,C21,C22,C28)</f>
        <v>510950</v>
      </c>
      <c r="D30" s="58"/>
      <c r="E30" s="58">
        <f t="shared" ref="E30:O30" si="10">SUM(E19,E20,E21,E22,E28)</f>
        <v>716966</v>
      </c>
      <c r="F30" s="58" t="str">
        <f t="shared" si="10"/>
        <v>#REF!</v>
      </c>
      <c r="G30" s="58" t="str">
        <f t="shared" si="10"/>
        <v>#REF!</v>
      </c>
      <c r="H30" s="58" t="str">
        <f t="shared" si="10"/>
        <v>#REF!</v>
      </c>
      <c r="I30" s="58" t="str">
        <f t="shared" si="10"/>
        <v>#REF!</v>
      </c>
      <c r="J30" s="58" t="str">
        <f t="shared" si="10"/>
        <v>#REF!</v>
      </c>
      <c r="K30" s="58" t="str">
        <f t="shared" si="10"/>
        <v>#REF!</v>
      </c>
      <c r="L30" s="58" t="str">
        <f t="shared" si="10"/>
        <v>#REF!</v>
      </c>
      <c r="M30" s="58" t="str">
        <f t="shared" si="10"/>
        <v>#REF!</v>
      </c>
      <c r="N30" s="58" t="str">
        <f t="shared" si="10"/>
        <v>#REF!</v>
      </c>
      <c r="O30" s="58" t="str">
        <f t="shared" si="10"/>
        <v>#REF!</v>
      </c>
    </row>
    <row r="31" ht="12.75" customHeight="1">
      <c r="C31" s="58"/>
      <c r="D31" s="58"/>
      <c r="E31" s="58"/>
      <c r="F31" s="58"/>
      <c r="G31" s="58"/>
      <c r="H31" s="58"/>
      <c r="I31" s="58"/>
      <c r="J31" s="58"/>
      <c r="K31" s="58"/>
      <c r="L31" s="58"/>
      <c r="M31" s="58"/>
      <c r="N31" s="58"/>
      <c r="O31" s="58"/>
    </row>
    <row r="32" ht="12.75" customHeight="1">
      <c r="A32" s="139" t="s">
        <v>142</v>
      </c>
      <c r="C32" s="73">
        <f>SUM(C16,C30)</f>
        <v>813949</v>
      </c>
      <c r="D32" s="73">
        <f>SUM(D10:D31)</f>
        <v>228516</v>
      </c>
      <c r="E32" s="73">
        <f t="shared" ref="E32:O32" si="11">SUM(E16,E30)</f>
        <v>1042465</v>
      </c>
      <c r="F32" s="73" t="str">
        <f t="shared" si="11"/>
        <v>#REF!</v>
      </c>
      <c r="G32" s="73" t="str">
        <f t="shared" si="11"/>
        <v>#REF!</v>
      </c>
      <c r="H32" s="73" t="str">
        <f t="shared" si="11"/>
        <v>#REF!</v>
      </c>
      <c r="I32" s="73" t="str">
        <f t="shared" si="11"/>
        <v>#REF!</v>
      </c>
      <c r="J32" s="73" t="str">
        <f t="shared" si="11"/>
        <v>#REF!</v>
      </c>
      <c r="K32" s="73" t="str">
        <f t="shared" si="11"/>
        <v>#REF!</v>
      </c>
      <c r="L32" s="73" t="str">
        <f t="shared" si="11"/>
        <v>#REF!</v>
      </c>
      <c r="M32" s="73" t="str">
        <f t="shared" si="11"/>
        <v>#REF!</v>
      </c>
      <c r="N32" s="73" t="str">
        <f t="shared" si="11"/>
        <v>#REF!</v>
      </c>
      <c r="O32" s="73" t="str">
        <f t="shared" si="11"/>
        <v>#REF!</v>
      </c>
    </row>
    <row r="33" ht="12.75" customHeight="1">
      <c r="C33" s="58"/>
      <c r="D33" s="58"/>
      <c r="E33" s="58"/>
      <c r="F33" s="58"/>
      <c r="G33" s="58"/>
      <c r="H33" s="58"/>
      <c r="I33" s="58"/>
      <c r="J33" s="58"/>
      <c r="K33" s="58"/>
      <c r="L33" s="58"/>
      <c r="M33" s="58"/>
      <c r="N33" s="58"/>
      <c r="O33" s="58"/>
    </row>
    <row r="34" ht="12.75" customHeight="1">
      <c r="A34" s="118"/>
      <c r="C34" s="58"/>
      <c r="D34" s="58"/>
      <c r="E34" s="58"/>
      <c r="F34" s="58"/>
      <c r="G34" s="58"/>
      <c r="H34" s="58"/>
      <c r="I34" s="58"/>
      <c r="J34" s="58"/>
      <c r="K34" s="58"/>
      <c r="L34" s="58"/>
      <c r="M34" s="58"/>
      <c r="N34" s="58"/>
      <c r="O34" s="58"/>
    </row>
    <row r="35" ht="12.75" customHeight="1">
      <c r="A35" s="139" t="s">
        <v>143</v>
      </c>
      <c r="C35" s="58"/>
      <c r="D35" s="58"/>
      <c r="E35" s="58"/>
      <c r="F35" s="146"/>
      <c r="G35" s="146"/>
      <c r="H35" s="146"/>
      <c r="I35" s="146"/>
      <c r="J35" s="146"/>
      <c r="K35" s="146"/>
      <c r="L35" s="146"/>
      <c r="M35" s="146"/>
      <c r="N35" s="146"/>
      <c r="O35" s="146"/>
    </row>
    <row r="36" ht="12.75" customHeight="1">
      <c r="C36" s="58"/>
      <c r="D36" s="58"/>
      <c r="E36" s="58"/>
      <c r="F36" s="58"/>
      <c r="G36" s="58"/>
      <c r="H36" s="58"/>
      <c r="I36" s="58"/>
      <c r="J36" s="58"/>
      <c r="K36" s="58"/>
      <c r="L36" s="58"/>
      <c r="M36" s="58"/>
      <c r="N36" s="58"/>
      <c r="O36" s="58"/>
    </row>
    <row r="37" ht="12.75" customHeight="1">
      <c r="A37" s="118" t="s">
        <v>144</v>
      </c>
      <c r="C37" s="58"/>
      <c r="D37" s="58"/>
      <c r="E37" s="58"/>
      <c r="F37" s="58"/>
      <c r="G37" s="58"/>
      <c r="H37" s="58"/>
      <c r="I37" s="58"/>
      <c r="J37" s="58"/>
      <c r="K37" s="58"/>
      <c r="L37" s="58"/>
      <c r="M37" s="58"/>
      <c r="N37" s="58"/>
      <c r="O37" s="58"/>
    </row>
    <row r="38" ht="12.75" customHeight="1">
      <c r="A38" s="137" t="s">
        <v>57</v>
      </c>
      <c r="C38" s="141">
        <v>51800.0</v>
      </c>
      <c r="D38" s="58"/>
      <c r="E38" s="58">
        <f t="shared" ref="E38:E40" si="12">SUM(C38:D38)</f>
        <v>51800</v>
      </c>
      <c r="F38" s="58">
        <f>(Inc_St!D10+F12-E12)*acc_payable*(1+acc_payable_ann_incr)^(F5-1)</f>
        <v>74700.15</v>
      </c>
      <c r="G38" s="58">
        <f>(Inc_St!E10+G12-F12)*acc_payable*(1+acc_payable_ann_incr)^(G5-1)</f>
        <v>85741.25967</v>
      </c>
      <c r="H38" s="58">
        <f>(Inc_St!F10+H12-G12)*acc_payable*(1+acc_payable_ann_incr)^(H5-1)</f>
        <v>96542.28221</v>
      </c>
      <c r="I38" s="58">
        <f>(Inc_St!G10+I12-H12)*acc_payable*(1+acc_payable_ann_incr)^(I5-1)</f>
        <v>108708.3205</v>
      </c>
      <c r="J38" s="58">
        <f>(Inc_St!H10+J12-I12)*acc_payable*(1+acc_payable_ann_incr)^(J5-1)</f>
        <v>122412.6208</v>
      </c>
      <c r="K38" s="58">
        <f>(Inc_St!I10+K12-J12)*acc_payable*(1+acc_payable_ann_incr)^(K5-1)</f>
        <v>137850.5414</v>
      </c>
      <c r="L38" s="58">
        <f>(Inc_St!J10+L12-K12)*acc_payable*(1+acc_payable_ann_incr)^(L5-1)</f>
        <v>155242.3955</v>
      </c>
      <c r="M38" s="58">
        <f>(Inc_St!K10+M12-L12)*acc_payable*(1+acc_payable_ann_incr)^(M5-1)</f>
        <v>174836.6629</v>
      </c>
      <c r="N38" s="58">
        <f>(Inc_St!L10+N12-M12)*acc_payable*(1+acc_payable_ann_incr)^(N5-1)</f>
        <v>196913.6193</v>
      </c>
      <c r="O38" s="58">
        <f>(Inc_St!M10+O12-N12)*acc_payable*(1+acc_payable_ann_incr)^(O5-1)</f>
        <v>221789.4374</v>
      </c>
    </row>
    <row r="39" ht="12.75" customHeight="1">
      <c r="A39" s="137" t="s">
        <v>61</v>
      </c>
      <c r="C39" s="141">
        <v>24000.0</v>
      </c>
      <c r="D39" s="58"/>
      <c r="E39" s="58">
        <f t="shared" si="12"/>
        <v>24000</v>
      </c>
      <c r="F39" s="58">
        <f>Inc_St!D8*acc_exp*(1+acc_exp_ann_incr)^(F5-1)</f>
        <v>66000</v>
      </c>
      <c r="G39" s="58">
        <f>Inc_St!E8*acc_exp*(1+acc_exp_ann_incr)^(G5-1)</f>
        <v>73689</v>
      </c>
      <c r="H39" s="58">
        <f>Inc_St!F8*acc_exp*(1+acc_exp_ann_incr)^(H5-1)</f>
        <v>82273.7685</v>
      </c>
      <c r="I39" s="58">
        <f>Inc_St!G8*acc_exp*(1+acc_exp_ann_incr)^(I5-1)</f>
        <v>91858.66253</v>
      </c>
      <c r="J39" s="58">
        <f>Inc_St!H8*acc_exp*(1+acc_exp_ann_incr)^(J5-1)</f>
        <v>102560.1967</v>
      </c>
      <c r="K39" s="58">
        <f>Inc_St!I8*acc_exp*(1+acc_exp_ann_incr)^(K5-1)</f>
        <v>114508.4596</v>
      </c>
      <c r="L39" s="58">
        <f>Inc_St!J8*acc_exp*(1+acc_exp_ann_incr)^(L5-1)</f>
        <v>127848.6952</v>
      </c>
      <c r="M39" s="58">
        <f>Inc_St!K8*acc_exp*(1+acc_exp_ann_incr)^(M5-1)</f>
        <v>142743.0682</v>
      </c>
      <c r="N39" s="58">
        <f>Inc_St!L8*acc_exp*(1+acc_exp_ann_incr)^(N5-1)</f>
        <v>159372.6356</v>
      </c>
      <c r="O39" s="58">
        <f>Inc_St!M8*acc_exp*(1+acc_exp_ann_incr)^(O5-1)</f>
        <v>177939.5477</v>
      </c>
    </row>
    <row r="40" ht="12.75" customHeight="1">
      <c r="A40" s="137" t="s">
        <v>64</v>
      </c>
      <c r="C40" s="141">
        <v>22000.0</v>
      </c>
      <c r="D40" s="58"/>
      <c r="E40" s="58">
        <f t="shared" si="12"/>
        <v>22000</v>
      </c>
      <c r="F40" s="58">
        <f>Inc_St!D8*other_curr_liab*(1+other_curr_liab_ann_incr)^(F5-1)</f>
        <v>88000</v>
      </c>
      <c r="G40" s="58">
        <f>Inc_St!E8*other_curr_liab*(1+other_curr_liab_ann_incr)^(G5-1)</f>
        <v>97768</v>
      </c>
      <c r="H40" s="58">
        <f>Inc_St!F8*other_curr_liab*(1+other_curr_liab_ann_incr)^(H5-1)</f>
        <v>108620.248</v>
      </c>
      <c r="I40" s="58">
        <f>Inc_St!G8*other_curr_liab*(1+other_curr_liab_ann_incr)^(I5-1)</f>
        <v>120677.0955</v>
      </c>
      <c r="J40" s="58">
        <f>Inc_St!H8*other_curr_liab*(1+other_curr_liab_ann_incr)^(J5-1)</f>
        <v>134072.2531</v>
      </c>
      <c r="K40" s="58">
        <f>Inc_St!I8*other_curr_liab*(1+other_curr_liab_ann_incr)^(K5-1)</f>
        <v>148954.2732</v>
      </c>
      <c r="L40" s="58">
        <f>Inc_St!J8*other_curr_liab*(1+other_curr_liab_ann_incr)^(L5-1)</f>
        <v>165488.1976</v>
      </c>
      <c r="M40" s="58">
        <f>Inc_St!K8*other_curr_liab*(1+other_curr_liab_ann_incr)^(M5-1)</f>
        <v>183857.3875</v>
      </c>
      <c r="N40" s="58">
        <f>Inc_St!L8*other_curr_liab*(1+other_curr_liab_ann_incr)^(N5-1)</f>
        <v>204265.5575</v>
      </c>
      <c r="O40" s="58">
        <f>Inc_St!M8*other_curr_liab*(1+other_curr_liab_ann_incr)^(O5-1)</f>
        <v>226939.0344</v>
      </c>
    </row>
    <row r="41" ht="12.75" customHeight="1">
      <c r="A41" s="118"/>
      <c r="C41" s="58"/>
      <c r="D41" s="58"/>
      <c r="E41" s="58"/>
      <c r="F41" s="58"/>
      <c r="G41" s="58"/>
      <c r="H41" s="58"/>
      <c r="I41" s="58"/>
      <c r="J41" s="58"/>
      <c r="K41" s="58"/>
      <c r="L41" s="58"/>
      <c r="M41" s="58"/>
      <c r="N41" s="58"/>
      <c r="O41" s="58"/>
      <c r="P41" s="58"/>
      <c r="Q41" s="58"/>
      <c r="R41" s="58"/>
      <c r="S41" s="58"/>
    </row>
    <row r="42" ht="12.75" customHeight="1">
      <c r="A42" s="118" t="s">
        <v>145</v>
      </c>
      <c r="C42" s="58">
        <f>SUM(C38:C40)</f>
        <v>97800</v>
      </c>
      <c r="D42" s="58"/>
      <c r="E42" s="58">
        <f t="shared" ref="E42:O42" si="13">SUM(E38:E40)</f>
        <v>97800</v>
      </c>
      <c r="F42" s="58">
        <f t="shared" si="13"/>
        <v>228700.15</v>
      </c>
      <c r="G42" s="58">
        <f t="shared" si="13"/>
        <v>257198.2597</v>
      </c>
      <c r="H42" s="58">
        <f t="shared" si="13"/>
        <v>287436.2987</v>
      </c>
      <c r="I42" s="58">
        <f t="shared" si="13"/>
        <v>321244.0785</v>
      </c>
      <c r="J42" s="58">
        <f t="shared" si="13"/>
        <v>359045.0706</v>
      </c>
      <c r="K42" s="58">
        <f t="shared" si="13"/>
        <v>401313.2742</v>
      </c>
      <c r="L42" s="58">
        <f t="shared" si="13"/>
        <v>448579.2882</v>
      </c>
      <c r="M42" s="58">
        <f t="shared" si="13"/>
        <v>501437.1186</v>
      </c>
      <c r="N42" s="58">
        <f t="shared" si="13"/>
        <v>560551.8124</v>
      </c>
      <c r="O42" s="58">
        <f t="shared" si="13"/>
        <v>626668.0195</v>
      </c>
    </row>
    <row r="43" ht="12.75" customHeight="1">
      <c r="C43" s="58"/>
      <c r="D43" s="58"/>
      <c r="E43" s="58"/>
      <c r="F43" s="58"/>
      <c r="G43" s="58"/>
      <c r="H43" s="58"/>
      <c r="I43" s="58"/>
      <c r="J43" s="58"/>
      <c r="K43" s="58"/>
      <c r="L43" s="58"/>
      <c r="M43" s="58"/>
      <c r="N43" s="58"/>
      <c r="O43" s="58"/>
    </row>
    <row r="44" ht="12.75" customHeight="1">
      <c r="A44" s="118" t="s">
        <v>146</v>
      </c>
      <c r="C44" s="141">
        <v>1400.0</v>
      </c>
      <c r="D44" s="58">
        <f>-C44-Input!C52</f>
        <v>-122.5</v>
      </c>
      <c r="E44" s="58">
        <f>SUM(C44:D44)</f>
        <v>1277.5</v>
      </c>
      <c r="F44" s="58" t="str">
        <f>E44+Income_Tax!D30</f>
        <v>#REF!</v>
      </c>
      <c r="G44" s="58" t="str">
        <f>F44+Income_Tax!E30</f>
        <v>#REF!</v>
      </c>
      <c r="H44" s="58" t="str">
        <f>G44+Income_Tax!F30</f>
        <v>#REF!</v>
      </c>
      <c r="I44" s="58" t="str">
        <f>H44+Income_Tax!G30</f>
        <v>#REF!</v>
      </c>
      <c r="J44" s="58" t="str">
        <f>I44+Income_Tax!H30</f>
        <v>#REF!</v>
      </c>
      <c r="K44" s="58" t="str">
        <f>J44+Income_Tax!I30</f>
        <v>#REF!</v>
      </c>
      <c r="L44" s="58" t="str">
        <f>K44+Income_Tax!J30</f>
        <v>#REF!</v>
      </c>
      <c r="M44" s="58" t="str">
        <f>L44+Income_Tax!K30</f>
        <v>#REF!</v>
      </c>
      <c r="N44" s="58" t="str">
        <f>M44+Income_Tax!L30</f>
        <v>#REF!</v>
      </c>
      <c r="O44" s="58" t="str">
        <f>N44+Income_Tax!M30</f>
        <v>#REF!</v>
      </c>
    </row>
    <row r="45" ht="12.75" customHeight="1">
      <c r="A45" s="118" t="s">
        <v>147</v>
      </c>
      <c r="C45" s="147"/>
      <c r="D45" s="58"/>
      <c r="E45" s="58"/>
      <c r="F45" s="58"/>
      <c r="G45" s="58"/>
      <c r="H45" s="58"/>
      <c r="I45" s="58"/>
      <c r="J45" s="58"/>
      <c r="K45" s="58"/>
      <c r="L45" s="58"/>
      <c r="M45" s="58"/>
      <c r="N45" s="58"/>
      <c r="O45" s="58"/>
    </row>
    <row r="46" ht="12.75" customHeight="1">
      <c r="A46" s="137" t="s">
        <v>148</v>
      </c>
      <c r="C46" s="141">
        <v>250000.0</v>
      </c>
      <c r="D46" s="58">
        <f>-Input!C14</f>
        <v>-185000</v>
      </c>
      <c r="E46" s="58">
        <f t="shared" ref="E46:E53" si="14">SUM(C46:D46)</f>
        <v>65000</v>
      </c>
      <c r="F46" s="58" t="str">
        <f>E46-Cash_Flow!D85-Cash_Flow!D100</f>
        <v>#REF!</v>
      </c>
      <c r="G46" s="58" t="str">
        <f>F46-Cash_Flow!E85-Cash_Flow!E100</f>
        <v>#REF!</v>
      </c>
      <c r="H46" s="58" t="str">
        <f>G46-Cash_Flow!F85-Cash_Flow!F100</f>
        <v>#REF!</v>
      </c>
      <c r="I46" s="58" t="str">
        <f>H46-Cash_Flow!G85-Cash_Flow!G100</f>
        <v>#REF!</v>
      </c>
      <c r="J46" s="58" t="str">
        <f>I46-Cash_Flow!H85-Cash_Flow!H100</f>
        <v>#REF!</v>
      </c>
      <c r="K46" s="58" t="str">
        <f>J46-Cash_Flow!I85-Cash_Flow!I100</f>
        <v>#REF!</v>
      </c>
      <c r="L46" s="58" t="str">
        <f>K46-Cash_Flow!J85-Cash_Flow!J100</f>
        <v>#REF!</v>
      </c>
      <c r="M46" s="58" t="str">
        <f>L46-Cash_Flow!K85-Cash_Flow!K100</f>
        <v>#REF!</v>
      </c>
      <c r="N46" s="58" t="str">
        <f>M46-Cash_Flow!L85-Cash_Flow!L100</f>
        <v>#REF!</v>
      </c>
      <c r="O46" s="58" t="str">
        <f>N46-Cash_Flow!M85-Cash_Flow!M100</f>
        <v>#REF!</v>
      </c>
    </row>
    <row r="47" ht="12.75" customHeight="1">
      <c r="A47" s="137" t="str">
        <f>Input!A27</f>
        <v>Bank Revolver</v>
      </c>
      <c r="C47" s="58">
        <v>0.0</v>
      </c>
      <c r="D47" s="58">
        <f>Input!C27</f>
        <v>200887.5</v>
      </c>
      <c r="E47" s="58">
        <f t="shared" si="14"/>
        <v>200887.5</v>
      </c>
      <c r="F47" s="58" t="str">
        <f>E47+Cash_Flow!D96-Cash_Flow!D107</f>
        <v>#REF!</v>
      </c>
      <c r="G47" s="58" t="str">
        <f>F47+Cash_Flow!E96-Cash_Flow!E107</f>
        <v>#REF!</v>
      </c>
      <c r="H47" s="58" t="str">
        <f>G47+Cash_Flow!F96-Cash_Flow!F107</f>
        <v>#REF!</v>
      </c>
      <c r="I47" s="58" t="str">
        <f>H47+Cash_Flow!G96-Cash_Flow!G107</f>
        <v>#REF!</v>
      </c>
      <c r="J47" s="58" t="str">
        <f>I47+Cash_Flow!H96-Cash_Flow!H107</f>
        <v>#REF!</v>
      </c>
      <c r="K47" s="58" t="str">
        <f>J47+Cash_Flow!I96-Cash_Flow!I107</f>
        <v>#REF!</v>
      </c>
      <c r="L47" s="58" t="str">
        <f>K47+Cash_Flow!J96-Cash_Flow!J107</f>
        <v>#REF!</v>
      </c>
      <c r="M47" s="58" t="str">
        <f>L47+Cash_Flow!K96-Cash_Flow!K107</f>
        <v>#REF!</v>
      </c>
      <c r="N47" s="58" t="str">
        <f>M47+Cash_Flow!L96-Cash_Flow!L107</f>
        <v>#REF!</v>
      </c>
      <c r="O47" s="58" t="str">
        <f>N47+Cash_Flow!M96-Cash_Flow!M107</f>
        <v>#REF!</v>
      </c>
    </row>
    <row r="48" ht="12.75" customHeight="1">
      <c r="A48" s="137" t="str">
        <f>Input!A28</f>
        <v>Term Loan "A"</v>
      </c>
      <c r="C48" s="58">
        <v>0.0</v>
      </c>
      <c r="D48" s="58">
        <f>Input!C28</f>
        <v>80000</v>
      </c>
      <c r="E48" s="58">
        <f t="shared" si="14"/>
        <v>80000</v>
      </c>
      <c r="F48" s="58" t="str">
        <f>E48-Cash_Flow!D86-Cash_Flow!D101</f>
        <v>#REF!</v>
      </c>
      <c r="G48" s="58" t="str">
        <f>F48-Cash_Flow!E86-Cash_Flow!E101</f>
        <v>#REF!</v>
      </c>
      <c r="H48" s="58" t="str">
        <f>G48-Cash_Flow!F86-Cash_Flow!F101</f>
        <v>#REF!</v>
      </c>
      <c r="I48" s="58" t="str">
        <f>H48-Cash_Flow!G86-Cash_Flow!G101</f>
        <v>#REF!</v>
      </c>
      <c r="J48" s="58" t="str">
        <f>I48-Cash_Flow!H86-Cash_Flow!H101</f>
        <v>#REF!</v>
      </c>
      <c r="K48" s="58" t="str">
        <f>J48-Cash_Flow!I86-Cash_Flow!I101</f>
        <v>#REF!</v>
      </c>
      <c r="L48" s="58" t="str">
        <f>K48-Cash_Flow!J86-Cash_Flow!J101</f>
        <v>#REF!</v>
      </c>
      <c r="M48" s="58" t="str">
        <f>L48-Cash_Flow!K86-Cash_Flow!K101</f>
        <v>#REF!</v>
      </c>
      <c r="N48" s="58" t="str">
        <f>M48-Cash_Flow!L86-Cash_Flow!L101</f>
        <v>#REF!</v>
      </c>
      <c r="O48" s="58" t="str">
        <f>N48-Cash_Flow!M86-Cash_Flow!M101</f>
        <v>#REF!</v>
      </c>
    </row>
    <row r="49" ht="12.75" customHeight="1">
      <c r="A49" s="137" t="str">
        <f>Input!A29</f>
        <v>Term Loan "B"</v>
      </c>
      <c r="C49" s="58">
        <v>0.0</v>
      </c>
      <c r="D49" s="58">
        <f>Input!C29</f>
        <v>55000</v>
      </c>
      <c r="E49" s="58">
        <f t="shared" si="14"/>
        <v>55000</v>
      </c>
      <c r="F49" s="58" t="str">
        <f>E49-Cash_Flow!D87-Cash_Flow!D102</f>
        <v>#REF!</v>
      </c>
      <c r="G49" s="58" t="str">
        <f>F49-Cash_Flow!E87-Cash_Flow!E102</f>
        <v>#REF!</v>
      </c>
      <c r="H49" s="58" t="str">
        <f>G49-Cash_Flow!F87-Cash_Flow!F102</f>
        <v>#REF!</v>
      </c>
      <c r="I49" s="58" t="str">
        <f>H49-Cash_Flow!G87-Cash_Flow!G102</f>
        <v>#REF!</v>
      </c>
      <c r="J49" s="58" t="str">
        <f>I49-Cash_Flow!H87-Cash_Flow!H102</f>
        <v>#REF!</v>
      </c>
      <c r="K49" s="58" t="str">
        <f>J49-Cash_Flow!I87-Cash_Flow!I102</f>
        <v>#REF!</v>
      </c>
      <c r="L49" s="58" t="str">
        <f>K49-Cash_Flow!J87-Cash_Flow!J102</f>
        <v>#REF!</v>
      </c>
      <c r="M49" s="58" t="str">
        <f>L49-Cash_Flow!K87-Cash_Flow!K102</f>
        <v>#REF!</v>
      </c>
      <c r="N49" s="58" t="str">
        <f>M49-Cash_Flow!L87-Cash_Flow!L102</f>
        <v>#REF!</v>
      </c>
      <c r="O49" s="58" t="str">
        <f>N49-Cash_Flow!M87-Cash_Flow!M102</f>
        <v>#REF!</v>
      </c>
    </row>
    <row r="50" ht="12.75" customHeight="1">
      <c r="A50" s="137" t="str">
        <f>Input!A30</f>
        <v>Senior Notes</v>
      </c>
      <c r="C50" s="58">
        <v>0.0</v>
      </c>
      <c r="D50" s="58">
        <f>Input!C30</f>
        <v>65000</v>
      </c>
      <c r="E50" s="58">
        <f t="shared" si="14"/>
        <v>65000</v>
      </c>
      <c r="F50" s="58" t="str">
        <f>E50-Cash_Flow!D88-Cash_Flow!D103</f>
        <v>#REF!</v>
      </c>
      <c r="G50" s="58" t="str">
        <f>F50-Cash_Flow!E88-Cash_Flow!E103</f>
        <v>#REF!</v>
      </c>
      <c r="H50" s="58" t="str">
        <f>G50-Cash_Flow!F88-Cash_Flow!F103</f>
        <v>#REF!</v>
      </c>
      <c r="I50" s="58" t="str">
        <f>H50-Cash_Flow!G88-Cash_Flow!G103</f>
        <v>#REF!</v>
      </c>
      <c r="J50" s="58" t="str">
        <f>I50-Cash_Flow!H88-Cash_Flow!H103</f>
        <v>#REF!</v>
      </c>
      <c r="K50" s="58" t="str">
        <f>J50-Cash_Flow!I88-Cash_Flow!I103</f>
        <v>#REF!</v>
      </c>
      <c r="L50" s="58" t="str">
        <f>K50-Cash_Flow!J88-Cash_Flow!J103</f>
        <v>#REF!</v>
      </c>
      <c r="M50" s="58" t="str">
        <f>L50-Cash_Flow!K88-Cash_Flow!K103</f>
        <v>#REF!</v>
      </c>
      <c r="N50" s="58" t="str">
        <f>M50-Cash_Flow!L88-Cash_Flow!L103</f>
        <v>#REF!</v>
      </c>
      <c r="O50" s="58" t="str">
        <f>N50-Cash_Flow!M88-Cash_Flow!M103</f>
        <v>#REF!</v>
      </c>
    </row>
    <row r="51" ht="12.75" customHeight="1">
      <c r="A51" s="137" t="str">
        <f>Input!A31</f>
        <v>Subordinated Notes</v>
      </c>
      <c r="C51" s="58">
        <v>0.0</v>
      </c>
      <c r="D51" s="58">
        <f>Input!C31</f>
        <v>40000</v>
      </c>
      <c r="E51" s="58">
        <f t="shared" si="14"/>
        <v>40000</v>
      </c>
      <c r="F51" s="58" t="str">
        <f>E51+Cash_Flow!D15-Cash_Flow!D89-Cash_Flow!D104</f>
        <v>#REF!</v>
      </c>
      <c r="G51" s="58" t="str">
        <f>F51+Cash_Flow!E15-Cash_Flow!E89-Cash_Flow!E104</f>
        <v>#REF!</v>
      </c>
      <c r="H51" s="58" t="str">
        <f>G51+Cash_Flow!F15-Cash_Flow!F89-Cash_Flow!F104</f>
        <v>#REF!</v>
      </c>
      <c r="I51" s="58" t="str">
        <f>H51+Cash_Flow!G15-Cash_Flow!G89-Cash_Flow!G104</f>
        <v>#REF!</v>
      </c>
      <c r="J51" s="58" t="str">
        <f>I51+Cash_Flow!H15-Cash_Flow!H89-Cash_Flow!H104</f>
        <v>#REF!</v>
      </c>
      <c r="K51" s="58" t="str">
        <f>J51+Cash_Flow!I15-Cash_Flow!I89-Cash_Flow!I104</f>
        <v>#REF!</v>
      </c>
      <c r="L51" s="58" t="str">
        <f>K51+Cash_Flow!J15-Cash_Flow!J89-Cash_Flow!J104</f>
        <v>#REF!</v>
      </c>
      <c r="M51" s="58" t="str">
        <f>L51+Cash_Flow!K15-Cash_Flow!K89-Cash_Flow!K104</f>
        <v>#REF!</v>
      </c>
      <c r="N51" s="58" t="str">
        <f>M51+Cash_Flow!L15-Cash_Flow!L89-Cash_Flow!L104</f>
        <v>#REF!</v>
      </c>
      <c r="O51" s="58" t="str">
        <f>N51+Cash_Flow!M15-Cash_Flow!M89-Cash_Flow!M104</f>
        <v>#REF!</v>
      </c>
    </row>
    <row r="52" ht="12.75" customHeight="1">
      <c r="A52" s="137" t="str">
        <f>Input!A32</f>
        <v>Mezzanine Debt</v>
      </c>
      <c r="C52" s="58">
        <v>0.0</v>
      </c>
      <c r="D52" s="58">
        <f>Input!C32</f>
        <v>70000</v>
      </c>
      <c r="E52" s="58">
        <f t="shared" si="14"/>
        <v>70000</v>
      </c>
      <c r="F52" s="58" t="str">
        <f>E52+Cash_Flow!D16-Cash_Flow!D90-Cash_Flow!D105</f>
        <v>#REF!</v>
      </c>
      <c r="G52" s="58" t="str">
        <f>F52+Cash_Flow!E16-Cash_Flow!E90-Cash_Flow!E105</f>
        <v>#REF!</v>
      </c>
      <c r="H52" s="58" t="str">
        <f>G52+Cash_Flow!F16-Cash_Flow!F90-Cash_Flow!F105</f>
        <v>#REF!</v>
      </c>
      <c r="I52" s="58" t="str">
        <f>H52+Cash_Flow!G16-Cash_Flow!G90-Cash_Flow!G105</f>
        <v>#REF!</v>
      </c>
      <c r="J52" s="58" t="str">
        <f>I52+Cash_Flow!H16-Cash_Flow!H90-Cash_Flow!H105</f>
        <v>#REF!</v>
      </c>
      <c r="K52" s="58" t="str">
        <f>J52+Cash_Flow!I16-Cash_Flow!I90-Cash_Flow!I105</f>
        <v>#REF!</v>
      </c>
      <c r="L52" s="58" t="str">
        <f>K52+Cash_Flow!J16-Cash_Flow!J90-Cash_Flow!J105</f>
        <v>#REF!</v>
      </c>
      <c r="M52" s="58" t="str">
        <f>L52+Cash_Flow!K16-Cash_Flow!K90-Cash_Flow!K105</f>
        <v>#REF!</v>
      </c>
      <c r="N52" s="58" t="str">
        <f>M52+Cash_Flow!L16-Cash_Flow!L90-Cash_Flow!L105</f>
        <v>#REF!</v>
      </c>
      <c r="O52" s="58" t="str">
        <f>N52+Cash_Flow!M16-Cash_Flow!M90-Cash_Flow!M105</f>
        <v>#REF!</v>
      </c>
    </row>
    <row r="53" ht="12.75" customHeight="1">
      <c r="A53" s="137" t="str">
        <f>Input!A33</f>
        <v>Seller Notes</v>
      </c>
      <c r="C53" s="58">
        <v>0.0</v>
      </c>
      <c r="D53" s="58">
        <f>Input!C33</f>
        <v>25000</v>
      </c>
      <c r="E53" s="58">
        <f t="shared" si="14"/>
        <v>25000</v>
      </c>
      <c r="F53" s="58" t="str">
        <f>E53+Cash_Flow!D17-Cash_Flow!D91-Cash_Flow!D106</f>
        <v>#REF!</v>
      </c>
      <c r="G53" s="58" t="str">
        <f>F53+Cash_Flow!E17-Cash_Flow!E91-Cash_Flow!E106</f>
        <v>#REF!</v>
      </c>
      <c r="H53" s="58" t="str">
        <f>G53+Cash_Flow!F17-Cash_Flow!F91-Cash_Flow!F106</f>
        <v>#REF!</v>
      </c>
      <c r="I53" s="58" t="str">
        <f>H53+Cash_Flow!G17-Cash_Flow!G91-Cash_Flow!G106</f>
        <v>#REF!</v>
      </c>
      <c r="J53" s="58" t="str">
        <f>I53+Cash_Flow!H17-Cash_Flow!H91-Cash_Flow!H106</f>
        <v>#REF!</v>
      </c>
      <c r="K53" s="58" t="str">
        <f>J53+Cash_Flow!I17-Cash_Flow!I91-Cash_Flow!I106</f>
        <v>#REF!</v>
      </c>
      <c r="L53" s="58" t="str">
        <f>K53+Cash_Flow!J17-Cash_Flow!J91-Cash_Flow!J106</f>
        <v>#REF!</v>
      </c>
      <c r="M53" s="58" t="str">
        <f>L53+Cash_Flow!K17-Cash_Flow!K91-Cash_Flow!K106</f>
        <v>#REF!</v>
      </c>
      <c r="N53" s="58" t="str">
        <f>M53+Cash_Flow!L17-Cash_Flow!L91-Cash_Flow!L106</f>
        <v>#REF!</v>
      </c>
      <c r="O53" s="58" t="str">
        <f>N53+Cash_Flow!M17-Cash_Flow!M91-Cash_Flow!M106</f>
        <v>#REF!</v>
      </c>
    </row>
    <row r="54" ht="12.75" customHeight="1">
      <c r="A54" s="118" t="s">
        <v>149</v>
      </c>
      <c r="C54" s="58">
        <f>SUM(C46:C53)</f>
        <v>250000</v>
      </c>
      <c r="D54" s="58"/>
      <c r="E54" s="58">
        <f t="shared" ref="E54:O54" si="15">SUM(E46:E53)</f>
        <v>600887.5</v>
      </c>
      <c r="F54" s="58" t="str">
        <f t="shared" si="15"/>
        <v>#REF!</v>
      </c>
      <c r="G54" s="58" t="str">
        <f t="shared" si="15"/>
        <v>#REF!</v>
      </c>
      <c r="H54" s="58" t="str">
        <f t="shared" si="15"/>
        <v>#REF!</v>
      </c>
      <c r="I54" s="58" t="str">
        <f t="shared" si="15"/>
        <v>#REF!</v>
      </c>
      <c r="J54" s="58" t="str">
        <f t="shared" si="15"/>
        <v>#REF!</v>
      </c>
      <c r="K54" s="58" t="str">
        <f t="shared" si="15"/>
        <v>#REF!</v>
      </c>
      <c r="L54" s="58" t="str">
        <f t="shared" si="15"/>
        <v>#REF!</v>
      </c>
      <c r="M54" s="58" t="str">
        <f t="shared" si="15"/>
        <v>#REF!</v>
      </c>
      <c r="N54" s="58" t="str">
        <f t="shared" si="15"/>
        <v>#REF!</v>
      </c>
      <c r="O54" s="58" t="str">
        <f t="shared" si="15"/>
        <v>#REF!</v>
      </c>
    </row>
    <row r="55" ht="12.75" customHeight="1">
      <c r="A55" s="118"/>
      <c r="C55" s="58"/>
      <c r="D55" s="58"/>
      <c r="E55" s="58"/>
      <c r="F55" s="58"/>
      <c r="G55" s="58"/>
      <c r="H55" s="58"/>
      <c r="I55" s="58"/>
      <c r="J55" s="58"/>
      <c r="K55" s="58"/>
      <c r="L55" s="58"/>
      <c r="M55" s="58"/>
      <c r="N55" s="58"/>
      <c r="O55" s="58"/>
    </row>
    <row r="56" ht="12.75" customHeight="1">
      <c r="A56" s="118" t="s">
        <v>150</v>
      </c>
      <c r="C56" s="58">
        <f>SUM(C44,C54)</f>
        <v>251400</v>
      </c>
      <c r="D56" s="58"/>
      <c r="E56" s="58">
        <f t="shared" ref="E56:O56" si="16">SUM(E44,E54)</f>
        <v>602165</v>
      </c>
      <c r="F56" s="58" t="str">
        <f t="shared" si="16"/>
        <v>#REF!</v>
      </c>
      <c r="G56" s="58" t="str">
        <f t="shared" si="16"/>
        <v>#REF!</v>
      </c>
      <c r="H56" s="58" t="str">
        <f t="shared" si="16"/>
        <v>#REF!</v>
      </c>
      <c r="I56" s="58" t="str">
        <f t="shared" si="16"/>
        <v>#REF!</v>
      </c>
      <c r="J56" s="58" t="str">
        <f t="shared" si="16"/>
        <v>#REF!</v>
      </c>
      <c r="K56" s="58" t="str">
        <f t="shared" si="16"/>
        <v>#REF!</v>
      </c>
      <c r="L56" s="58" t="str">
        <f t="shared" si="16"/>
        <v>#REF!</v>
      </c>
      <c r="M56" s="58" t="str">
        <f t="shared" si="16"/>
        <v>#REF!</v>
      </c>
      <c r="N56" s="58" t="str">
        <f t="shared" si="16"/>
        <v>#REF!</v>
      </c>
      <c r="O56" s="58" t="str">
        <f t="shared" si="16"/>
        <v>#REF!</v>
      </c>
    </row>
    <row r="57" ht="12.75" customHeight="1">
      <c r="C57" s="58"/>
      <c r="D57" s="58"/>
      <c r="E57" s="58"/>
      <c r="F57" s="58"/>
      <c r="G57" s="58"/>
      <c r="H57" s="58"/>
      <c r="I57" s="58"/>
      <c r="J57" s="58"/>
      <c r="K57" s="58"/>
      <c r="L57" s="58"/>
      <c r="M57" s="58"/>
      <c r="N57" s="58"/>
      <c r="O57" s="58"/>
    </row>
    <row r="58" ht="12.75" customHeight="1">
      <c r="A58" s="118" t="s">
        <v>151</v>
      </c>
      <c r="C58" s="58">
        <f>SUM(C42,C56)</f>
        <v>349200</v>
      </c>
      <c r="D58" s="58"/>
      <c r="E58" s="58">
        <f t="shared" ref="E58:O58" si="17">SUM(E42,E56)</f>
        <v>699965</v>
      </c>
      <c r="F58" s="58" t="str">
        <f t="shared" si="17"/>
        <v>#REF!</v>
      </c>
      <c r="G58" s="58" t="str">
        <f t="shared" si="17"/>
        <v>#REF!</v>
      </c>
      <c r="H58" s="58" t="str">
        <f t="shared" si="17"/>
        <v>#REF!</v>
      </c>
      <c r="I58" s="58" t="str">
        <f t="shared" si="17"/>
        <v>#REF!</v>
      </c>
      <c r="J58" s="58" t="str">
        <f t="shared" si="17"/>
        <v>#REF!</v>
      </c>
      <c r="K58" s="58" t="str">
        <f t="shared" si="17"/>
        <v>#REF!</v>
      </c>
      <c r="L58" s="58" t="str">
        <f t="shared" si="17"/>
        <v>#REF!</v>
      </c>
      <c r="M58" s="58" t="str">
        <f t="shared" si="17"/>
        <v>#REF!</v>
      </c>
      <c r="N58" s="58" t="str">
        <f t="shared" si="17"/>
        <v>#REF!</v>
      </c>
      <c r="O58" s="58" t="str">
        <f t="shared" si="17"/>
        <v>#REF!</v>
      </c>
    </row>
    <row r="59" ht="12.75" customHeight="1">
      <c r="C59" s="58"/>
      <c r="D59" s="58"/>
      <c r="E59" s="58"/>
      <c r="F59" s="58"/>
      <c r="G59" s="58"/>
      <c r="H59" s="58"/>
      <c r="I59" s="58"/>
      <c r="J59" s="58"/>
      <c r="K59" s="58"/>
      <c r="L59" s="58"/>
      <c r="M59" s="58"/>
      <c r="N59" s="58"/>
      <c r="O59" s="58"/>
    </row>
    <row r="60" ht="12.75" customHeight="1">
      <c r="A60" s="118" t="s">
        <v>152</v>
      </c>
      <c r="C60" s="58"/>
      <c r="D60" s="58"/>
      <c r="E60" s="58"/>
      <c r="F60" s="58"/>
      <c r="G60" s="58"/>
      <c r="H60" s="58"/>
      <c r="I60" s="58"/>
      <c r="J60" s="58"/>
      <c r="K60" s="58"/>
      <c r="L60" s="58"/>
      <c r="M60" s="58"/>
      <c r="N60" s="58"/>
      <c r="O60" s="58"/>
    </row>
    <row r="61" ht="12.75" customHeight="1">
      <c r="A61" s="137" t="str">
        <f>Input!A35</f>
        <v>Preferred Stock</v>
      </c>
      <c r="C61" s="58">
        <v>0.0</v>
      </c>
      <c r="D61" s="58">
        <f>Input!C35</f>
        <v>60000</v>
      </c>
      <c r="E61" s="58">
        <f t="shared" ref="E61:E63" si="18">SUM(C61:D61)</f>
        <v>60000</v>
      </c>
      <c r="F61" s="58">
        <f>E61+Cash_Flow!D18-Cash_Flow!D92</f>
        <v>64200</v>
      </c>
      <c r="G61" s="58">
        <f>F61+Cash_Flow!E18-Cash_Flow!E92</f>
        <v>68694</v>
      </c>
      <c r="H61" s="58">
        <f>G61+Cash_Flow!F18-Cash_Flow!F92</f>
        <v>73502.58</v>
      </c>
      <c r="I61" s="58">
        <f>H61+Cash_Flow!G18-Cash_Flow!G92</f>
        <v>78647.7606</v>
      </c>
      <c r="J61" s="58">
        <f>I61+Cash_Flow!H18-Cash_Flow!H92</f>
        <v>84153.10384</v>
      </c>
      <c r="K61" s="58">
        <f>J61+Cash_Flow!I18-Cash_Flow!I92</f>
        <v>84153.10384</v>
      </c>
      <c r="L61" s="58">
        <f>K61+Cash_Flow!J18-Cash_Flow!J92</f>
        <v>84153.10384</v>
      </c>
      <c r="M61" s="58">
        <f>L61+Cash_Flow!K18-Cash_Flow!K92</f>
        <v>84153.10384</v>
      </c>
      <c r="N61" s="58">
        <f>M61+Cash_Flow!L18-Cash_Flow!L92</f>
        <v>84153.10384</v>
      </c>
      <c r="O61" s="58">
        <f>N61+Cash_Flow!M18-Cash_Flow!M92</f>
        <v>84153.10384</v>
      </c>
    </row>
    <row r="62" ht="12.75" customHeight="1">
      <c r="A62" s="137" t="s">
        <v>153</v>
      </c>
      <c r="C62" s="141">
        <v>440000.0</v>
      </c>
      <c r="D62" s="58">
        <f>-C62+SUM(Input!C37:C39)</f>
        <v>-155000</v>
      </c>
      <c r="E62" s="58">
        <f t="shared" si="18"/>
        <v>285000</v>
      </c>
      <c r="F62" s="58">
        <f t="shared" ref="F62:O62" si="19">E62</f>
        <v>285000</v>
      </c>
      <c r="G62" s="58">
        <f t="shared" si="19"/>
        <v>285000</v>
      </c>
      <c r="H62" s="58">
        <f t="shared" si="19"/>
        <v>285000</v>
      </c>
      <c r="I62" s="58">
        <f t="shared" si="19"/>
        <v>285000</v>
      </c>
      <c r="J62" s="58">
        <f t="shared" si="19"/>
        <v>285000</v>
      </c>
      <c r="K62" s="58">
        <f t="shared" si="19"/>
        <v>285000</v>
      </c>
      <c r="L62" s="58">
        <f t="shared" si="19"/>
        <v>285000</v>
      </c>
      <c r="M62" s="58">
        <f t="shared" si="19"/>
        <v>285000</v>
      </c>
      <c r="N62" s="58">
        <f t="shared" si="19"/>
        <v>285000</v>
      </c>
      <c r="O62" s="58">
        <f t="shared" si="19"/>
        <v>285000</v>
      </c>
    </row>
    <row r="63" ht="12.75" customHeight="1">
      <c r="A63" s="137" t="s">
        <v>154</v>
      </c>
      <c r="C63" s="141">
        <v>24749.0</v>
      </c>
      <c r="D63" s="58">
        <f>-C63-Input!C16-MIN(0,Input!C53)</f>
        <v>-27249</v>
      </c>
      <c r="E63" s="58">
        <f t="shared" si="18"/>
        <v>-2500</v>
      </c>
      <c r="F63" s="58" t="str">
        <f>E63+Inc_St!D49</f>
        <v>#REF!</v>
      </c>
      <c r="G63" s="58" t="str">
        <f>F63+Inc_St!E49</f>
        <v>#REF!</v>
      </c>
      <c r="H63" s="58" t="str">
        <f>G63+Inc_St!F49</f>
        <v>#REF!</v>
      </c>
      <c r="I63" s="58" t="str">
        <f>H63+Inc_St!G49</f>
        <v>#REF!</v>
      </c>
      <c r="J63" s="58" t="str">
        <f>I63+Inc_St!H49</f>
        <v>#REF!</v>
      </c>
      <c r="K63" s="58" t="str">
        <f>J63+Inc_St!I49</f>
        <v>#REF!</v>
      </c>
      <c r="L63" s="58" t="str">
        <f>K63+Inc_St!J49</f>
        <v>#REF!</v>
      </c>
      <c r="M63" s="58" t="str">
        <f>L63+Inc_St!K49</f>
        <v>#REF!</v>
      </c>
      <c r="N63" s="58" t="str">
        <f>M63+Inc_St!L49</f>
        <v>#REF!</v>
      </c>
      <c r="O63" s="58" t="str">
        <f>N63+Inc_St!M49</f>
        <v>#REF!</v>
      </c>
    </row>
    <row r="64" ht="12.75" customHeight="1">
      <c r="C64" s="58"/>
      <c r="D64" s="58"/>
      <c r="E64" s="58"/>
      <c r="F64" s="58"/>
      <c r="G64" s="58"/>
      <c r="H64" s="58"/>
      <c r="I64" s="58"/>
      <c r="J64" s="58"/>
      <c r="K64" s="58"/>
      <c r="L64" s="58"/>
      <c r="M64" s="58"/>
      <c r="N64" s="58"/>
      <c r="O64" s="58"/>
    </row>
    <row r="65" ht="12.75" customHeight="1">
      <c r="A65" s="118" t="s">
        <v>155</v>
      </c>
      <c r="C65" s="58">
        <f>SUM(C61:C63)</f>
        <v>464749</v>
      </c>
      <c r="D65" s="58"/>
      <c r="E65" s="58">
        <f t="shared" ref="E65:O65" si="20">SUM(E61:E63)</f>
        <v>342500</v>
      </c>
      <c r="F65" s="58" t="str">
        <f t="shared" si="20"/>
        <v>#REF!</v>
      </c>
      <c r="G65" s="58" t="str">
        <f t="shared" si="20"/>
        <v>#REF!</v>
      </c>
      <c r="H65" s="58" t="str">
        <f t="shared" si="20"/>
        <v>#REF!</v>
      </c>
      <c r="I65" s="58" t="str">
        <f t="shared" si="20"/>
        <v>#REF!</v>
      </c>
      <c r="J65" s="58" t="str">
        <f t="shared" si="20"/>
        <v>#REF!</v>
      </c>
      <c r="K65" s="58" t="str">
        <f t="shared" si="20"/>
        <v>#REF!</v>
      </c>
      <c r="L65" s="58" t="str">
        <f t="shared" si="20"/>
        <v>#REF!</v>
      </c>
      <c r="M65" s="58" t="str">
        <f t="shared" si="20"/>
        <v>#REF!</v>
      </c>
      <c r="N65" s="58" t="str">
        <f t="shared" si="20"/>
        <v>#REF!</v>
      </c>
      <c r="O65" s="58" t="str">
        <f t="shared" si="20"/>
        <v>#REF!</v>
      </c>
    </row>
    <row r="66" ht="12.75" customHeight="1">
      <c r="C66" s="58"/>
      <c r="D66" s="58"/>
      <c r="E66" s="58"/>
      <c r="F66" s="58"/>
      <c r="G66" s="58"/>
      <c r="H66" s="58"/>
      <c r="I66" s="58"/>
      <c r="J66" s="58"/>
      <c r="K66" s="58"/>
      <c r="L66" s="58"/>
      <c r="M66" s="58"/>
      <c r="N66" s="58"/>
      <c r="O66" s="58"/>
    </row>
    <row r="67" ht="12.75" customHeight="1">
      <c r="A67" s="139" t="s">
        <v>156</v>
      </c>
      <c r="C67" s="73">
        <f>SUM(C58,C65)</f>
        <v>813949</v>
      </c>
      <c r="D67" s="73">
        <f>SUM(D38:D66)</f>
        <v>228516</v>
      </c>
      <c r="E67" s="73">
        <f t="shared" ref="E67:O67" si="21">SUM(E58,E65)</f>
        <v>1042465</v>
      </c>
      <c r="F67" s="73" t="str">
        <f t="shared" si="21"/>
        <v>#REF!</v>
      </c>
      <c r="G67" s="73" t="str">
        <f t="shared" si="21"/>
        <v>#REF!</v>
      </c>
      <c r="H67" s="73" t="str">
        <f t="shared" si="21"/>
        <v>#REF!</v>
      </c>
      <c r="I67" s="73" t="str">
        <f t="shared" si="21"/>
        <v>#REF!</v>
      </c>
      <c r="J67" s="73" t="str">
        <f t="shared" si="21"/>
        <v>#REF!</v>
      </c>
      <c r="K67" s="73" t="str">
        <f t="shared" si="21"/>
        <v>#REF!</v>
      </c>
      <c r="L67" s="73" t="str">
        <f t="shared" si="21"/>
        <v>#REF!</v>
      </c>
      <c r="M67" s="73" t="str">
        <f t="shared" si="21"/>
        <v>#REF!</v>
      </c>
      <c r="N67" s="73" t="str">
        <f t="shared" si="21"/>
        <v>#REF!</v>
      </c>
      <c r="O67" s="73" t="str">
        <f t="shared" si="21"/>
        <v>#REF!</v>
      </c>
    </row>
    <row r="68" ht="12.75" customHeight="1">
      <c r="C68" s="58"/>
      <c r="D68" s="58"/>
      <c r="E68" s="58"/>
      <c r="F68" s="58"/>
      <c r="G68" s="58"/>
      <c r="H68" s="58"/>
      <c r="I68" s="58"/>
      <c r="J68" s="58"/>
      <c r="K68" s="58"/>
      <c r="L68" s="58"/>
      <c r="M68" s="58"/>
      <c r="N68" s="58"/>
      <c r="O68" s="58"/>
    </row>
    <row r="69" ht="12.75" customHeight="1">
      <c r="C69" s="58"/>
      <c r="D69" s="58"/>
      <c r="E69" s="58"/>
      <c r="F69" s="58"/>
      <c r="G69" s="58"/>
      <c r="H69" s="58"/>
      <c r="I69" s="58"/>
      <c r="J69" s="58"/>
      <c r="K69" s="58"/>
      <c r="L69" s="58"/>
      <c r="M69" s="58"/>
      <c r="N69" s="58"/>
      <c r="O69" s="58"/>
    </row>
    <row r="70" ht="12.75" customHeight="1">
      <c r="A70" s="148" t="s">
        <v>157</v>
      </c>
      <c r="C70" s="58">
        <f t="shared" ref="C70:O70" si="22">C32-C67</f>
        <v>0</v>
      </c>
      <c r="D70" s="58">
        <f t="shared" si="22"/>
        <v>0</v>
      </c>
      <c r="E70" s="58">
        <f t="shared" si="22"/>
        <v>0</v>
      </c>
      <c r="F70" s="58" t="str">
        <f t="shared" si="22"/>
        <v>#REF!</v>
      </c>
      <c r="G70" s="58" t="str">
        <f t="shared" si="22"/>
        <v>#REF!</v>
      </c>
      <c r="H70" s="58" t="str">
        <f t="shared" si="22"/>
        <v>#REF!</v>
      </c>
      <c r="I70" s="58" t="str">
        <f t="shared" si="22"/>
        <v>#REF!</v>
      </c>
      <c r="J70" s="58" t="str">
        <f t="shared" si="22"/>
        <v>#REF!</v>
      </c>
      <c r="K70" s="58" t="str">
        <f t="shared" si="22"/>
        <v>#REF!</v>
      </c>
      <c r="L70" s="58" t="str">
        <f t="shared" si="22"/>
        <v>#REF!</v>
      </c>
      <c r="M70" s="58" t="str">
        <f t="shared" si="22"/>
        <v>#REF!</v>
      </c>
      <c r="N70" s="58" t="str">
        <f t="shared" si="22"/>
        <v>#REF!</v>
      </c>
      <c r="O70" s="58" t="str">
        <f t="shared" si="22"/>
        <v>#REF!</v>
      </c>
    </row>
    <row r="71" ht="12.75" customHeight="1">
      <c r="A71" s="118"/>
      <c r="C71" s="58"/>
      <c r="D71" s="58"/>
      <c r="E71" s="58"/>
      <c r="F71" s="58"/>
      <c r="G71" s="58"/>
      <c r="H71" s="58"/>
      <c r="I71" s="58"/>
      <c r="J71" s="58"/>
      <c r="K71" s="58"/>
      <c r="L71" s="58"/>
      <c r="M71" s="58"/>
      <c r="N71" s="58"/>
      <c r="O71" s="58"/>
    </row>
    <row r="72" ht="12.75" customHeight="1">
      <c r="C72" s="58"/>
      <c r="D72" s="58"/>
      <c r="E72" s="58"/>
      <c r="F72" s="58"/>
      <c r="G72" s="58"/>
      <c r="H72" s="58"/>
      <c r="I72" s="58"/>
      <c r="J72" s="58"/>
      <c r="K72" s="58"/>
      <c r="L72" s="58"/>
      <c r="M72" s="58"/>
      <c r="N72" s="58"/>
      <c r="O72" s="58"/>
    </row>
    <row r="73" ht="12.75" customHeight="1">
      <c r="C73" s="58"/>
      <c r="D73" s="58"/>
      <c r="E73" s="58"/>
      <c r="F73" s="58"/>
      <c r="G73" s="58"/>
      <c r="H73" s="58"/>
      <c r="I73" s="58"/>
      <c r="J73" s="58"/>
      <c r="K73" s="58"/>
      <c r="L73" s="58"/>
      <c r="M73" s="58"/>
      <c r="N73" s="58"/>
      <c r="O73" s="58"/>
    </row>
    <row r="74" ht="12.75" customHeight="1">
      <c r="C74" s="4"/>
      <c r="D74" s="4"/>
      <c r="E74" s="58"/>
      <c r="F74" s="58"/>
      <c r="G74" s="58"/>
      <c r="H74" s="58"/>
      <c r="I74" s="58"/>
      <c r="J74" s="58"/>
      <c r="K74" s="58"/>
      <c r="L74" s="58"/>
      <c r="M74" s="58"/>
      <c r="N74" s="58"/>
      <c r="O74" s="58"/>
    </row>
    <row r="75" ht="12.75" customHeight="1">
      <c r="C75" s="4"/>
      <c r="D75" s="4"/>
      <c r="E75" s="4"/>
      <c r="F75" s="58"/>
      <c r="G75" s="58"/>
      <c r="H75" s="58"/>
      <c r="I75" s="58"/>
      <c r="J75" s="58"/>
      <c r="K75" s="58"/>
      <c r="L75" s="58"/>
      <c r="M75" s="58"/>
      <c r="N75" s="58"/>
      <c r="O75" s="58"/>
    </row>
    <row r="76" ht="12.75" customHeight="1">
      <c r="C76" s="4"/>
      <c r="D76" s="4"/>
      <c r="E76" s="4"/>
      <c r="F76" s="58"/>
      <c r="G76" s="58"/>
      <c r="H76" s="58"/>
      <c r="I76" s="58"/>
      <c r="J76" s="58"/>
      <c r="K76" s="58"/>
      <c r="L76" s="58"/>
      <c r="M76" s="58"/>
      <c r="N76" s="58"/>
      <c r="O76" s="58"/>
    </row>
    <row r="77" ht="12.75" customHeight="1">
      <c r="C77" s="4"/>
      <c r="D77" s="4"/>
      <c r="E77" s="4"/>
      <c r="F77" s="58"/>
      <c r="G77" s="58"/>
      <c r="H77" s="58"/>
      <c r="I77" s="58"/>
      <c r="J77" s="58"/>
      <c r="K77" s="58"/>
      <c r="L77" s="58"/>
      <c r="M77" s="58"/>
      <c r="N77" s="58"/>
      <c r="O77" s="58"/>
    </row>
    <row r="78" ht="12.75" customHeight="1">
      <c r="C78" s="4"/>
      <c r="D78" s="4"/>
      <c r="E78" s="4"/>
      <c r="F78" s="58"/>
      <c r="G78" s="58"/>
      <c r="H78" s="58"/>
      <c r="I78" s="58"/>
      <c r="J78" s="58"/>
      <c r="K78" s="58"/>
      <c r="L78" s="58"/>
      <c r="M78" s="58"/>
      <c r="N78" s="58"/>
      <c r="O78" s="58"/>
    </row>
    <row r="79" ht="12.75" customHeight="1">
      <c r="C79" s="4"/>
      <c r="D79" s="4"/>
      <c r="E79" s="4"/>
      <c r="F79" s="58"/>
      <c r="G79" s="58"/>
      <c r="H79" s="58"/>
      <c r="I79" s="58"/>
      <c r="J79" s="58"/>
      <c r="K79" s="58"/>
      <c r="L79" s="58"/>
      <c r="M79" s="58"/>
      <c r="N79" s="58"/>
      <c r="O79" s="58"/>
    </row>
    <row r="80" ht="12.75" customHeight="1">
      <c r="C80" s="4"/>
      <c r="D80" s="4"/>
      <c r="E80" s="4"/>
      <c r="F80" s="58"/>
      <c r="G80" s="58"/>
      <c r="H80" s="58"/>
      <c r="I80" s="58"/>
      <c r="J80" s="58"/>
      <c r="K80" s="58"/>
      <c r="L80" s="58"/>
      <c r="M80" s="58"/>
      <c r="N80" s="58"/>
      <c r="O80" s="58"/>
    </row>
    <row r="81" ht="12.75" customHeight="1">
      <c r="C81" s="4"/>
      <c r="D81" s="4"/>
      <c r="E81" s="4"/>
      <c r="F81" s="58"/>
      <c r="G81" s="58"/>
      <c r="H81" s="58"/>
      <c r="I81" s="58"/>
      <c r="J81" s="58"/>
      <c r="K81" s="58"/>
      <c r="L81" s="58"/>
      <c r="M81" s="58"/>
      <c r="N81" s="58"/>
      <c r="O81" s="58"/>
    </row>
    <row r="82" ht="12.75" customHeight="1">
      <c r="C82" s="4"/>
      <c r="D82" s="4"/>
      <c r="E82" s="4"/>
      <c r="F82" s="58"/>
      <c r="G82" s="58"/>
      <c r="H82" s="58"/>
      <c r="I82" s="58"/>
      <c r="J82" s="58"/>
      <c r="K82" s="58"/>
      <c r="L82" s="58"/>
      <c r="M82" s="58"/>
      <c r="N82" s="58"/>
      <c r="O82" s="58"/>
    </row>
    <row r="83" ht="12.75" customHeight="1">
      <c r="C83" s="4"/>
      <c r="D83" s="4"/>
      <c r="E83" s="4"/>
      <c r="F83" s="58"/>
      <c r="G83" s="58"/>
      <c r="H83" s="58"/>
      <c r="I83" s="58"/>
      <c r="J83" s="58"/>
      <c r="K83" s="58"/>
      <c r="L83" s="58"/>
      <c r="M83" s="58"/>
      <c r="N83" s="58"/>
      <c r="O83" s="58"/>
    </row>
    <row r="84" ht="12.75" customHeight="1">
      <c r="C84" s="4"/>
      <c r="D84" s="4"/>
      <c r="E84" s="4"/>
      <c r="F84" s="58"/>
      <c r="G84" s="58"/>
      <c r="H84" s="58"/>
      <c r="I84" s="58"/>
      <c r="J84" s="58"/>
      <c r="K84" s="58"/>
      <c r="L84" s="58"/>
      <c r="M84" s="58"/>
      <c r="N84" s="58"/>
      <c r="O84" s="58"/>
    </row>
    <row r="85" ht="12.75" customHeight="1">
      <c r="C85" s="4"/>
      <c r="D85" s="4"/>
      <c r="E85" s="4"/>
      <c r="F85" s="58"/>
      <c r="G85" s="58"/>
      <c r="H85" s="58"/>
      <c r="I85" s="58"/>
      <c r="J85" s="58"/>
      <c r="K85" s="58"/>
      <c r="L85" s="58"/>
      <c r="M85" s="58"/>
      <c r="N85" s="58"/>
      <c r="O85" s="58"/>
    </row>
    <row r="86" ht="12.75" customHeight="1">
      <c r="C86" s="4"/>
      <c r="D86" s="4"/>
      <c r="E86" s="4"/>
      <c r="F86" s="58"/>
      <c r="G86" s="58"/>
      <c r="H86" s="58"/>
      <c r="I86" s="58"/>
      <c r="J86" s="58"/>
      <c r="K86" s="58"/>
      <c r="L86" s="58"/>
      <c r="M86" s="58"/>
      <c r="N86" s="58"/>
      <c r="O86" s="58"/>
    </row>
    <row r="87" ht="12.75" customHeight="1">
      <c r="C87" s="4"/>
      <c r="D87" s="4"/>
      <c r="E87" s="4"/>
      <c r="F87" s="58"/>
      <c r="G87" s="58"/>
      <c r="H87" s="58"/>
      <c r="I87" s="58"/>
      <c r="J87" s="58"/>
      <c r="K87" s="58"/>
      <c r="L87" s="58"/>
      <c r="M87" s="58"/>
      <c r="N87" s="58"/>
      <c r="O87" s="58"/>
    </row>
    <row r="88" ht="12.75" customHeight="1">
      <c r="C88" s="4"/>
      <c r="D88" s="4"/>
      <c r="E88" s="4"/>
      <c r="F88" s="58"/>
      <c r="G88" s="58"/>
      <c r="H88" s="58"/>
      <c r="I88" s="58"/>
      <c r="J88" s="58"/>
      <c r="K88" s="58"/>
      <c r="L88" s="58"/>
      <c r="M88" s="58"/>
      <c r="N88" s="58"/>
      <c r="O88" s="58"/>
    </row>
    <row r="89" ht="12.75" customHeight="1">
      <c r="C89" s="4"/>
      <c r="D89" s="4"/>
      <c r="E89" s="4"/>
      <c r="F89" s="58"/>
      <c r="G89" s="58"/>
      <c r="H89" s="58"/>
      <c r="I89" s="58"/>
      <c r="J89" s="58"/>
      <c r="K89" s="58"/>
      <c r="L89" s="58"/>
      <c r="M89" s="58"/>
      <c r="N89" s="58"/>
      <c r="O89" s="58"/>
    </row>
    <row r="90" ht="12.75" customHeight="1">
      <c r="F90" s="58"/>
      <c r="G90" s="58"/>
      <c r="H90" s="58"/>
      <c r="I90" s="58"/>
      <c r="J90" s="58"/>
      <c r="K90" s="58"/>
      <c r="L90" s="58"/>
      <c r="M90" s="58"/>
      <c r="N90" s="58"/>
      <c r="O90" s="58"/>
    </row>
    <row r="91" ht="12.75" customHeight="1">
      <c r="F91" s="58"/>
      <c r="G91" s="58"/>
      <c r="H91" s="58"/>
      <c r="I91" s="58"/>
      <c r="J91" s="58"/>
      <c r="K91" s="58"/>
      <c r="L91" s="58"/>
      <c r="M91" s="58"/>
      <c r="N91" s="58"/>
      <c r="O91" s="58"/>
    </row>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24.0"/>
    <col customWidth="1" min="2" max="2" width="19.5"/>
    <col customWidth="1" min="3" max="3" width="3.38"/>
    <col customWidth="1" min="4" max="13" width="10.63"/>
    <col customWidth="1" min="14" max="20" width="10.38"/>
    <col customWidth="1" min="21" max="33" width="8.0"/>
  </cols>
  <sheetData>
    <row r="1" ht="12.75" customHeight="1"/>
    <row r="2" ht="15.0" customHeight="1">
      <c r="A2" s="115" t="s">
        <v>158</v>
      </c>
    </row>
    <row r="3" ht="12.75" customHeight="1"/>
    <row r="4" ht="12.75" customHeight="1">
      <c r="A4" s="4" t="s">
        <v>105</v>
      </c>
      <c r="C4" s="119"/>
      <c r="D4" s="120">
        <v>2016.0</v>
      </c>
      <c r="E4" s="121">
        <f t="shared" ref="E4:M4" si="1">D4+1</f>
        <v>2017</v>
      </c>
      <c r="F4" s="121">
        <f t="shared" si="1"/>
        <v>2018</v>
      </c>
      <c r="G4" s="121">
        <f t="shared" si="1"/>
        <v>2019</v>
      </c>
      <c r="H4" s="121">
        <f t="shared" si="1"/>
        <v>2020</v>
      </c>
      <c r="I4" s="121">
        <f t="shared" si="1"/>
        <v>2021</v>
      </c>
      <c r="J4" s="121">
        <f t="shared" si="1"/>
        <v>2022</v>
      </c>
      <c r="K4" s="121">
        <f t="shared" si="1"/>
        <v>2023</v>
      </c>
      <c r="L4" s="121">
        <f t="shared" si="1"/>
        <v>2024</v>
      </c>
      <c r="M4" s="121">
        <f t="shared" si="1"/>
        <v>2025</v>
      </c>
    </row>
    <row r="5" ht="12.75" customHeight="1">
      <c r="A5" s="4" t="s">
        <v>106</v>
      </c>
      <c r="C5" s="119"/>
      <c r="D5" s="123">
        <v>1.0</v>
      </c>
      <c r="E5" s="124">
        <f t="shared" ref="E5:M5" si="2">D5+1</f>
        <v>2</v>
      </c>
      <c r="F5" s="124">
        <f t="shared" si="2"/>
        <v>3</v>
      </c>
      <c r="G5" s="124">
        <f t="shared" si="2"/>
        <v>4</v>
      </c>
      <c r="H5" s="124">
        <f t="shared" si="2"/>
        <v>5</v>
      </c>
      <c r="I5" s="124">
        <f t="shared" si="2"/>
        <v>6</v>
      </c>
      <c r="J5" s="124">
        <f t="shared" si="2"/>
        <v>7</v>
      </c>
      <c r="K5" s="124">
        <f t="shared" si="2"/>
        <v>8</v>
      </c>
      <c r="L5" s="124">
        <f t="shared" si="2"/>
        <v>9</v>
      </c>
      <c r="M5" s="124">
        <f t="shared" si="2"/>
        <v>10</v>
      </c>
      <c r="N5" s="125"/>
      <c r="O5" s="125"/>
      <c r="P5" s="125"/>
      <c r="Q5" s="125"/>
      <c r="R5" s="125"/>
      <c r="S5" s="125"/>
      <c r="T5" s="125"/>
      <c r="U5" s="125"/>
      <c r="V5" s="125"/>
      <c r="W5" s="125"/>
      <c r="X5" s="125"/>
      <c r="Y5" s="125"/>
      <c r="Z5" s="125"/>
      <c r="AA5" s="125"/>
      <c r="AB5" s="125"/>
      <c r="AC5" s="125"/>
      <c r="AD5" s="125"/>
      <c r="AE5" s="125"/>
      <c r="AF5" s="125"/>
      <c r="AG5" s="125"/>
    </row>
    <row r="6" ht="12.75" customHeight="1">
      <c r="A6" s="4"/>
      <c r="D6" s="125"/>
      <c r="E6" s="125"/>
      <c r="F6" s="125"/>
      <c r="G6" s="125"/>
      <c r="H6" s="125"/>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row>
    <row r="7" ht="12.75" customHeight="1">
      <c r="A7" s="149" t="s">
        <v>159</v>
      </c>
      <c r="C7" s="4"/>
      <c r="D7" s="145"/>
      <c r="E7" s="145"/>
      <c r="F7" s="145"/>
      <c r="G7" s="145"/>
      <c r="H7" s="145"/>
      <c r="I7" s="145"/>
      <c r="J7" s="145"/>
      <c r="K7" s="145"/>
      <c r="L7" s="145"/>
      <c r="M7" s="145"/>
      <c r="N7" s="145"/>
      <c r="O7" s="145"/>
      <c r="P7" s="125"/>
      <c r="Q7" s="125"/>
      <c r="R7" s="125"/>
      <c r="S7" s="125"/>
      <c r="T7" s="125"/>
      <c r="U7" s="125"/>
      <c r="V7" s="125"/>
      <c r="W7" s="125"/>
      <c r="X7" s="125"/>
      <c r="Y7" s="125"/>
      <c r="Z7" s="125"/>
      <c r="AA7" s="125"/>
      <c r="AB7" s="125"/>
      <c r="AC7" s="125"/>
      <c r="AD7" s="125"/>
      <c r="AE7" s="125"/>
      <c r="AF7" s="125"/>
      <c r="AG7" s="125"/>
    </row>
    <row r="8" ht="12.75" customHeight="1">
      <c r="A8" s="4"/>
      <c r="C8" s="4"/>
      <c r="D8" s="145"/>
      <c r="E8" s="145"/>
      <c r="F8" s="145"/>
      <c r="G8" s="145"/>
      <c r="H8" s="145"/>
      <c r="I8" s="145"/>
      <c r="J8" s="145"/>
      <c r="K8" s="145"/>
      <c r="L8" s="145"/>
      <c r="M8" s="145"/>
      <c r="N8" s="145"/>
      <c r="O8" s="145"/>
      <c r="P8" s="125"/>
      <c r="Q8" s="125"/>
      <c r="R8" s="125"/>
      <c r="S8" s="125"/>
      <c r="T8" s="125"/>
      <c r="U8" s="125"/>
      <c r="V8" s="125"/>
      <c r="W8" s="125"/>
      <c r="X8" s="125"/>
      <c r="Y8" s="125"/>
      <c r="Z8" s="125"/>
      <c r="AA8" s="125"/>
      <c r="AB8" s="125"/>
      <c r="AC8" s="125"/>
      <c r="AD8" s="125"/>
      <c r="AE8" s="125"/>
      <c r="AF8" s="125"/>
      <c r="AG8" s="125"/>
    </row>
    <row r="9" ht="12.75" customHeight="1">
      <c r="A9" s="4" t="str">
        <f>Inc_St!A49</f>
        <v>Net Income to Common Shareholders</v>
      </c>
      <c r="C9" s="58"/>
      <c r="D9" s="58" t="str">
        <f>Inc_St!D49</f>
        <v>#REF!</v>
      </c>
      <c r="E9" s="58" t="str">
        <f>Inc_St!E49</f>
        <v>#REF!</v>
      </c>
      <c r="F9" s="58" t="str">
        <f>Inc_St!F49</f>
        <v>#REF!</v>
      </c>
      <c r="G9" s="58" t="str">
        <f>Inc_St!G49</f>
        <v>#REF!</v>
      </c>
      <c r="H9" s="58" t="str">
        <f>Inc_St!H49</f>
        <v>#REF!</v>
      </c>
      <c r="I9" s="58" t="str">
        <f>Inc_St!I49</f>
        <v>#REF!</v>
      </c>
      <c r="J9" s="58" t="str">
        <f>Inc_St!J49</f>
        <v>#REF!</v>
      </c>
      <c r="K9" s="58" t="str">
        <f>Inc_St!K49</f>
        <v>#REF!</v>
      </c>
      <c r="L9" s="58" t="str">
        <f>Inc_St!L49</f>
        <v>#REF!</v>
      </c>
      <c r="M9" s="58" t="str">
        <f>Inc_St!M49</f>
        <v>#REF!</v>
      </c>
      <c r="N9" s="58"/>
      <c r="O9" s="58"/>
    </row>
    <row r="10" ht="12.75" customHeight="1">
      <c r="A10" s="4"/>
      <c r="C10" s="58"/>
      <c r="D10" s="58"/>
      <c r="E10" s="58"/>
      <c r="F10" s="58"/>
      <c r="G10" s="58"/>
      <c r="H10" s="58"/>
      <c r="I10" s="58"/>
      <c r="J10" s="58"/>
      <c r="K10" s="58"/>
      <c r="L10" s="58"/>
      <c r="M10" s="58"/>
      <c r="N10" s="58"/>
      <c r="O10" s="58"/>
    </row>
    <row r="11" ht="12.75" customHeight="1">
      <c r="A11" s="4" t="s">
        <v>160</v>
      </c>
      <c r="C11" s="58"/>
      <c r="D11" s="58"/>
      <c r="E11" s="58"/>
      <c r="F11" s="58"/>
      <c r="G11" s="58"/>
      <c r="H11" s="58"/>
      <c r="I11" s="58"/>
      <c r="J11" s="58"/>
      <c r="K11" s="58"/>
      <c r="L11" s="58"/>
      <c r="M11" s="58"/>
      <c r="N11" s="58"/>
      <c r="O11" s="58"/>
    </row>
    <row r="12" ht="12.75" customHeight="1">
      <c r="A12" s="150" t="s">
        <v>161</v>
      </c>
      <c r="C12" s="58"/>
      <c r="D12" s="58">
        <f>Inc_St!D20</f>
        <v>72924.16667</v>
      </c>
      <c r="E12" s="58">
        <f>Inc_St!E20</f>
        <v>85024.16667</v>
      </c>
      <c r="F12" s="58">
        <f>Inc_St!F20</f>
        <v>93897.5</v>
      </c>
      <c r="G12" s="58">
        <f>Inc_St!G20</f>
        <v>104355.3571</v>
      </c>
      <c r="H12" s="58">
        <f>Inc_St!H20</f>
        <v>117776.2738</v>
      </c>
      <c r="I12" s="58">
        <f>Inc_St!I20</f>
        <v>128848.5301</v>
      </c>
      <c r="J12" s="58">
        <f>Inc_St!J20</f>
        <v>101531.6441</v>
      </c>
      <c r="K12" s="58">
        <f>Inc_St!K20</f>
        <v>115822.2361</v>
      </c>
      <c r="L12" s="58">
        <f>Inc_St!L20</f>
        <v>128046.8002</v>
      </c>
      <c r="M12" s="58">
        <f>Inc_St!M20</f>
        <v>149661.3207</v>
      </c>
      <c r="N12" s="58"/>
      <c r="O12" s="58"/>
    </row>
    <row r="13" ht="12.75" customHeight="1">
      <c r="A13" s="150" t="s">
        <v>162</v>
      </c>
      <c r="C13" s="58"/>
      <c r="D13" s="58" t="str">
        <f>Inc_St!D36</f>
        <v>#REF!</v>
      </c>
      <c r="E13" s="58" t="str">
        <f>Inc_St!E36</f>
        <v>#REF!</v>
      </c>
      <c r="F13" s="58" t="str">
        <f>Inc_St!F36</f>
        <v>#REF!</v>
      </c>
      <c r="G13" s="58" t="str">
        <f>Inc_St!G36</f>
        <v>#REF!</v>
      </c>
      <c r="H13" s="58" t="str">
        <f>Inc_St!H36</f>
        <v>#REF!</v>
      </c>
      <c r="I13" s="58" t="str">
        <f>Inc_St!I36</f>
        <v>#REF!</v>
      </c>
      <c r="J13" s="58" t="str">
        <f>Inc_St!J36</f>
        <v>#REF!</v>
      </c>
      <c r="K13" s="58" t="str">
        <f>Inc_St!K36</f>
        <v>#REF!</v>
      </c>
      <c r="L13" s="58" t="str">
        <f>Inc_St!L36</f>
        <v>#REF!</v>
      </c>
      <c r="M13" s="58" t="str">
        <f>Inc_St!M36</f>
        <v>#REF!</v>
      </c>
      <c r="N13" s="58"/>
      <c r="O13" s="58"/>
    </row>
    <row r="14" ht="12.75" customHeight="1">
      <c r="A14" s="150" t="s">
        <v>163</v>
      </c>
      <c r="C14" s="58"/>
      <c r="D14" s="58" t="str">
        <f>Income_Tax!D30</f>
        <v>#REF!</v>
      </c>
      <c r="E14" s="58" t="str">
        <f>Income_Tax!E30</f>
        <v>#REF!</v>
      </c>
      <c r="F14" s="58" t="str">
        <f>Income_Tax!F30</f>
        <v>#REF!</v>
      </c>
      <c r="G14" s="58" t="str">
        <f>Income_Tax!G30</f>
        <v>#REF!</v>
      </c>
      <c r="H14" s="58" t="str">
        <f>Income_Tax!H30</f>
        <v>#REF!</v>
      </c>
      <c r="I14" s="58" t="str">
        <f>Income_Tax!I30</f>
        <v>#REF!</v>
      </c>
      <c r="J14" s="58" t="str">
        <f>Income_Tax!J30</f>
        <v>#REF!</v>
      </c>
      <c r="K14" s="58" t="str">
        <f>Income_Tax!K30</f>
        <v>#REF!</v>
      </c>
      <c r="L14" s="58" t="str">
        <f>Income_Tax!L30</f>
        <v>#REF!</v>
      </c>
      <c r="M14" s="58" t="str">
        <f>Income_Tax!M30</f>
        <v>#REF!</v>
      </c>
      <c r="N14" s="58"/>
      <c r="O14" s="58"/>
    </row>
    <row r="15" ht="12.75" customHeight="1">
      <c r="A15" s="150" t="str">
        <f>"Accrued Interest "&amp;Bal_Sheet!A51</f>
        <v>Accrued Interest Subordinated Notes</v>
      </c>
      <c r="C15" s="58"/>
      <c r="D15" s="58">
        <f>IF(sub_notes_years_PIK&gt;=D$5,Inc_St!D30,0)</f>
        <v>1800</v>
      </c>
      <c r="E15" s="58" t="str">
        <f>IF(sub_notes_years_PIK&gt;=E5,Inc_St!E30,0)</f>
        <v>#REF!</v>
      </c>
      <c r="F15" s="58" t="str">
        <f>IF(sub_notes_years_PIK&gt;=F5,Inc_St!F30,0)</f>
        <v>#REF!</v>
      </c>
      <c r="G15" s="58" t="str">
        <f>IF(sub_notes_years_PIK&gt;=G5,Inc_St!G30,0)</f>
        <v>#REF!</v>
      </c>
      <c r="H15" s="58" t="str">
        <f>IF(sub_notes_years_PIK&gt;=H5,Inc_St!H30,0)</f>
        <v>#REF!</v>
      </c>
      <c r="I15" s="58">
        <f>IF(sub_notes_years_PIK&gt;=I5,Inc_St!I30,0)</f>
        <v>0</v>
      </c>
      <c r="J15" s="58">
        <f>IF(sub_notes_years_PIK&gt;=J5,Inc_St!J30,0)</f>
        <v>0</v>
      </c>
      <c r="K15" s="58">
        <f>IF(sub_notes_years_PIK&gt;=K5,Inc_St!K30,0)</f>
        <v>0</v>
      </c>
      <c r="L15" s="58">
        <f>IF(sub_notes_years_PIK&gt;=L5,Inc_St!L30,0)</f>
        <v>0</v>
      </c>
      <c r="M15" s="58">
        <f>IF(sub_notes_years_PIK&gt;=M5,Inc_St!M30,0)</f>
        <v>0</v>
      </c>
      <c r="N15" s="58"/>
      <c r="O15" s="58"/>
    </row>
    <row r="16" ht="12.75" customHeight="1">
      <c r="A16" s="150" t="str">
        <f>"Accrued Interest "&amp;Bal_Sheet!A52</f>
        <v>Accrued Interest Mezzanine Debt</v>
      </c>
      <c r="C16" s="58"/>
      <c r="D16" s="58">
        <f>IF(mezzdebt_years_PIK&gt;=D$5,Inc_St!D31,0)</f>
        <v>3150</v>
      </c>
      <c r="E16" s="58" t="str">
        <f>IF(mezzdebt_years_PIK&gt;=E$5,Inc_St!E31,0)</f>
        <v>#REF!</v>
      </c>
      <c r="F16" s="58" t="str">
        <f>IF(mezzdebt_years_PIK&gt;=F$5,Inc_St!F31,0)</f>
        <v>#REF!</v>
      </c>
      <c r="G16" s="58" t="str">
        <f>IF(mezzdebt_years_PIK&gt;=G$5,Inc_St!G31,0)</f>
        <v>#REF!</v>
      </c>
      <c r="H16" s="58" t="str">
        <f>IF(mezzdebt_years_PIK&gt;=H$5,Inc_St!H31,0)</f>
        <v>#REF!</v>
      </c>
      <c r="I16" s="58">
        <f>IF(mezzdebt_years_PIK&gt;=I$5,Inc_St!I31,0)</f>
        <v>0</v>
      </c>
      <c r="J16" s="58">
        <f>IF(mezzdebt_years_PIK&gt;=J$5,Inc_St!J31,0)</f>
        <v>0</v>
      </c>
      <c r="K16" s="58">
        <f>IF(mezzdebt_years_PIK&gt;=K$5,Inc_St!K31,0)</f>
        <v>0</v>
      </c>
      <c r="L16" s="58">
        <f>IF(mezzdebt_years_PIK&gt;=L$5,Inc_St!L31,0)</f>
        <v>0</v>
      </c>
      <c r="M16" s="58">
        <f>IF(mezzdebt_years_PIK&gt;=M$5,Inc_St!M31,0)</f>
        <v>0</v>
      </c>
      <c r="N16" s="58"/>
      <c r="O16" s="58"/>
    </row>
    <row r="17" ht="12.75" customHeight="1">
      <c r="A17" s="150" t="str">
        <f>"Accrued Interest "&amp;Bal_Sheet!A53</f>
        <v>Accrued Interest Seller Notes</v>
      </c>
      <c r="C17" s="58"/>
      <c r="D17" s="58" t="str">
        <f>IF(seller_notes_years_PIK&gt;=D$5,Inc_St!D32,0)</f>
        <v>#REF!</v>
      </c>
      <c r="E17" s="58" t="str">
        <f>IF(seller_notes_years_PIK&gt;=E$5,Inc_St!E32,0)</f>
        <v>#REF!</v>
      </c>
      <c r="F17" s="58" t="str">
        <f>IF(seller_notes_years_PIK&gt;=F$5,Inc_St!F32,0)</f>
        <v>#REF!</v>
      </c>
      <c r="G17" s="58" t="str">
        <f>IF(seller_notes_years_PIK&gt;=G$5,Inc_St!G32,0)</f>
        <v>#REF!</v>
      </c>
      <c r="H17" s="58" t="str">
        <f>IF(seller_notes_years_PIK&gt;=H$5,Inc_St!H32,0)</f>
        <v>#REF!</v>
      </c>
      <c r="I17" s="58">
        <f>IF(seller_notes_years_PIK&gt;=I$5,Inc_St!I32,0)</f>
        <v>0</v>
      </c>
      <c r="J17" s="58">
        <f>IF(seller_notes_years_PIK&gt;=J$5,Inc_St!J32,0)</f>
        <v>0</v>
      </c>
      <c r="K17" s="58">
        <f>IF(seller_notes_years_PIK&gt;=K$5,Inc_St!K32,0)</f>
        <v>0</v>
      </c>
      <c r="L17" s="58">
        <f>IF(seller_notes_years_PIK&gt;=L$5,Inc_St!L32,0)</f>
        <v>0</v>
      </c>
      <c r="M17" s="58">
        <f>IF(seller_notes_years_PIK&gt;=M$5,Inc_St!M32,0)</f>
        <v>0</v>
      </c>
      <c r="N17" s="58"/>
      <c r="O17" s="58"/>
    </row>
    <row r="18" ht="12.75" customHeight="1">
      <c r="A18" s="150" t="str">
        <f>"Accrued Interest "&amp;Bal_Sheet!A61</f>
        <v>Accrued Interest Preferred Stock</v>
      </c>
      <c r="C18" s="58"/>
      <c r="D18" s="58">
        <f>IF(pref_stock_years_PIK&gt;=D$5,Inc_St!D46,0)</f>
        <v>4200</v>
      </c>
      <c r="E18" s="58">
        <f>IF(pref_stock_years_PIK&gt;=E$5,Inc_St!E46,0)</f>
        <v>4494</v>
      </c>
      <c r="F18" s="58">
        <f>IF(pref_stock_years_PIK&gt;=F$5,Inc_St!F46,0)</f>
        <v>4808.58</v>
      </c>
      <c r="G18" s="58">
        <f>IF(pref_stock_years_PIK&gt;=G$5,Inc_St!G46,0)</f>
        <v>5145.1806</v>
      </c>
      <c r="H18" s="58">
        <f>IF(pref_stock_years_PIK&gt;=H$5,Inc_St!H46,0)</f>
        <v>5505.343242</v>
      </c>
      <c r="I18" s="58">
        <f>IF(pref_stock_years_PIK&gt;=I$5,Inc_St!I46,0)</f>
        <v>0</v>
      </c>
      <c r="J18" s="58">
        <f>IF(pref_stock_years_PIK&gt;=J$5,Inc_St!J46,0)</f>
        <v>0</v>
      </c>
      <c r="K18" s="58">
        <f>IF(pref_stock_years_PIK&gt;=K$5,Inc_St!K46,0)</f>
        <v>0</v>
      </c>
      <c r="L18" s="58">
        <f>IF(pref_stock_years_PIK&gt;=L$5,Inc_St!L46,0)</f>
        <v>0</v>
      </c>
      <c r="M18" s="58">
        <f>IF(pref_stock_years_PIK&gt;=M$5,Inc_St!M46,0)</f>
        <v>0</v>
      </c>
      <c r="N18" s="58"/>
      <c r="O18" s="58"/>
    </row>
    <row r="19" ht="12.75" customHeight="1">
      <c r="A19" s="4"/>
      <c r="C19" s="58"/>
      <c r="D19" s="151"/>
      <c r="E19" s="151"/>
      <c r="F19" s="151"/>
      <c r="G19" s="151"/>
      <c r="H19" s="151"/>
      <c r="I19" s="151"/>
      <c r="J19" s="151"/>
      <c r="K19" s="151"/>
      <c r="L19" s="151"/>
      <c r="M19" s="151"/>
      <c r="N19" s="58"/>
      <c r="O19" s="58"/>
    </row>
    <row r="20" ht="12.75" customHeight="1">
      <c r="A20" s="4" t="s">
        <v>164</v>
      </c>
      <c r="C20" s="58"/>
      <c r="D20" s="58"/>
      <c r="E20" s="58"/>
      <c r="F20" s="58"/>
      <c r="G20" s="58"/>
      <c r="H20" s="58"/>
      <c r="I20" s="58"/>
      <c r="J20" s="58"/>
      <c r="K20" s="58"/>
      <c r="L20" s="58"/>
      <c r="M20" s="58"/>
      <c r="N20" s="58"/>
      <c r="O20" s="58"/>
    </row>
    <row r="21" ht="12.75" customHeight="1">
      <c r="A21" s="150" t="s">
        <v>165</v>
      </c>
      <c r="C21" s="58"/>
      <c r="D21" s="58">
        <f>-(Bal_Sheet!F11-Bal_Sheet!E11)</f>
        <v>-113000</v>
      </c>
      <c r="E21" s="58">
        <f>-(Bal_Sheet!G11-Bal_Sheet!F11)</f>
        <v>-30690</v>
      </c>
      <c r="F21" s="58">
        <f>-(Bal_Sheet!H11-Bal_Sheet!G11)</f>
        <v>-35446.95</v>
      </c>
      <c r="G21" s="58">
        <f>-(Bal_Sheet!I11-Bal_Sheet!H11)</f>
        <v>-40941.22725</v>
      </c>
      <c r="H21" s="58">
        <f>-(Bal_Sheet!J11-Bal_Sheet!I11)</f>
        <v>-47287.11747</v>
      </c>
      <c r="I21" s="58">
        <f>-(Bal_Sheet!K11-Bal_Sheet!J11)</f>
        <v>-54616.62068</v>
      </c>
      <c r="J21" s="58">
        <f>-(Bal_Sheet!L11-Bal_Sheet!K11)</f>
        <v>-63082.19689</v>
      </c>
      <c r="K21" s="58">
        <f>-(Bal_Sheet!M11-Bal_Sheet!L11)</f>
        <v>-72859.93741</v>
      </c>
      <c r="L21" s="58">
        <f>-(Bal_Sheet!N11-Bal_Sheet!M11)</f>
        <v>-84153.2277</v>
      </c>
      <c r="M21" s="58">
        <f>-(Bal_Sheet!O11-Bal_Sheet!N11)</f>
        <v>-97196.978</v>
      </c>
      <c r="N21" s="58"/>
      <c r="O21" s="58"/>
    </row>
    <row r="22" ht="12.75" customHeight="1">
      <c r="A22" s="150" t="s">
        <v>166</v>
      </c>
      <c r="C22" s="58"/>
      <c r="D22" s="58">
        <f>-(Bal_Sheet!F12-Bal_Sheet!E12)</f>
        <v>-3001</v>
      </c>
      <c r="E22" s="58">
        <f>-(Bal_Sheet!G12-Bal_Sheet!F12)</f>
        <v>-14539.14</v>
      </c>
      <c r="F22" s="58">
        <f>-(Bal_Sheet!H12-Bal_Sheet!G12)</f>
        <v>-16674.3581</v>
      </c>
      <c r="G22" s="58">
        <f>-(Bal_Sheet!I12-Bal_Sheet!H12)</f>
        <v>-19123.15433</v>
      </c>
      <c r="H22" s="58">
        <f>-(Bal_Sheet!J12-Bal_Sheet!I12)</f>
        <v>-21931.58078</v>
      </c>
      <c r="I22" s="58">
        <f>-(Bal_Sheet!K12-Bal_Sheet!J12)</f>
        <v>-25152.45273</v>
      </c>
      <c r="J22" s="58">
        <f>-(Bal_Sheet!L12-Bal_Sheet!K12)</f>
        <v>-28846.34194</v>
      </c>
      <c r="K22" s="58">
        <f>-(Bal_Sheet!M12-Bal_Sheet!L12)</f>
        <v>-33082.71571</v>
      </c>
      <c r="L22" s="58">
        <f>-(Bal_Sheet!N12-Bal_Sheet!M12)</f>
        <v>-37941.24334</v>
      </c>
      <c r="M22" s="58">
        <f>-(Bal_Sheet!O12-Bal_Sheet!N12)</f>
        <v>-43513.29434</v>
      </c>
      <c r="N22" s="58"/>
      <c r="O22" s="58"/>
    </row>
    <row r="23" ht="12.75" customHeight="1">
      <c r="A23" s="150" t="s">
        <v>167</v>
      </c>
      <c r="C23" s="58"/>
      <c r="D23" s="58">
        <f>-(Bal_Sheet!F13-Bal_Sheet!E13)-(Bal_Sheet!F14-Bal_Sheet!E14)</f>
        <v>-114500</v>
      </c>
      <c r="E23" s="58">
        <f>-(Bal_Sheet!G13-Bal_Sheet!F13)-(Bal_Sheet!G14-Bal_Sheet!F14)</f>
        <v>-22869</v>
      </c>
      <c r="F23" s="58">
        <f>-(Bal_Sheet!H13-Bal_Sheet!G13)-(Bal_Sheet!H14-Bal_Sheet!G14)</f>
        <v>-25751.583</v>
      </c>
      <c r="G23" s="58">
        <f>-(Bal_Sheet!I13-Bal_Sheet!H13)-(Bal_Sheet!I14-Bal_Sheet!H14)</f>
        <v>-28997.64316</v>
      </c>
      <c r="H23" s="58">
        <f>-(Bal_Sheet!J13-Bal_Sheet!I13)-(Bal_Sheet!J14-Bal_Sheet!I14)</f>
        <v>-32653.02946</v>
      </c>
      <c r="I23" s="58">
        <f>-(Bal_Sheet!K13-Bal_Sheet!J13)-(Bal_Sheet!K14-Bal_Sheet!J14)</f>
        <v>-36769.37631</v>
      </c>
      <c r="J23" s="58">
        <f>-(Bal_Sheet!L13-Bal_Sheet!K13)-(Bal_Sheet!L14-Bal_Sheet!K14)</f>
        <v>-41404.83382</v>
      </c>
      <c r="K23" s="58">
        <f>-(Bal_Sheet!M13-Bal_Sheet!L13)-(Bal_Sheet!M14-Bal_Sheet!L14)</f>
        <v>-46624.89032</v>
      </c>
      <c r="L23" s="58">
        <f>-(Bal_Sheet!N13-Bal_Sheet!M13)-(Bal_Sheet!N14-Bal_Sheet!M14)</f>
        <v>-52503.29874</v>
      </c>
      <c r="M23" s="58">
        <f>-(Bal_Sheet!O13-Bal_Sheet!N13)-(Bal_Sheet!O14-Bal_Sheet!N14)</f>
        <v>-59123.11988</v>
      </c>
      <c r="N23" s="58"/>
      <c r="O23" s="58"/>
    </row>
    <row r="24" ht="12.75" customHeight="1">
      <c r="A24" s="150" t="s">
        <v>168</v>
      </c>
      <c r="C24" s="58"/>
      <c r="D24" s="58">
        <f>Bal_Sheet!F38-Bal_Sheet!E38</f>
        <v>22900.15</v>
      </c>
      <c r="E24" s="58">
        <f>Bal_Sheet!G38-Bal_Sheet!F38</f>
        <v>11041.10967</v>
      </c>
      <c r="F24" s="58">
        <f>Bal_Sheet!H38-Bal_Sheet!G38</f>
        <v>10801.02254</v>
      </c>
      <c r="G24" s="58">
        <f>Bal_Sheet!I38-Bal_Sheet!H38</f>
        <v>12166.03825</v>
      </c>
      <c r="H24" s="58">
        <f>Bal_Sheet!J38-Bal_Sheet!I38</f>
        <v>13704.30029</v>
      </c>
      <c r="I24" s="58">
        <f>Bal_Sheet!K38-Bal_Sheet!J38</f>
        <v>15437.92063</v>
      </c>
      <c r="J24" s="58">
        <f>Bal_Sheet!L38-Bal_Sheet!K38</f>
        <v>17391.85412</v>
      </c>
      <c r="K24" s="58">
        <f>Bal_Sheet!M38-Bal_Sheet!L38</f>
        <v>19594.26741</v>
      </c>
      <c r="L24" s="58">
        <f>Bal_Sheet!N38-Bal_Sheet!M38</f>
        <v>22076.95633</v>
      </c>
      <c r="M24" s="58">
        <f>Bal_Sheet!O38-Bal_Sheet!N38</f>
        <v>24875.81818</v>
      </c>
      <c r="N24" s="58"/>
      <c r="O24" s="58"/>
    </row>
    <row r="25" ht="12.75" customHeight="1">
      <c r="A25" s="150" t="s">
        <v>169</v>
      </c>
      <c r="C25" s="58"/>
      <c r="D25" s="58">
        <f>(Bal_Sheet!F39-Bal_Sheet!E39)+(Bal_Sheet!F40-Bal_Sheet!E40)</f>
        <v>108000</v>
      </c>
      <c r="E25" s="58">
        <f>(Bal_Sheet!G39-Bal_Sheet!F39)+(Bal_Sheet!G40-Bal_Sheet!F40)</f>
        <v>17457</v>
      </c>
      <c r="F25" s="58">
        <f>(Bal_Sheet!H39-Bal_Sheet!G39)+(Bal_Sheet!H40-Bal_Sheet!G40)</f>
        <v>19437.0165</v>
      </c>
      <c r="G25" s="58">
        <f>(Bal_Sheet!I39-Bal_Sheet!H39)+(Bal_Sheet!I40-Bal_Sheet!H40)</f>
        <v>21641.74156</v>
      </c>
      <c r="H25" s="58">
        <f>(Bal_Sheet!J39-Bal_Sheet!I39)+(Bal_Sheet!J40-Bal_Sheet!I40)</f>
        <v>24096.69179</v>
      </c>
      <c r="I25" s="58">
        <f>(Bal_Sheet!K39-Bal_Sheet!J39)+(Bal_Sheet!K40-Bal_Sheet!J40)</f>
        <v>26830.28301</v>
      </c>
      <c r="J25" s="58">
        <f>(Bal_Sheet!L39-Bal_Sheet!K39)+(Bal_Sheet!L40-Bal_Sheet!K40)</f>
        <v>29874.15988</v>
      </c>
      <c r="K25" s="58">
        <f>(Bal_Sheet!M39-Bal_Sheet!L39)+(Bal_Sheet!M40-Bal_Sheet!L40)</f>
        <v>33263.56292</v>
      </c>
      <c r="L25" s="58">
        <f>(Bal_Sheet!N39-Bal_Sheet!M39)+(Bal_Sheet!N40-Bal_Sheet!M40)</f>
        <v>37037.73745</v>
      </c>
      <c r="M25" s="58">
        <f>(Bal_Sheet!O39-Bal_Sheet!N39)+(Bal_Sheet!O40-Bal_Sheet!N40)</f>
        <v>41240.38893</v>
      </c>
      <c r="N25" s="58"/>
      <c r="O25" s="58"/>
    </row>
    <row r="26" ht="12.75" customHeight="1">
      <c r="A26" s="4"/>
      <c r="C26" s="58"/>
      <c r="D26" s="58"/>
      <c r="E26" s="58"/>
      <c r="F26" s="58"/>
      <c r="G26" s="58"/>
      <c r="H26" s="58"/>
      <c r="I26" s="58"/>
      <c r="J26" s="58"/>
      <c r="K26" s="58"/>
      <c r="L26" s="58"/>
      <c r="M26" s="58"/>
      <c r="N26" s="58"/>
      <c r="O26" s="58"/>
    </row>
    <row r="27" ht="12.75" customHeight="1">
      <c r="A27" s="4" t="s">
        <v>170</v>
      </c>
      <c r="C27" s="58"/>
      <c r="D27" s="58" t="str">
        <f t="shared" ref="D27:M27" si="3">SUM(D9:D26)</f>
        <v>#REF!</v>
      </c>
      <c r="E27" s="58" t="str">
        <f t="shared" si="3"/>
        <v>#REF!</v>
      </c>
      <c r="F27" s="58" t="str">
        <f t="shared" si="3"/>
        <v>#REF!</v>
      </c>
      <c r="G27" s="58" t="str">
        <f t="shared" si="3"/>
        <v>#REF!</v>
      </c>
      <c r="H27" s="58" t="str">
        <f t="shared" si="3"/>
        <v>#REF!</v>
      </c>
      <c r="I27" s="58" t="str">
        <f t="shared" si="3"/>
        <v>#REF!</v>
      </c>
      <c r="J27" s="58" t="str">
        <f t="shared" si="3"/>
        <v>#REF!</v>
      </c>
      <c r="K27" s="58" t="str">
        <f t="shared" si="3"/>
        <v>#REF!</v>
      </c>
      <c r="L27" s="58" t="str">
        <f t="shared" si="3"/>
        <v>#REF!</v>
      </c>
      <c r="M27" s="58" t="str">
        <f t="shared" si="3"/>
        <v>#REF!</v>
      </c>
      <c r="N27" s="58"/>
      <c r="O27" s="58"/>
    </row>
    <row r="28" ht="12.75" customHeight="1">
      <c r="A28" s="4"/>
      <c r="C28" s="58"/>
      <c r="D28" s="58"/>
      <c r="E28" s="58"/>
      <c r="F28" s="58"/>
      <c r="G28" s="58"/>
      <c r="H28" s="58"/>
      <c r="I28" s="58"/>
      <c r="J28" s="58"/>
      <c r="K28" s="58"/>
      <c r="L28" s="58"/>
      <c r="M28" s="58"/>
      <c r="N28" s="58"/>
      <c r="O28" s="58"/>
    </row>
    <row r="29" ht="12.75" customHeight="1">
      <c r="A29" s="149" t="s">
        <v>171</v>
      </c>
      <c r="C29" s="58"/>
      <c r="D29" s="58"/>
      <c r="E29" s="58"/>
      <c r="F29" s="58"/>
      <c r="G29" s="58"/>
      <c r="H29" s="58"/>
      <c r="I29" s="58"/>
      <c r="J29" s="58"/>
      <c r="K29" s="58"/>
      <c r="L29" s="58"/>
      <c r="M29" s="58"/>
      <c r="N29" s="58"/>
      <c r="O29" s="58"/>
    </row>
    <row r="30" ht="12.75" customHeight="1">
      <c r="A30" s="150" t="s">
        <v>172</v>
      </c>
      <c r="C30" s="58"/>
      <c r="D30" s="58">
        <f>-Bal_Sheet!F25</f>
        <v>-110000</v>
      </c>
      <c r="E30" s="58">
        <f>-Bal_Sheet!G25</f>
        <v>-121000</v>
      </c>
      <c r="F30" s="58">
        <f>-Bal_Sheet!H25</f>
        <v>-133100</v>
      </c>
      <c r="G30" s="58">
        <f>-Bal_Sheet!I25</f>
        <v>-146410</v>
      </c>
      <c r="H30" s="58">
        <f>-Bal_Sheet!J25</f>
        <v>-161051</v>
      </c>
      <c r="I30" s="58">
        <f>-Bal_Sheet!K25</f>
        <v>-177156.1</v>
      </c>
      <c r="J30" s="58">
        <f>-Bal_Sheet!L25</f>
        <v>-194871.71</v>
      </c>
      <c r="K30" s="58">
        <f>-Bal_Sheet!M25</f>
        <v>-214358.881</v>
      </c>
      <c r="L30" s="58">
        <f>-Bal_Sheet!N25</f>
        <v>-235794.7691</v>
      </c>
      <c r="M30" s="58">
        <f>-Bal_Sheet!O25</f>
        <v>-259374.246</v>
      </c>
      <c r="N30" s="58"/>
      <c r="O30" s="58"/>
    </row>
    <row r="31" ht="12.75" customHeight="1">
      <c r="A31" s="150" t="s">
        <v>173</v>
      </c>
      <c r="C31" s="58"/>
      <c r="D31" s="58">
        <f>-(Bal_Sheet!F22-Bal_Sheet!E22)</f>
        <v>-29000</v>
      </c>
      <c r="E31" s="58">
        <f>-(Bal_Sheet!G22-Bal_Sheet!F22)</f>
        <v>-4642</v>
      </c>
      <c r="F31" s="58">
        <f>-(Bal_Sheet!H22-Bal_Sheet!G22)</f>
        <v>-5131.731</v>
      </c>
      <c r="G31" s="58">
        <f>-(Bal_Sheet!I22-Bal_Sheet!H22)</f>
        <v>-5673.128621</v>
      </c>
      <c r="H31" s="58">
        <f>-(Bal_Sheet!J22-Bal_Sheet!I22)</f>
        <v>-6271.64369</v>
      </c>
      <c r="I31" s="58">
        <f>-(Bal_Sheet!K22-Bal_Sheet!J22)</f>
        <v>-6933.302099</v>
      </c>
      <c r="J31" s="58">
        <f>-(Bal_Sheet!L22-Bal_Sheet!K22)</f>
        <v>-7664.765471</v>
      </c>
      <c r="K31" s="58">
        <f>-(Bal_Sheet!M22-Bal_Sheet!L22)</f>
        <v>-8473.398228</v>
      </c>
      <c r="L31" s="58">
        <f>-(Bal_Sheet!N22-Bal_Sheet!M22)</f>
        <v>-9367.341741</v>
      </c>
      <c r="M31" s="58">
        <f>-(Bal_Sheet!O22-Bal_Sheet!N22)</f>
        <v>-10355.59629</v>
      </c>
      <c r="N31" s="58"/>
      <c r="O31" s="58"/>
    </row>
    <row r="32" ht="12.75" customHeight="1">
      <c r="A32" s="4"/>
      <c r="C32" s="58"/>
      <c r="D32" s="58"/>
      <c r="E32" s="58"/>
      <c r="F32" s="58"/>
      <c r="G32" s="58"/>
      <c r="H32" s="58"/>
      <c r="I32" s="58"/>
      <c r="J32" s="58"/>
      <c r="K32" s="58"/>
      <c r="L32" s="58"/>
      <c r="M32" s="58"/>
      <c r="N32" s="58"/>
      <c r="O32" s="58"/>
    </row>
    <row r="33" ht="12.75" customHeight="1">
      <c r="A33" s="4" t="s">
        <v>174</v>
      </c>
      <c r="C33" s="58"/>
      <c r="D33" s="58">
        <f t="shared" ref="D33:M33" si="4">SUM(D30:D32)</f>
        <v>-139000</v>
      </c>
      <c r="E33" s="58">
        <f t="shared" si="4"/>
        <v>-125642</v>
      </c>
      <c r="F33" s="58">
        <f t="shared" si="4"/>
        <v>-138231.731</v>
      </c>
      <c r="G33" s="58">
        <f t="shared" si="4"/>
        <v>-152083.1286</v>
      </c>
      <c r="H33" s="58">
        <f t="shared" si="4"/>
        <v>-167322.6437</v>
      </c>
      <c r="I33" s="58">
        <f t="shared" si="4"/>
        <v>-184089.4021</v>
      </c>
      <c r="J33" s="58">
        <f t="shared" si="4"/>
        <v>-202536.4755</v>
      </c>
      <c r="K33" s="58">
        <f t="shared" si="4"/>
        <v>-222832.2792</v>
      </c>
      <c r="L33" s="58">
        <f t="shared" si="4"/>
        <v>-245162.1108</v>
      </c>
      <c r="M33" s="58">
        <f t="shared" si="4"/>
        <v>-269729.8423</v>
      </c>
      <c r="N33" s="58"/>
      <c r="O33" s="58"/>
    </row>
    <row r="34" ht="12.75" customHeight="1">
      <c r="A34" s="4"/>
      <c r="C34" s="58"/>
      <c r="D34" s="58"/>
      <c r="E34" s="58"/>
      <c r="F34" s="58"/>
      <c r="G34" s="58"/>
      <c r="H34" s="58"/>
      <c r="I34" s="58"/>
      <c r="J34" s="58"/>
      <c r="K34" s="58"/>
      <c r="L34" s="58"/>
      <c r="M34" s="58"/>
      <c r="N34" s="58"/>
      <c r="O34" s="58"/>
    </row>
    <row r="35" ht="12.75" customHeight="1">
      <c r="A35" s="149" t="s">
        <v>175</v>
      </c>
      <c r="C35" s="58"/>
      <c r="D35" s="58"/>
      <c r="E35" s="58"/>
      <c r="F35" s="58"/>
      <c r="G35" s="58"/>
      <c r="H35" s="58"/>
      <c r="I35" s="58"/>
      <c r="J35" s="58"/>
      <c r="K35" s="58"/>
      <c r="L35" s="58"/>
      <c r="M35" s="58"/>
      <c r="N35" s="58"/>
      <c r="O35" s="58"/>
    </row>
    <row r="36" ht="12.75" customHeight="1">
      <c r="A36" s="150" t="str">
        <f>"Increase (decrease) in "&amp;Bal_Sheet!A46</f>
        <v>Increase (decrease) in Existing Debt</v>
      </c>
      <c r="C36" s="58"/>
      <c r="D36" s="58" t="str">
        <f t="shared" ref="D36:M36" si="5">-D85-D100</f>
        <v>#REF!</v>
      </c>
      <c r="E36" s="58" t="str">
        <f t="shared" si="5"/>
        <v>#REF!</v>
      </c>
      <c r="F36" s="58" t="str">
        <f t="shared" si="5"/>
        <v>#REF!</v>
      </c>
      <c r="G36" s="58" t="str">
        <f t="shared" si="5"/>
        <v>#REF!</v>
      </c>
      <c r="H36" s="58" t="str">
        <f t="shared" si="5"/>
        <v>#REF!</v>
      </c>
      <c r="I36" s="58" t="str">
        <f t="shared" si="5"/>
        <v>#REF!</v>
      </c>
      <c r="J36" s="58" t="str">
        <f t="shared" si="5"/>
        <v>#REF!</v>
      </c>
      <c r="K36" s="58" t="str">
        <f t="shared" si="5"/>
        <v>#REF!</v>
      </c>
      <c r="L36" s="58" t="str">
        <f t="shared" si="5"/>
        <v>#REF!</v>
      </c>
      <c r="M36" s="58">
        <f t="shared" si="5"/>
        <v>0</v>
      </c>
      <c r="N36" s="58"/>
      <c r="O36" s="58"/>
    </row>
    <row r="37" ht="12.75" customHeight="1">
      <c r="A37" s="150" t="str">
        <f>"Increase (decrease) in "&amp;Bal_Sheet!A48</f>
        <v>Increase (decrease) in Term Loan "A"</v>
      </c>
      <c r="C37" s="58"/>
      <c r="D37" s="58" t="str">
        <f t="shared" ref="D37:M37" si="6">-D86-D101</f>
        <v>#REF!</v>
      </c>
      <c r="E37" s="58" t="str">
        <f t="shared" si="6"/>
        <v>#REF!</v>
      </c>
      <c r="F37" s="58" t="str">
        <f t="shared" si="6"/>
        <v>#REF!</v>
      </c>
      <c r="G37" s="58" t="str">
        <f t="shared" si="6"/>
        <v>#REF!</v>
      </c>
      <c r="H37" s="58" t="str">
        <f t="shared" si="6"/>
        <v>#REF!</v>
      </c>
      <c r="I37" s="58" t="str">
        <f t="shared" si="6"/>
        <v>#REF!</v>
      </c>
      <c r="J37" s="58" t="str">
        <f t="shared" si="6"/>
        <v>#REF!</v>
      </c>
      <c r="K37" s="58" t="str">
        <f t="shared" si="6"/>
        <v>#REF!</v>
      </c>
      <c r="L37" s="58">
        <f t="shared" si="6"/>
        <v>0</v>
      </c>
      <c r="M37" s="58">
        <f t="shared" si="6"/>
        <v>0</v>
      </c>
      <c r="N37" s="58"/>
      <c r="O37" s="58"/>
    </row>
    <row r="38" ht="12.75" customHeight="1">
      <c r="A38" s="150" t="str">
        <f>"Increase (decrease) in "&amp;Bal_Sheet!A49</f>
        <v>Increase (decrease) in Term Loan "B"</v>
      </c>
      <c r="C38" s="58"/>
      <c r="D38" s="58" t="str">
        <f t="shared" ref="D38:M38" si="7">-D87-D102</f>
        <v>#REF!</v>
      </c>
      <c r="E38" s="58" t="str">
        <f t="shared" si="7"/>
        <v>#REF!</v>
      </c>
      <c r="F38" s="58" t="str">
        <f t="shared" si="7"/>
        <v>#REF!</v>
      </c>
      <c r="G38" s="58" t="str">
        <f t="shared" si="7"/>
        <v>#REF!</v>
      </c>
      <c r="H38" s="58" t="str">
        <f t="shared" si="7"/>
        <v>#REF!</v>
      </c>
      <c r="I38" s="58" t="str">
        <f t="shared" si="7"/>
        <v>#REF!</v>
      </c>
      <c r="J38" s="58" t="str">
        <f t="shared" si="7"/>
        <v>#REF!</v>
      </c>
      <c r="K38" s="58" t="str">
        <f t="shared" si="7"/>
        <v>#REF!</v>
      </c>
      <c r="L38" s="58" t="str">
        <f t="shared" si="7"/>
        <v>#REF!</v>
      </c>
      <c r="M38" s="58" t="str">
        <f t="shared" si="7"/>
        <v>#REF!</v>
      </c>
      <c r="N38" s="58"/>
      <c r="O38" s="58"/>
    </row>
    <row r="39" ht="12.75" customHeight="1">
      <c r="A39" s="150" t="str">
        <f>"Increase (decrease) in "&amp;Bal_Sheet!A50</f>
        <v>Increase (decrease) in Senior Notes</v>
      </c>
      <c r="C39" s="58"/>
      <c r="D39" s="58" t="str">
        <f t="shared" ref="D39:M39" si="8">-D88-D103</f>
        <v>#REF!</v>
      </c>
      <c r="E39" s="58" t="str">
        <f t="shared" si="8"/>
        <v>#REF!</v>
      </c>
      <c r="F39" s="58" t="str">
        <f t="shared" si="8"/>
        <v>#REF!</v>
      </c>
      <c r="G39" s="58" t="str">
        <f t="shared" si="8"/>
        <v>#REF!</v>
      </c>
      <c r="H39" s="58" t="str">
        <f t="shared" si="8"/>
        <v>#REF!</v>
      </c>
      <c r="I39" s="58" t="str">
        <f t="shared" si="8"/>
        <v>#REF!</v>
      </c>
      <c r="J39" s="58" t="str">
        <f t="shared" si="8"/>
        <v>#REF!</v>
      </c>
      <c r="K39" s="58" t="str">
        <f t="shared" si="8"/>
        <v>#REF!</v>
      </c>
      <c r="L39" s="58" t="str">
        <f t="shared" si="8"/>
        <v>#REF!</v>
      </c>
      <c r="M39" s="58">
        <f t="shared" si="8"/>
        <v>0</v>
      </c>
      <c r="N39" s="58"/>
      <c r="O39" s="58"/>
    </row>
    <row r="40" ht="12.75" customHeight="1">
      <c r="A40" s="150" t="str">
        <f>"Increase (decrease) in "&amp;Bal_Sheet!A51</f>
        <v>Increase (decrease) in Subordinated Notes</v>
      </c>
      <c r="C40" s="58"/>
      <c r="D40" s="58" t="str">
        <f t="shared" ref="D40:M40" si="9">-D89-D104</f>
        <v>#REF!</v>
      </c>
      <c r="E40" s="58" t="str">
        <f t="shared" si="9"/>
        <v>#REF!</v>
      </c>
      <c r="F40" s="58" t="str">
        <f t="shared" si="9"/>
        <v>#REF!</v>
      </c>
      <c r="G40" s="58" t="str">
        <f t="shared" si="9"/>
        <v>#REF!</v>
      </c>
      <c r="H40" s="58" t="str">
        <f t="shared" si="9"/>
        <v>#REF!</v>
      </c>
      <c r="I40" s="58" t="str">
        <f t="shared" si="9"/>
        <v>#REF!</v>
      </c>
      <c r="J40" s="58" t="str">
        <f t="shared" si="9"/>
        <v>#REF!</v>
      </c>
      <c r="K40" s="58" t="str">
        <f t="shared" si="9"/>
        <v>#REF!</v>
      </c>
      <c r="L40" s="58" t="str">
        <f t="shared" si="9"/>
        <v>#REF!</v>
      </c>
      <c r="M40" s="58" t="str">
        <f t="shared" si="9"/>
        <v>#REF!</v>
      </c>
      <c r="N40" s="58"/>
      <c r="O40" s="58"/>
    </row>
    <row r="41" ht="12.75" customHeight="1">
      <c r="A41" s="150" t="str">
        <f>"Increase (decrease) in "&amp;Bal_Sheet!A52</f>
        <v>Increase (decrease) in Mezzanine Debt</v>
      </c>
      <c r="C41" s="58"/>
      <c r="D41" s="58" t="str">
        <f t="shared" ref="D41:M41" si="10">-D90-D105</f>
        <v>#REF!</v>
      </c>
      <c r="E41" s="58" t="str">
        <f t="shared" si="10"/>
        <v>#REF!</v>
      </c>
      <c r="F41" s="58" t="str">
        <f t="shared" si="10"/>
        <v>#REF!</v>
      </c>
      <c r="G41" s="58" t="str">
        <f t="shared" si="10"/>
        <v>#REF!</v>
      </c>
      <c r="H41" s="58" t="str">
        <f t="shared" si="10"/>
        <v>#REF!</v>
      </c>
      <c r="I41" s="58" t="str">
        <f t="shared" si="10"/>
        <v>#REF!</v>
      </c>
      <c r="J41" s="58" t="str">
        <f t="shared" si="10"/>
        <v>#REF!</v>
      </c>
      <c r="K41" s="58" t="str">
        <f t="shared" si="10"/>
        <v>#REF!</v>
      </c>
      <c r="L41" s="58" t="str">
        <f t="shared" si="10"/>
        <v>#REF!</v>
      </c>
      <c r="M41" s="58" t="str">
        <f t="shared" si="10"/>
        <v>#REF!</v>
      </c>
      <c r="N41" s="58"/>
      <c r="O41" s="58"/>
    </row>
    <row r="42" ht="12.75" customHeight="1">
      <c r="A42" s="150" t="str">
        <f>"Increase (decrease) in "&amp;Bal_Sheet!A53</f>
        <v>Increase (decrease) in Seller Notes</v>
      </c>
      <c r="C42" s="58"/>
      <c r="D42" s="58" t="str">
        <f t="shared" ref="D42:M42" si="11">-D91-D106</f>
        <v>#REF!</v>
      </c>
      <c r="E42" s="58" t="str">
        <f t="shared" si="11"/>
        <v>#REF!</v>
      </c>
      <c r="F42" s="58" t="str">
        <f t="shared" si="11"/>
        <v>#REF!</v>
      </c>
      <c r="G42" s="58" t="str">
        <f t="shared" si="11"/>
        <v>#REF!</v>
      </c>
      <c r="H42" s="58" t="str">
        <f t="shared" si="11"/>
        <v>#REF!</v>
      </c>
      <c r="I42" s="58" t="str">
        <f t="shared" si="11"/>
        <v>#REF!</v>
      </c>
      <c r="J42" s="58" t="str">
        <f t="shared" si="11"/>
        <v>#REF!</v>
      </c>
      <c r="K42" s="58">
        <f t="shared" si="11"/>
        <v>0</v>
      </c>
      <c r="L42" s="58">
        <f t="shared" si="11"/>
        <v>0</v>
      </c>
      <c r="M42" s="58">
        <f t="shared" si="11"/>
        <v>0</v>
      </c>
      <c r="N42" s="58"/>
      <c r="O42" s="58"/>
    </row>
    <row r="43" ht="12.75" customHeight="1">
      <c r="A43" s="150" t="str">
        <f>"Increase (decrease) in "&amp;Bal_Sheet!A61</f>
        <v>Increase (decrease) in Preferred Stock</v>
      </c>
      <c r="C43" s="58"/>
      <c r="D43" s="58">
        <f t="shared" ref="D43:M43" si="12">-D92</f>
        <v>0</v>
      </c>
      <c r="E43" s="58">
        <f t="shared" si="12"/>
        <v>0</v>
      </c>
      <c r="F43" s="58">
        <f t="shared" si="12"/>
        <v>0</v>
      </c>
      <c r="G43" s="58">
        <f t="shared" si="12"/>
        <v>0</v>
      </c>
      <c r="H43" s="58">
        <f t="shared" si="12"/>
        <v>0</v>
      </c>
      <c r="I43" s="58">
        <f t="shared" si="12"/>
        <v>0</v>
      </c>
      <c r="J43" s="58">
        <f t="shared" si="12"/>
        <v>0</v>
      </c>
      <c r="K43" s="58">
        <f t="shared" si="12"/>
        <v>0</v>
      </c>
      <c r="L43" s="58">
        <f t="shared" si="12"/>
        <v>0</v>
      </c>
      <c r="M43" s="58">
        <f t="shared" si="12"/>
        <v>0</v>
      </c>
      <c r="N43" s="58"/>
      <c r="O43" s="58"/>
    </row>
    <row r="44" ht="12.75" customHeight="1">
      <c r="A44" s="4"/>
      <c r="C44" s="58"/>
      <c r="D44" s="58"/>
      <c r="E44" s="58"/>
      <c r="F44" s="58"/>
      <c r="G44" s="58"/>
      <c r="H44" s="58"/>
      <c r="I44" s="58"/>
      <c r="J44" s="58"/>
      <c r="K44" s="58"/>
      <c r="L44" s="58"/>
      <c r="M44" s="58"/>
      <c r="N44" s="58"/>
      <c r="O44" s="58"/>
    </row>
    <row r="45" ht="12.75" customHeight="1">
      <c r="A45" s="4" t="s">
        <v>176</v>
      </c>
      <c r="C45" s="58"/>
      <c r="D45" s="58" t="str">
        <f t="shared" ref="D45:M45" si="13">SUM(D36:D44)</f>
        <v>#REF!</v>
      </c>
      <c r="E45" s="58" t="str">
        <f t="shared" si="13"/>
        <v>#REF!</v>
      </c>
      <c r="F45" s="58" t="str">
        <f t="shared" si="13"/>
        <v>#REF!</v>
      </c>
      <c r="G45" s="58" t="str">
        <f t="shared" si="13"/>
        <v>#REF!</v>
      </c>
      <c r="H45" s="58" t="str">
        <f t="shared" si="13"/>
        <v>#REF!</v>
      </c>
      <c r="I45" s="58" t="str">
        <f t="shared" si="13"/>
        <v>#REF!</v>
      </c>
      <c r="J45" s="58" t="str">
        <f t="shared" si="13"/>
        <v>#REF!</v>
      </c>
      <c r="K45" s="58" t="str">
        <f t="shared" si="13"/>
        <v>#REF!</v>
      </c>
      <c r="L45" s="58" t="str">
        <f t="shared" si="13"/>
        <v>#REF!</v>
      </c>
      <c r="M45" s="58" t="str">
        <f t="shared" si="13"/>
        <v>#REF!</v>
      </c>
      <c r="N45" s="58"/>
      <c r="O45" s="58"/>
    </row>
    <row r="46" ht="12.75" customHeight="1">
      <c r="A46" s="4"/>
      <c r="C46" s="58"/>
      <c r="D46" s="58"/>
      <c r="E46" s="58"/>
      <c r="F46" s="58"/>
      <c r="G46" s="58"/>
      <c r="H46" s="58"/>
      <c r="I46" s="58"/>
      <c r="J46" s="58"/>
      <c r="K46" s="58"/>
      <c r="L46" s="58"/>
      <c r="M46" s="58"/>
      <c r="N46" s="58"/>
      <c r="O46" s="58"/>
    </row>
    <row r="47" ht="12.75" customHeight="1">
      <c r="A47" s="4" t="s">
        <v>177</v>
      </c>
      <c r="C47" s="58"/>
      <c r="D47" s="58" t="str">
        <f t="shared" ref="D47:M47" si="14">D27+D33+D45</f>
        <v>#REF!</v>
      </c>
      <c r="E47" s="58" t="str">
        <f t="shared" si="14"/>
        <v>#REF!</v>
      </c>
      <c r="F47" s="58" t="str">
        <f t="shared" si="14"/>
        <v>#REF!</v>
      </c>
      <c r="G47" s="58" t="str">
        <f t="shared" si="14"/>
        <v>#REF!</v>
      </c>
      <c r="H47" s="58" t="str">
        <f t="shared" si="14"/>
        <v>#REF!</v>
      </c>
      <c r="I47" s="58" t="str">
        <f t="shared" si="14"/>
        <v>#REF!</v>
      </c>
      <c r="J47" s="58" t="str">
        <f t="shared" si="14"/>
        <v>#REF!</v>
      </c>
      <c r="K47" s="58" t="str">
        <f t="shared" si="14"/>
        <v>#REF!</v>
      </c>
      <c r="L47" s="58" t="str">
        <f t="shared" si="14"/>
        <v>#REF!</v>
      </c>
      <c r="M47" s="58" t="str">
        <f t="shared" si="14"/>
        <v>#REF!</v>
      </c>
      <c r="N47" s="58"/>
      <c r="O47" s="58"/>
      <c r="P47" s="58"/>
      <c r="Q47" s="58"/>
      <c r="R47" s="58"/>
      <c r="S47" s="58"/>
    </row>
    <row r="48" ht="12.75" customHeight="1">
      <c r="A48" s="4"/>
      <c r="C48" s="58"/>
      <c r="D48" s="58"/>
      <c r="E48" s="58"/>
      <c r="F48" s="58"/>
      <c r="G48" s="58"/>
      <c r="H48" s="58"/>
      <c r="I48" s="58"/>
      <c r="J48" s="58"/>
      <c r="K48" s="58"/>
      <c r="L48" s="58"/>
      <c r="M48" s="58"/>
      <c r="N48" s="58"/>
      <c r="O48" s="58"/>
    </row>
    <row r="49" ht="12.75" customHeight="1">
      <c r="A49" s="149" t="s">
        <v>178</v>
      </c>
      <c r="C49" s="58"/>
      <c r="D49" s="58">
        <f>Bal_Sheet!E10</f>
        <v>77500</v>
      </c>
      <c r="E49" s="58" t="str">
        <f t="shared" ref="E49:M49" si="15">D55</f>
        <v>#REF!</v>
      </c>
      <c r="F49" s="58" t="str">
        <f t="shared" si="15"/>
        <v>#REF!</v>
      </c>
      <c r="G49" s="58" t="str">
        <f t="shared" si="15"/>
        <v>#REF!</v>
      </c>
      <c r="H49" s="58" t="str">
        <f t="shared" si="15"/>
        <v>#REF!</v>
      </c>
      <c r="I49" s="58" t="str">
        <f t="shared" si="15"/>
        <v>#REF!</v>
      </c>
      <c r="J49" s="58" t="str">
        <f t="shared" si="15"/>
        <v>#REF!</v>
      </c>
      <c r="K49" s="58" t="str">
        <f t="shared" si="15"/>
        <v>#REF!</v>
      </c>
      <c r="L49" s="58" t="str">
        <f t="shared" si="15"/>
        <v>#REF!</v>
      </c>
      <c r="M49" s="58" t="str">
        <f t="shared" si="15"/>
        <v>#REF!</v>
      </c>
      <c r="N49" s="58"/>
      <c r="O49" s="58"/>
    </row>
    <row r="50" ht="12.75" customHeight="1">
      <c r="A50" s="4"/>
      <c r="C50" s="58"/>
      <c r="D50" s="58"/>
      <c r="E50" s="58"/>
      <c r="F50" s="58"/>
      <c r="G50" s="58"/>
      <c r="H50" s="58"/>
      <c r="I50" s="58"/>
      <c r="J50" s="58"/>
      <c r="K50" s="58"/>
      <c r="L50" s="58"/>
      <c r="M50" s="58"/>
      <c r="N50" s="58"/>
      <c r="O50" s="58"/>
    </row>
    <row r="51" ht="12.75" customHeight="1">
      <c r="A51" s="149" t="str">
        <f>"Cash available for "&amp;Bal_Sheet!A47</f>
        <v>Cash available for Bank Revolver</v>
      </c>
      <c r="C51" s="58"/>
      <c r="D51" s="58" t="str">
        <f t="shared" ref="D51:M51" si="16">D47+D49</f>
        <v>#REF!</v>
      </c>
      <c r="E51" s="58" t="str">
        <f t="shared" si="16"/>
        <v>#REF!</v>
      </c>
      <c r="F51" s="58" t="str">
        <f t="shared" si="16"/>
        <v>#REF!</v>
      </c>
      <c r="G51" s="58" t="str">
        <f t="shared" si="16"/>
        <v>#REF!</v>
      </c>
      <c r="H51" s="58" t="str">
        <f t="shared" si="16"/>
        <v>#REF!</v>
      </c>
      <c r="I51" s="58" t="str">
        <f t="shared" si="16"/>
        <v>#REF!</v>
      </c>
      <c r="J51" s="58" t="str">
        <f t="shared" si="16"/>
        <v>#REF!</v>
      </c>
      <c r="K51" s="58" t="str">
        <f t="shared" si="16"/>
        <v>#REF!</v>
      </c>
      <c r="L51" s="58" t="str">
        <f t="shared" si="16"/>
        <v>#REF!</v>
      </c>
      <c r="M51" s="58" t="str">
        <f t="shared" si="16"/>
        <v>#REF!</v>
      </c>
      <c r="N51" s="58"/>
      <c r="O51" s="58"/>
    </row>
    <row r="52" ht="12.75" customHeight="1">
      <c r="A52" s="149"/>
      <c r="C52" s="58"/>
      <c r="D52" s="58"/>
      <c r="E52" s="58"/>
      <c r="F52" s="58"/>
      <c r="G52" s="58"/>
      <c r="H52" s="58"/>
      <c r="I52" s="58"/>
      <c r="J52" s="58"/>
      <c r="K52" s="58"/>
      <c r="L52" s="58"/>
      <c r="M52" s="58"/>
      <c r="N52" s="58"/>
      <c r="O52" s="58"/>
    </row>
    <row r="53" ht="12.75" customHeight="1">
      <c r="A53" s="149" t="str">
        <f>"Added (retired) "&amp;Bal_Sheet!A47</f>
        <v>Added (retired) Bank Revolver</v>
      </c>
      <c r="C53" s="58"/>
      <c r="D53" s="58" t="str">
        <f>IF(cash_min=1,MIN(-MIN(Bal_Sheet!E47,D51-cash_min_amt),(revolver_limit-Bal_Sheet!E47)),MIN(-MIN(Bal_Sheet!E47,D51),(revolver_limit-Bal_Sheet!E47)))</f>
        <v>#REF!</v>
      </c>
      <c r="E53" s="58" t="str">
        <f>IF(cash_min=1,MIN(-MIN(Bal_Sheet!F47,E51-cash_min_amt),(revolver_limit-Bal_Sheet!F47)),MIN(-MIN(Bal_Sheet!F47,E51),(revolver_limit-Bal_Sheet!F47)))</f>
        <v>#REF!</v>
      </c>
      <c r="F53" s="58" t="str">
        <f>IF(cash_min=1,MIN(-MIN(Bal_Sheet!G47,F51-cash_min_amt),(revolver_limit-Bal_Sheet!G47)),MIN(-MIN(Bal_Sheet!G47,F51),(revolver_limit-Bal_Sheet!G47)))</f>
        <v>#REF!</v>
      </c>
      <c r="G53" s="58" t="str">
        <f>IF(cash_min=1,MIN(-MIN(Bal_Sheet!H47,G51-cash_min_amt),(revolver_limit-Bal_Sheet!H47)),MIN(-MIN(Bal_Sheet!H47,G51),(revolver_limit-Bal_Sheet!H47)))</f>
        <v>#REF!</v>
      </c>
      <c r="H53" s="58" t="str">
        <f>IF(cash_min=1,MIN(-MIN(Bal_Sheet!I47,H51-cash_min_amt),(revolver_limit-Bal_Sheet!I47)),MIN(-MIN(Bal_Sheet!I47,H51),(revolver_limit-Bal_Sheet!I47)))</f>
        <v>#REF!</v>
      </c>
      <c r="I53" s="58" t="str">
        <f>IF(cash_min=1,MIN(-MIN(Bal_Sheet!J47,I51-cash_min_amt),(revolver_limit-Bal_Sheet!J47)),MIN(-MIN(Bal_Sheet!J47,I51),(revolver_limit-Bal_Sheet!J47)))</f>
        <v>#REF!</v>
      </c>
      <c r="J53" s="58" t="str">
        <f>IF(cash_min=1,MIN(-MIN(Bal_Sheet!K47,J51-cash_min_amt),(revolver_limit-Bal_Sheet!K47)),MIN(-MIN(Bal_Sheet!K47,J51),(revolver_limit-Bal_Sheet!K47)))</f>
        <v>#REF!</v>
      </c>
      <c r="K53" s="58" t="str">
        <f>IF(cash_min=1,MIN(-MIN(Bal_Sheet!L47,K51-cash_min_amt),(revolver_limit-Bal_Sheet!L47)),MIN(-MIN(Bal_Sheet!L47,K51),(revolver_limit-Bal_Sheet!L47)))</f>
        <v>#REF!</v>
      </c>
      <c r="L53" s="58" t="str">
        <f>IF(cash_min=1,MIN(-MIN(Bal_Sheet!M47,L51-cash_min_amt),(revolver_limit-Bal_Sheet!M47)),MIN(-MIN(Bal_Sheet!M47,L51),(revolver_limit-Bal_Sheet!M47)))</f>
        <v>#REF!</v>
      </c>
      <c r="M53" s="58" t="str">
        <f>IF(cash_min=1,MIN(-MIN(Bal_Sheet!N47,M51-cash_min_amt),(revolver_limit-Bal_Sheet!N47)),MIN(-MIN(Bal_Sheet!N47,M51),(revolver_limit-Bal_Sheet!N47)))</f>
        <v>#REF!</v>
      </c>
      <c r="N53" s="58"/>
      <c r="O53" s="58"/>
    </row>
    <row r="54" ht="12.75" customHeight="1">
      <c r="A54" s="149"/>
      <c r="C54" s="58"/>
      <c r="D54" s="58"/>
      <c r="E54" s="58"/>
      <c r="F54" s="58"/>
      <c r="G54" s="58"/>
      <c r="H54" s="58"/>
      <c r="I54" s="58"/>
      <c r="J54" s="58"/>
      <c r="K54" s="58"/>
      <c r="L54" s="58"/>
      <c r="M54" s="58"/>
      <c r="N54" s="58"/>
      <c r="O54" s="58"/>
    </row>
    <row r="55" ht="12.75" customHeight="1">
      <c r="A55" s="149" t="s">
        <v>179</v>
      </c>
      <c r="C55" s="58"/>
      <c r="D55" s="140" t="str">
        <f t="shared" ref="D55:M55" si="17">D51+D53</f>
        <v>#REF!</v>
      </c>
      <c r="E55" s="140" t="str">
        <f t="shared" si="17"/>
        <v>#REF!</v>
      </c>
      <c r="F55" s="140" t="str">
        <f t="shared" si="17"/>
        <v>#REF!</v>
      </c>
      <c r="G55" s="140" t="str">
        <f t="shared" si="17"/>
        <v>#REF!</v>
      </c>
      <c r="H55" s="140" t="str">
        <f t="shared" si="17"/>
        <v>#REF!</v>
      </c>
      <c r="I55" s="140" t="str">
        <f t="shared" si="17"/>
        <v>#REF!</v>
      </c>
      <c r="J55" s="140" t="str">
        <f t="shared" si="17"/>
        <v>#REF!</v>
      </c>
      <c r="K55" s="140" t="str">
        <f t="shared" si="17"/>
        <v>#REF!</v>
      </c>
      <c r="L55" s="140" t="str">
        <f t="shared" si="17"/>
        <v>#REF!</v>
      </c>
      <c r="M55" s="140" t="str">
        <f t="shared" si="17"/>
        <v>#REF!</v>
      </c>
      <c r="N55" s="58"/>
      <c r="O55" s="58"/>
    </row>
    <row r="56" ht="12.75" customHeight="1">
      <c r="A56" s="139"/>
      <c r="C56" s="58"/>
      <c r="D56" s="58"/>
      <c r="E56" s="58"/>
      <c r="F56" s="58"/>
      <c r="G56" s="58"/>
      <c r="H56" s="58"/>
      <c r="I56" s="58"/>
      <c r="J56" s="58"/>
      <c r="K56" s="58"/>
      <c r="L56" s="58"/>
      <c r="M56" s="58"/>
      <c r="N56" s="58"/>
      <c r="O56" s="58"/>
    </row>
    <row r="57" ht="12.75" customHeight="1">
      <c r="A57" s="152"/>
      <c r="B57" s="152"/>
      <c r="C57" s="76"/>
      <c r="D57" s="76"/>
      <c r="E57" s="76"/>
      <c r="F57" s="76"/>
      <c r="G57" s="76"/>
      <c r="H57" s="76"/>
      <c r="I57" s="76"/>
      <c r="J57" s="76"/>
      <c r="K57" s="76"/>
      <c r="L57" s="76"/>
      <c r="M57" s="76"/>
      <c r="N57" s="58"/>
      <c r="O57" s="58"/>
    </row>
    <row r="58" ht="12.75" customHeight="1">
      <c r="A58" s="118"/>
      <c r="B58" s="118"/>
      <c r="C58" s="58"/>
      <c r="D58" s="58"/>
      <c r="E58" s="58"/>
      <c r="F58" s="58"/>
      <c r="G58" s="58"/>
      <c r="H58" s="58"/>
      <c r="I58" s="58"/>
      <c r="J58" s="58"/>
      <c r="K58" s="58"/>
      <c r="L58" s="58"/>
      <c r="M58" s="58"/>
      <c r="N58" s="58"/>
      <c r="O58" s="58"/>
    </row>
    <row r="59" ht="12.75" customHeight="1">
      <c r="A59" s="153" t="s">
        <v>180</v>
      </c>
      <c r="B59" s="118"/>
      <c r="C59" s="58"/>
      <c r="D59" s="58"/>
      <c r="E59" s="58"/>
      <c r="F59" s="58"/>
      <c r="G59" s="58"/>
      <c r="H59" s="58"/>
      <c r="I59" s="58"/>
      <c r="J59" s="58"/>
      <c r="K59" s="58"/>
      <c r="L59" s="58"/>
      <c r="M59" s="58"/>
      <c r="N59" s="58"/>
      <c r="O59" s="58"/>
    </row>
    <row r="60" ht="12.75" customHeight="1">
      <c r="A60" s="118"/>
      <c r="C60" s="58"/>
      <c r="D60" s="58"/>
      <c r="E60" s="58"/>
      <c r="F60" s="58"/>
      <c r="G60" s="58"/>
      <c r="H60" s="58"/>
      <c r="I60" s="58"/>
      <c r="J60" s="58"/>
      <c r="K60" s="58"/>
      <c r="L60" s="58"/>
      <c r="M60" s="58"/>
      <c r="N60" s="58"/>
      <c r="O60" s="58"/>
    </row>
    <row r="61" ht="12.75" customHeight="1">
      <c r="A61" s="149" t="s">
        <v>112</v>
      </c>
      <c r="B61" s="4"/>
      <c r="C61" s="4"/>
      <c r="D61" s="154">
        <f>Inc_St!D22</f>
        <v>246075.8333</v>
      </c>
      <c r="E61" s="154">
        <f>Inc_St!E22</f>
        <v>263449.7833</v>
      </c>
      <c r="F61" s="154">
        <f>Inc_St!F22</f>
        <v>286746.4287</v>
      </c>
      <c r="G61" s="154">
        <f>Inc_St!G22</f>
        <v>311398.1325</v>
      </c>
      <c r="H61" s="154">
        <f>Inc_St!H22</f>
        <v>336291.5681</v>
      </c>
      <c r="I61" s="154">
        <f>Inc_St!I22</f>
        <v>367027.2052</v>
      </c>
      <c r="J61" s="154">
        <f>Inc_St!J22</f>
        <v>439959.8618</v>
      </c>
      <c r="K61" s="154">
        <f>Inc_St!K22</f>
        <v>475435.0574</v>
      </c>
      <c r="L61" s="154">
        <f>Inc_St!L22</f>
        <v>517498.6457</v>
      </c>
      <c r="M61" s="154">
        <f>Inc_St!M22</f>
        <v>555099.8032</v>
      </c>
      <c r="N61" s="58"/>
      <c r="O61" s="58"/>
    </row>
    <row r="62" ht="12.75" customHeight="1">
      <c r="A62" s="150" t="s">
        <v>181</v>
      </c>
      <c r="B62" s="4"/>
      <c r="C62" s="4"/>
      <c r="D62" s="155">
        <f>IF(goodwill_intang_deductible=1,0,Depr_Amort!F43+Depr_Amort!F42)</f>
        <v>0</v>
      </c>
      <c r="E62" s="155">
        <f>IF(goodwill_intang_deductible=1,0,Depr_Amort!G43+Depr_Amort!G42)</f>
        <v>0</v>
      </c>
      <c r="F62" s="155">
        <f>IF(goodwill_intang_deductible=1,0,Depr_Amort!H43+Depr_Amort!H42)</f>
        <v>0</v>
      </c>
      <c r="G62" s="155">
        <f>IF(goodwill_intang_deductible=1,0,Depr_Amort!I43+Depr_Amort!I42)</f>
        <v>0</v>
      </c>
      <c r="H62" s="155">
        <f>IF(goodwill_intang_deductible=1,0,Depr_Amort!J43+Depr_Amort!J42)</f>
        <v>0</v>
      </c>
      <c r="I62" s="155">
        <f>IF(goodwill_intang_deductible=1,0,Depr_Amort!K43+Depr_Amort!K42)</f>
        <v>0</v>
      </c>
      <c r="J62" s="155">
        <f>IF(goodwill_intang_deductible=1,0,Depr_Amort!L43+Depr_Amort!L42)</f>
        <v>0</v>
      </c>
      <c r="K62" s="155">
        <f>IF(goodwill_intang_deductible=1,0,Depr_Amort!M43+Depr_Amort!M42)</f>
        <v>0</v>
      </c>
      <c r="L62" s="155">
        <f>IF(goodwill_intang_deductible=1,0,Depr_Amort!N43+Depr_Amort!N42)</f>
        <v>0</v>
      </c>
      <c r="M62" s="155">
        <f>IF(goodwill_intang_deductible=1,0,Depr_Amort!O43+Depr_Amort!O42)</f>
        <v>0</v>
      </c>
      <c r="N62" s="58"/>
      <c r="O62" s="58"/>
    </row>
    <row r="63" ht="12.75" customHeight="1">
      <c r="A63" s="156" t="s">
        <v>182</v>
      </c>
      <c r="B63" s="4"/>
      <c r="C63" s="4"/>
      <c r="D63" s="154">
        <f t="shared" ref="D63:M63" si="18">SUM(D61:D62)</f>
        <v>246075.8333</v>
      </c>
      <c r="E63" s="154">
        <f t="shared" si="18"/>
        <v>263449.7833</v>
      </c>
      <c r="F63" s="154">
        <f t="shared" si="18"/>
        <v>286746.4287</v>
      </c>
      <c r="G63" s="154">
        <f t="shared" si="18"/>
        <v>311398.1325</v>
      </c>
      <c r="H63" s="154">
        <f t="shared" si="18"/>
        <v>336291.5681</v>
      </c>
      <c r="I63" s="154">
        <f t="shared" si="18"/>
        <v>367027.2052</v>
      </c>
      <c r="J63" s="154">
        <f t="shared" si="18"/>
        <v>439959.8618</v>
      </c>
      <c r="K63" s="154">
        <f t="shared" si="18"/>
        <v>475435.0574</v>
      </c>
      <c r="L63" s="154">
        <f t="shared" si="18"/>
        <v>517498.6457</v>
      </c>
      <c r="M63" s="154">
        <f t="shared" si="18"/>
        <v>555099.8032</v>
      </c>
      <c r="N63" s="58"/>
      <c r="O63" s="58"/>
    </row>
    <row r="64" ht="12.75" customHeight="1">
      <c r="A64" s="150" t="s">
        <v>183</v>
      </c>
      <c r="B64" s="4"/>
      <c r="C64" s="58"/>
      <c r="D64" s="76">
        <f>D63*tax_rate</f>
        <v>86126.54167</v>
      </c>
      <c r="E64" s="76">
        <f>E63*tax_rate</f>
        <v>92207.42417</v>
      </c>
      <c r="F64" s="76">
        <f>F63*tax_rate</f>
        <v>100361.25</v>
      </c>
      <c r="G64" s="76">
        <f>G63*tax_rate</f>
        <v>108989.3464</v>
      </c>
      <c r="H64" s="76">
        <f>H63*tax_rate</f>
        <v>117702.0488</v>
      </c>
      <c r="I64" s="76">
        <f>I63*tax_rate</f>
        <v>128459.5218</v>
      </c>
      <c r="J64" s="76">
        <f>J63*tax_rate</f>
        <v>153985.9516</v>
      </c>
      <c r="K64" s="76">
        <f>K63*tax_rate</f>
        <v>166402.2701</v>
      </c>
      <c r="L64" s="76">
        <f>L63*tax_rate</f>
        <v>181124.526</v>
      </c>
      <c r="M64" s="76">
        <f>M63*tax_rate</f>
        <v>194284.9311</v>
      </c>
      <c r="N64" s="58"/>
      <c r="O64" s="58"/>
    </row>
    <row r="65" ht="12.75" customHeight="1">
      <c r="A65" s="156" t="s">
        <v>184</v>
      </c>
      <c r="B65" s="4"/>
      <c r="C65" s="58"/>
      <c r="D65" s="58">
        <f t="shared" ref="D65:M65" si="19">D63-D64</f>
        <v>159949.2917</v>
      </c>
      <c r="E65" s="58">
        <f t="shared" si="19"/>
        <v>171242.3592</v>
      </c>
      <c r="F65" s="58">
        <f t="shared" si="19"/>
        <v>186385.1787</v>
      </c>
      <c r="G65" s="58">
        <f t="shared" si="19"/>
        <v>202408.7861</v>
      </c>
      <c r="H65" s="58">
        <f t="shared" si="19"/>
        <v>218589.5193</v>
      </c>
      <c r="I65" s="58">
        <f t="shared" si="19"/>
        <v>238567.6834</v>
      </c>
      <c r="J65" s="58">
        <f t="shared" si="19"/>
        <v>285973.9102</v>
      </c>
      <c r="K65" s="58">
        <f t="shared" si="19"/>
        <v>309032.7873</v>
      </c>
      <c r="L65" s="58">
        <f t="shared" si="19"/>
        <v>336374.1197</v>
      </c>
      <c r="M65" s="58">
        <f t="shared" si="19"/>
        <v>360814.8721</v>
      </c>
      <c r="N65" s="58"/>
      <c r="O65" s="58"/>
    </row>
    <row r="66" ht="12.75" customHeight="1">
      <c r="A66" s="150" t="s">
        <v>185</v>
      </c>
      <c r="B66" s="4"/>
      <c r="C66" s="58"/>
      <c r="D66" s="58">
        <f>Depr_Amort!F39+IF(goodwill_intang_deductible=1,Depr_Amort!F43+Depr_Amort!F42,0)</f>
        <v>72924.16667</v>
      </c>
      <c r="E66" s="58">
        <f>Depr_Amort!G39+IF(goodwill_intang_deductible=1,Depr_Amort!G43+Depr_Amort!G42,0)</f>
        <v>85024.16667</v>
      </c>
      <c r="F66" s="58">
        <f>Depr_Amort!H39+IF(goodwill_intang_deductible=1,Depr_Amort!H43+Depr_Amort!H42,0)</f>
        <v>93897.5</v>
      </c>
      <c r="G66" s="58">
        <f>Depr_Amort!I39+IF(goodwill_intang_deductible=1,Depr_Amort!I43+Depr_Amort!I42,0)</f>
        <v>104355.3571</v>
      </c>
      <c r="H66" s="58">
        <f>Depr_Amort!J39+IF(goodwill_intang_deductible=1,Depr_Amort!J43+Depr_Amort!J42,0)</f>
        <v>117776.2738</v>
      </c>
      <c r="I66" s="58">
        <f>Depr_Amort!K39+IF(goodwill_intang_deductible=1,Depr_Amort!K43+Depr_Amort!K42,0)</f>
        <v>128848.5301</v>
      </c>
      <c r="J66" s="58">
        <f>Depr_Amort!L39+IF(goodwill_intang_deductible=1,Depr_Amort!L43+Depr_Amort!L42,0)</f>
        <v>101531.6441</v>
      </c>
      <c r="K66" s="58">
        <f>Depr_Amort!M39+IF(goodwill_intang_deductible=1,Depr_Amort!M43+Depr_Amort!M42,0)</f>
        <v>115822.2361</v>
      </c>
      <c r="L66" s="58">
        <f>Depr_Amort!N39+IF(goodwill_intang_deductible=1,Depr_Amort!N43+Depr_Amort!N42,0)</f>
        <v>128046.8002</v>
      </c>
      <c r="M66" s="58">
        <f>Depr_Amort!O39+IF(goodwill_intang_deductible=1,Depr_Amort!O43+Depr_Amort!O42,0)</f>
        <v>149661.3207</v>
      </c>
      <c r="N66" s="58"/>
      <c r="O66" s="58"/>
    </row>
    <row r="67" ht="12.75" customHeight="1">
      <c r="A67" s="150" t="s">
        <v>186</v>
      </c>
      <c r="B67" s="4"/>
      <c r="C67" s="58"/>
      <c r="D67" s="58">
        <f>Bal_Sheet!F25</f>
        <v>110000</v>
      </c>
      <c r="E67" s="58">
        <f>Bal_Sheet!G25</f>
        <v>121000</v>
      </c>
      <c r="F67" s="58">
        <f>Bal_Sheet!H25</f>
        <v>133100</v>
      </c>
      <c r="G67" s="58">
        <f>Bal_Sheet!I25</f>
        <v>146410</v>
      </c>
      <c r="H67" s="58">
        <f>Bal_Sheet!J25</f>
        <v>161051</v>
      </c>
      <c r="I67" s="58">
        <f>Bal_Sheet!K25</f>
        <v>177156.1</v>
      </c>
      <c r="J67" s="58">
        <f>Bal_Sheet!L25</f>
        <v>194871.71</v>
      </c>
      <c r="K67" s="58">
        <f>Bal_Sheet!M25</f>
        <v>214358.881</v>
      </c>
      <c r="L67" s="58">
        <f>Bal_Sheet!N25</f>
        <v>235794.7691</v>
      </c>
      <c r="M67" s="58">
        <f>Bal_Sheet!O25</f>
        <v>259374.246</v>
      </c>
      <c r="N67" s="58"/>
      <c r="O67" s="58"/>
    </row>
    <row r="68" ht="12.75" customHeight="1">
      <c r="A68" s="150" t="s">
        <v>187</v>
      </c>
      <c r="B68" s="4"/>
      <c r="C68" s="4"/>
      <c r="D68" s="58">
        <f>-SUM(Cash_Flow!D21:D25)</f>
        <v>99600.85</v>
      </c>
      <c r="E68" s="58">
        <f>-SUM(Cash_Flow!E21:E25)</f>
        <v>39600.03033</v>
      </c>
      <c r="F68" s="58">
        <f>-SUM(Cash_Flow!F21:F25)</f>
        <v>47634.85206</v>
      </c>
      <c r="G68" s="58">
        <f>-SUM(Cash_Flow!G21:G25)</f>
        <v>55254.24494</v>
      </c>
      <c r="H68" s="58">
        <f>-SUM(Cash_Flow!H21:H25)</f>
        <v>64070.73563</v>
      </c>
      <c r="I68" s="58">
        <f>-SUM(Cash_Flow!I21:I25)</f>
        <v>74270.24607</v>
      </c>
      <c r="J68" s="58">
        <f>-SUM(Cash_Flow!J21:J25)</f>
        <v>86067.35864</v>
      </c>
      <c r="K68" s="58">
        <f>-SUM(Cash_Flow!K21:K25)</f>
        <v>99709.71311</v>
      </c>
      <c r="L68" s="58">
        <f>-SUM(Cash_Flow!L21:L25)</f>
        <v>115483.076</v>
      </c>
      <c r="M68" s="58">
        <f>-SUM(Cash_Flow!M21:M25)</f>
        <v>133717.1851</v>
      </c>
      <c r="N68" s="58"/>
      <c r="O68" s="58"/>
    </row>
    <row r="69" ht="12.75" customHeight="1">
      <c r="A69" s="150" t="s">
        <v>188</v>
      </c>
      <c r="B69" s="4"/>
      <c r="C69" s="4"/>
      <c r="D69" s="58" t="str">
        <f>-Income_Tax!D30</f>
        <v>#REF!</v>
      </c>
      <c r="E69" s="58" t="str">
        <f>-Income_Tax!E30</f>
        <v>#REF!</v>
      </c>
      <c r="F69" s="58" t="str">
        <f>-Income_Tax!F30</f>
        <v>#REF!</v>
      </c>
      <c r="G69" s="58" t="str">
        <f>-Income_Tax!G30</f>
        <v>#REF!</v>
      </c>
      <c r="H69" s="58" t="str">
        <f>-Income_Tax!H30</f>
        <v>#REF!</v>
      </c>
      <c r="I69" s="58" t="str">
        <f>-Income_Tax!I30</f>
        <v>#REF!</v>
      </c>
      <c r="J69" s="58" t="str">
        <f>-Income_Tax!J30</f>
        <v>#REF!</v>
      </c>
      <c r="K69" s="58" t="str">
        <f>-Income_Tax!K30</f>
        <v>#REF!</v>
      </c>
      <c r="L69" s="58" t="str">
        <f>-Income_Tax!L30</f>
        <v>#REF!</v>
      </c>
      <c r="M69" s="58" t="str">
        <f>-Income_Tax!M30</f>
        <v>#REF!</v>
      </c>
      <c r="N69" s="58"/>
      <c r="O69" s="58"/>
    </row>
    <row r="70" ht="12.75" customHeight="1">
      <c r="A70" s="139" t="s">
        <v>189</v>
      </c>
      <c r="B70" s="4"/>
      <c r="C70" s="4"/>
      <c r="D70" s="157" t="str">
        <f t="shared" ref="D70:M70" si="20">D65+D66-D67-D68-D69</f>
        <v>#REF!</v>
      </c>
      <c r="E70" s="157" t="str">
        <f t="shared" si="20"/>
        <v>#REF!</v>
      </c>
      <c r="F70" s="157" t="str">
        <f t="shared" si="20"/>
        <v>#REF!</v>
      </c>
      <c r="G70" s="157" t="str">
        <f t="shared" si="20"/>
        <v>#REF!</v>
      </c>
      <c r="H70" s="157" t="str">
        <f t="shared" si="20"/>
        <v>#REF!</v>
      </c>
      <c r="I70" s="157" t="str">
        <f t="shared" si="20"/>
        <v>#REF!</v>
      </c>
      <c r="J70" s="157" t="str">
        <f t="shared" si="20"/>
        <v>#REF!</v>
      </c>
      <c r="K70" s="157" t="str">
        <f t="shared" si="20"/>
        <v>#REF!</v>
      </c>
      <c r="L70" s="157" t="str">
        <f t="shared" si="20"/>
        <v>#REF!</v>
      </c>
      <c r="M70" s="157" t="str">
        <f t="shared" si="20"/>
        <v>#REF!</v>
      </c>
      <c r="N70" s="58"/>
      <c r="O70" s="58"/>
    </row>
    <row r="71" ht="12.75" customHeight="1">
      <c r="D71" s="128"/>
      <c r="E71" s="58"/>
      <c r="F71" s="58"/>
      <c r="G71" s="58"/>
      <c r="H71" s="58"/>
      <c r="I71" s="58"/>
      <c r="J71" s="58"/>
      <c r="K71" s="58"/>
      <c r="L71" s="58"/>
      <c r="M71" s="58"/>
      <c r="N71" s="58"/>
      <c r="O71" s="58"/>
    </row>
    <row r="72" ht="12.75" customHeight="1">
      <c r="A72" s="152"/>
      <c r="B72" s="152"/>
      <c r="C72" s="152"/>
      <c r="D72" s="158"/>
      <c r="E72" s="76"/>
      <c r="F72" s="76"/>
      <c r="G72" s="76"/>
      <c r="H72" s="76"/>
      <c r="I72" s="76"/>
      <c r="J72" s="76"/>
      <c r="K72" s="76"/>
      <c r="L72" s="76"/>
      <c r="M72" s="76"/>
      <c r="N72" s="58"/>
      <c r="O72" s="58"/>
    </row>
    <row r="73" ht="12.75" customHeight="1">
      <c r="A73" s="4"/>
      <c r="B73" s="4"/>
      <c r="C73" s="4"/>
      <c r="D73" s="58"/>
      <c r="E73" s="58"/>
      <c r="F73" s="58"/>
      <c r="G73" s="58"/>
      <c r="H73" s="58"/>
      <c r="I73" s="58"/>
      <c r="J73" s="58"/>
      <c r="K73" s="58"/>
      <c r="L73" s="58"/>
      <c r="M73" s="58"/>
      <c r="N73" s="58"/>
      <c r="O73" s="58"/>
    </row>
    <row r="74" ht="12.75" customHeight="1">
      <c r="A74" s="153" t="s">
        <v>190</v>
      </c>
      <c r="B74" s="4"/>
      <c r="C74" s="4"/>
      <c r="D74" s="58"/>
      <c r="E74" s="58"/>
      <c r="F74" s="58"/>
      <c r="G74" s="58"/>
      <c r="H74" s="58"/>
      <c r="I74" s="58"/>
      <c r="J74" s="58"/>
      <c r="K74" s="58"/>
      <c r="L74" s="58"/>
      <c r="M74" s="58"/>
      <c r="N74" s="58"/>
      <c r="O74" s="58"/>
    </row>
    <row r="75" ht="12.75" customHeight="1">
      <c r="A75" s="4"/>
      <c r="B75" s="4"/>
      <c r="C75" s="4"/>
      <c r="D75" s="58"/>
      <c r="E75" s="58"/>
      <c r="F75" s="58"/>
      <c r="G75" s="58"/>
      <c r="H75" s="58"/>
      <c r="I75" s="58"/>
      <c r="J75" s="58"/>
      <c r="K75" s="58"/>
      <c r="L75" s="58"/>
      <c r="M75" s="58"/>
      <c r="N75" s="58"/>
      <c r="O75" s="58"/>
    </row>
    <row r="76" ht="12.75" customHeight="1">
      <c r="A76" s="149" t="s">
        <v>191</v>
      </c>
      <c r="B76" s="4"/>
      <c r="C76" s="58"/>
      <c r="D76" s="58"/>
      <c r="E76" s="58"/>
      <c r="F76" s="58"/>
      <c r="G76" s="58"/>
      <c r="H76" s="58"/>
      <c r="I76" s="58"/>
      <c r="J76" s="58"/>
      <c r="K76" s="58"/>
      <c r="L76" s="58"/>
      <c r="M76" s="58"/>
      <c r="N76" s="58"/>
      <c r="O76" s="58"/>
    </row>
    <row r="77" ht="12.75" customHeight="1">
      <c r="A77" s="4" t="s">
        <v>178</v>
      </c>
      <c r="B77" s="4"/>
      <c r="C77" s="58"/>
      <c r="D77" s="58">
        <f>Bal_Sheet!E10</f>
        <v>77500</v>
      </c>
      <c r="E77" s="58" t="str">
        <f t="shared" ref="E77:M77" si="21">D110</f>
        <v>#REF!</v>
      </c>
      <c r="F77" s="58" t="str">
        <f t="shared" si="21"/>
        <v>#REF!</v>
      </c>
      <c r="G77" s="58" t="str">
        <f t="shared" si="21"/>
        <v>#REF!</v>
      </c>
      <c r="H77" s="58" t="str">
        <f t="shared" si="21"/>
        <v>#REF!</v>
      </c>
      <c r="I77" s="58" t="str">
        <f t="shared" si="21"/>
        <v>#REF!</v>
      </c>
      <c r="J77" s="58" t="str">
        <f t="shared" si="21"/>
        <v>#REF!</v>
      </c>
      <c r="K77" s="58" t="str">
        <f t="shared" si="21"/>
        <v>#REF!</v>
      </c>
      <c r="L77" s="58" t="str">
        <f t="shared" si="21"/>
        <v>#REF!</v>
      </c>
      <c r="M77" s="58" t="str">
        <f t="shared" si="21"/>
        <v>#REF!</v>
      </c>
      <c r="N77" s="58"/>
      <c r="O77" s="58"/>
    </row>
    <row r="78" ht="12.75" customHeight="1">
      <c r="A78" s="4" t="s">
        <v>170</v>
      </c>
      <c r="B78" s="4"/>
      <c r="C78" s="58"/>
      <c r="D78" s="58" t="str">
        <f t="shared" ref="D78:M78" si="22">D27</f>
        <v>#REF!</v>
      </c>
      <c r="E78" s="58" t="str">
        <f t="shared" si="22"/>
        <v>#REF!</v>
      </c>
      <c r="F78" s="58" t="str">
        <f t="shared" si="22"/>
        <v>#REF!</v>
      </c>
      <c r="G78" s="58" t="str">
        <f t="shared" si="22"/>
        <v>#REF!</v>
      </c>
      <c r="H78" s="58" t="str">
        <f t="shared" si="22"/>
        <v>#REF!</v>
      </c>
      <c r="I78" s="58" t="str">
        <f t="shared" si="22"/>
        <v>#REF!</v>
      </c>
      <c r="J78" s="58" t="str">
        <f t="shared" si="22"/>
        <v>#REF!</v>
      </c>
      <c r="K78" s="58" t="str">
        <f t="shared" si="22"/>
        <v>#REF!</v>
      </c>
      <c r="L78" s="58" t="str">
        <f t="shared" si="22"/>
        <v>#REF!</v>
      </c>
      <c r="M78" s="58" t="str">
        <f t="shared" si="22"/>
        <v>#REF!</v>
      </c>
      <c r="N78" s="58"/>
      <c r="O78" s="58"/>
    </row>
    <row r="79" ht="12.75" customHeight="1">
      <c r="A79" s="4" t="s">
        <v>174</v>
      </c>
      <c r="B79" s="4"/>
      <c r="C79" s="58"/>
      <c r="D79" s="58">
        <f t="shared" ref="D79:M79" si="23">D33</f>
        <v>-139000</v>
      </c>
      <c r="E79" s="58">
        <f t="shared" si="23"/>
        <v>-125642</v>
      </c>
      <c r="F79" s="58">
        <f t="shared" si="23"/>
        <v>-138231.731</v>
      </c>
      <c r="G79" s="58">
        <f t="shared" si="23"/>
        <v>-152083.1286</v>
      </c>
      <c r="H79" s="58">
        <f t="shared" si="23"/>
        <v>-167322.6437</v>
      </c>
      <c r="I79" s="58">
        <f t="shared" si="23"/>
        <v>-184089.4021</v>
      </c>
      <c r="J79" s="58">
        <f t="shared" si="23"/>
        <v>-202536.4755</v>
      </c>
      <c r="K79" s="58">
        <f t="shared" si="23"/>
        <v>-222832.2792</v>
      </c>
      <c r="L79" s="58">
        <f t="shared" si="23"/>
        <v>-245162.1108</v>
      </c>
      <c r="M79" s="58">
        <f t="shared" si="23"/>
        <v>-269729.8423</v>
      </c>
      <c r="N79" s="58"/>
      <c r="O79" s="58"/>
    </row>
    <row r="80" ht="12.75" customHeight="1">
      <c r="A80" s="150" t="s">
        <v>192</v>
      </c>
      <c r="B80" s="4"/>
      <c r="C80" s="58"/>
      <c r="D80" s="58" t="str">
        <f t="shared" ref="D80:M80" si="24">SUM(D77:D79)</f>
        <v>#REF!</v>
      </c>
      <c r="E80" s="58" t="str">
        <f t="shared" si="24"/>
        <v>#REF!</v>
      </c>
      <c r="F80" s="58" t="str">
        <f t="shared" si="24"/>
        <v>#REF!</v>
      </c>
      <c r="G80" s="58" t="str">
        <f t="shared" si="24"/>
        <v>#REF!</v>
      </c>
      <c r="H80" s="58" t="str">
        <f t="shared" si="24"/>
        <v>#REF!</v>
      </c>
      <c r="I80" s="58" t="str">
        <f t="shared" si="24"/>
        <v>#REF!</v>
      </c>
      <c r="J80" s="58" t="str">
        <f t="shared" si="24"/>
        <v>#REF!</v>
      </c>
      <c r="K80" s="58" t="str">
        <f t="shared" si="24"/>
        <v>#REF!</v>
      </c>
      <c r="L80" s="58" t="str">
        <f t="shared" si="24"/>
        <v>#REF!</v>
      </c>
      <c r="M80" s="58" t="str">
        <f t="shared" si="24"/>
        <v>#REF!</v>
      </c>
      <c r="N80" s="58"/>
      <c r="O80" s="58"/>
    </row>
    <row r="81" ht="12.75" customHeight="1">
      <c r="A81" s="4" t="s">
        <v>193</v>
      </c>
      <c r="B81" s="4"/>
      <c r="C81" s="58"/>
      <c r="D81" s="58">
        <f>IF(cash_min=1,cash_min_amt,0)</f>
        <v>50000</v>
      </c>
      <c r="E81" s="58">
        <f>IF(cash_min=1,cash_min_amt,0)</f>
        <v>50000</v>
      </c>
      <c r="F81" s="58">
        <f>IF(cash_min=1,cash_min_amt,0)</f>
        <v>50000</v>
      </c>
      <c r="G81" s="58">
        <f>IF(cash_min=1,cash_min_amt,0)</f>
        <v>50000</v>
      </c>
      <c r="H81" s="58">
        <f>IF(cash_min=1,cash_min_amt,0)</f>
        <v>50000</v>
      </c>
      <c r="I81" s="58">
        <f>IF(cash_min=1,cash_min_amt,0)</f>
        <v>50000</v>
      </c>
      <c r="J81" s="58">
        <f>IF(cash_min=1,cash_min_amt,0)</f>
        <v>50000</v>
      </c>
      <c r="K81" s="58">
        <f>IF(cash_min=1,cash_min_amt,0)</f>
        <v>50000</v>
      </c>
      <c r="L81" s="58">
        <f>IF(cash_min=1,cash_min_amt,0)</f>
        <v>50000</v>
      </c>
      <c r="M81" s="58">
        <f>IF(cash_min=1,cash_min_amt,0)</f>
        <v>50000</v>
      </c>
      <c r="N81" s="58"/>
      <c r="O81" s="58"/>
    </row>
    <row r="82" ht="12.75" customHeight="1">
      <c r="A82" s="150" t="str">
        <f>A76</f>
        <v>Cash Available for Debt Repayment</v>
      </c>
      <c r="B82" s="4"/>
      <c r="C82" s="58"/>
      <c r="D82" s="58" t="str">
        <f t="shared" ref="D82:M82" si="25">D80-D81</f>
        <v>#REF!</v>
      </c>
      <c r="E82" s="58" t="str">
        <f t="shared" si="25"/>
        <v>#REF!</v>
      </c>
      <c r="F82" s="58" t="str">
        <f t="shared" si="25"/>
        <v>#REF!</v>
      </c>
      <c r="G82" s="58" t="str">
        <f t="shared" si="25"/>
        <v>#REF!</v>
      </c>
      <c r="H82" s="58" t="str">
        <f t="shared" si="25"/>
        <v>#REF!</v>
      </c>
      <c r="I82" s="58" t="str">
        <f t="shared" si="25"/>
        <v>#REF!</v>
      </c>
      <c r="J82" s="58" t="str">
        <f t="shared" si="25"/>
        <v>#REF!</v>
      </c>
      <c r="K82" s="58" t="str">
        <f t="shared" si="25"/>
        <v>#REF!</v>
      </c>
      <c r="L82" s="58" t="str">
        <f t="shared" si="25"/>
        <v>#REF!</v>
      </c>
      <c r="M82" s="58" t="str">
        <f t="shared" si="25"/>
        <v>#REF!</v>
      </c>
      <c r="N82" s="58"/>
      <c r="O82" s="58"/>
    </row>
    <row r="83" ht="12.75" customHeight="1">
      <c r="A83" s="4"/>
      <c r="B83" s="4"/>
      <c r="C83" s="58"/>
      <c r="D83" s="58"/>
      <c r="E83" s="58"/>
      <c r="F83" s="58"/>
      <c r="G83" s="58"/>
      <c r="H83" s="58"/>
      <c r="I83" s="58"/>
      <c r="J83" s="58"/>
      <c r="K83" s="58"/>
      <c r="L83" s="58"/>
      <c r="M83" s="58"/>
      <c r="N83" s="58"/>
      <c r="O83" s="58"/>
    </row>
    <row r="84" ht="12.75" customHeight="1">
      <c r="A84" s="156" t="s">
        <v>194</v>
      </c>
      <c r="B84" s="4"/>
      <c r="C84" s="58"/>
      <c r="D84" s="58"/>
      <c r="E84" s="58"/>
      <c r="F84" s="58"/>
      <c r="G84" s="58"/>
      <c r="H84" s="58"/>
      <c r="I84" s="58"/>
      <c r="J84" s="58"/>
      <c r="K84" s="58"/>
      <c r="L84" s="58"/>
      <c r="M84" s="58"/>
      <c r="N84" s="58"/>
      <c r="O84" s="58"/>
    </row>
    <row r="85" ht="12.75" customHeight="1">
      <c r="A85" s="150" t="str">
        <f>Bal_Sheet!A46</f>
        <v>Existing Debt</v>
      </c>
      <c r="B85" s="4"/>
      <c r="C85" s="4"/>
      <c r="D85" s="58">
        <f>IF(assumed_debt_maturity_year=D5,Bal_Sheet!E46,IF(assumed_debt_maturity_year&gt;D5,MIN(Bal_Sheet!E46,Input!$C$26*assumed_debt_ann_repay),0))</f>
        <v>7222.222222</v>
      </c>
      <c r="E85" s="58" t="str">
        <f>IF(assumed_debt_maturity_year=E5,Bal_Sheet!F46,IF(assumed_debt_maturity_year&gt;E5,MIN(Bal_Sheet!F46,Input!$C$26*assumed_debt_ann_repay),0))</f>
        <v>#REF!</v>
      </c>
      <c r="F85" s="58" t="str">
        <f>IF(assumed_debt_maturity_year=F5,Bal_Sheet!G46,IF(assumed_debt_maturity_year&gt;F5,MIN(Bal_Sheet!G46,Input!$C$26*assumed_debt_ann_repay),0))</f>
        <v>#REF!</v>
      </c>
      <c r="G85" s="58" t="str">
        <f>IF(assumed_debt_maturity_year=G5,Bal_Sheet!H46,IF(assumed_debt_maturity_year&gt;G5,MIN(Bal_Sheet!H46,Input!$C$26*assumed_debt_ann_repay),0))</f>
        <v>#REF!</v>
      </c>
      <c r="H85" s="58" t="str">
        <f>IF(assumed_debt_maturity_year=H5,Bal_Sheet!I46,IF(assumed_debt_maturity_year&gt;H5,MIN(Bal_Sheet!I46,Input!$C$26*assumed_debt_ann_repay),0))</f>
        <v>#REF!</v>
      </c>
      <c r="I85" s="58" t="str">
        <f>IF(assumed_debt_maturity_year=I5,Bal_Sheet!J46,IF(assumed_debt_maturity_year&gt;I5,MIN(Bal_Sheet!J46,Input!$C$26*assumed_debt_ann_repay),0))</f>
        <v>#REF!</v>
      </c>
      <c r="J85" s="58" t="str">
        <f>IF(assumed_debt_maturity_year=J5,Bal_Sheet!K46,IF(assumed_debt_maturity_year&gt;J5,MIN(Bal_Sheet!K46,Input!$C$26*assumed_debt_ann_repay),0))</f>
        <v>#REF!</v>
      </c>
      <c r="K85" s="58" t="str">
        <f>IF(assumed_debt_maturity_year=K5,Bal_Sheet!L46,IF(assumed_debt_maturity_year&gt;K5,MIN(Bal_Sheet!L46,Input!$C$26*assumed_debt_ann_repay),0))</f>
        <v>#REF!</v>
      </c>
      <c r="L85" s="58" t="str">
        <f>IF(assumed_debt_maturity_year=L5,Bal_Sheet!M46,IF(assumed_debt_maturity_year&gt;L5,MIN(Bal_Sheet!M46,Input!$C$26*assumed_debt_ann_repay),0))</f>
        <v>#REF!</v>
      </c>
      <c r="M85" s="58">
        <f>IF(assumed_debt_maturity_year=M5,Bal_Sheet!N46,IF(assumed_debt_maturity_year&gt;M5,MIN(Bal_Sheet!N46,Input!$C$26*assumed_debt_ann_repay),0))</f>
        <v>0</v>
      </c>
      <c r="N85" s="58"/>
      <c r="O85" s="58"/>
    </row>
    <row r="86" ht="12.75" customHeight="1">
      <c r="A86" s="150" t="str">
        <f>Bal_Sheet!A48</f>
        <v>Term Loan "A"</v>
      </c>
      <c r="B86" s="4"/>
      <c r="C86" s="4"/>
      <c r="D86" s="58">
        <f>IF(termloanA_term_years=D5,Bal_Sheet!E48,IF(termloanA_term_years&gt;D5,MIN(Bal_Sheet!E48,Input!$C$28*termloanA_ann_repay),0))</f>
        <v>10000</v>
      </c>
      <c r="E86" s="58" t="str">
        <f>IF(termloanA_term_years=E5,Bal_Sheet!F48,IF(termloanA_term_years&gt;E5,MIN(Bal_Sheet!F48,Input!$C$28*termloanA_ann_repay),0))</f>
        <v>#REF!</v>
      </c>
      <c r="F86" s="58" t="str">
        <f>IF(termloanA_term_years=F5,Bal_Sheet!G48,IF(termloanA_term_years&gt;F5,MIN(Bal_Sheet!G48,Input!$C$28*termloanA_ann_repay),0))</f>
        <v>#REF!</v>
      </c>
      <c r="G86" s="58" t="str">
        <f>IF(termloanA_term_years=G5,Bal_Sheet!H48,IF(termloanA_term_years&gt;G5,MIN(Bal_Sheet!H48,Input!$C$28*termloanA_ann_repay),0))</f>
        <v>#REF!</v>
      </c>
      <c r="H86" s="58" t="str">
        <f>IF(termloanA_term_years=H5,Bal_Sheet!I48,IF(termloanA_term_years&gt;H5,MIN(Bal_Sheet!I48,Input!$C$28*termloanA_ann_repay),0))</f>
        <v>#REF!</v>
      </c>
      <c r="I86" s="58" t="str">
        <f>IF(termloanA_term_years=I5,Bal_Sheet!J48,IF(termloanA_term_years&gt;I5,MIN(Bal_Sheet!J48,Input!$C$28*termloanA_ann_repay),0))</f>
        <v>#REF!</v>
      </c>
      <c r="J86" s="58" t="str">
        <f>IF(termloanA_term_years=J5,Bal_Sheet!K48,IF(termloanA_term_years&gt;J5,MIN(Bal_Sheet!K48,Input!$C$28*termloanA_ann_repay),0))</f>
        <v>#REF!</v>
      </c>
      <c r="K86" s="58" t="str">
        <f>IF(termloanA_term_years=K5,Bal_Sheet!L48,IF(termloanA_term_years&gt;K5,MIN(Bal_Sheet!L48,Input!$C$28*termloanA_ann_repay),0))</f>
        <v>#REF!</v>
      </c>
      <c r="L86" s="58">
        <f>IF(termloanA_term_years=L5,Bal_Sheet!M48,IF(termloanA_term_years&gt;L5,MIN(Bal_Sheet!M48,Input!$C$28*termloanA_ann_repay),0))</f>
        <v>0</v>
      </c>
      <c r="M86" s="58">
        <f>IF(termloanA_term_years=M5,Bal_Sheet!N48,IF(termloanA_term_years&gt;M5,MIN(Bal_Sheet!N48,Input!$C$28*termloanA_ann_repay),0))</f>
        <v>0</v>
      </c>
      <c r="N86" s="58"/>
      <c r="O86" s="58"/>
    </row>
    <row r="87" ht="12.75" customHeight="1">
      <c r="A87" s="150" t="str">
        <f>Bal_Sheet!A49</f>
        <v>Term Loan "B"</v>
      </c>
      <c r="B87" s="4"/>
      <c r="C87" s="4"/>
      <c r="D87" s="58">
        <f>IF(termloanB_term_years=D5,MIN(Bal_Sheet!E49,Input!$C$29*termloanB_bulletyr_repayment),IF(termloanB_term_years&gt;D5,MIN(Bal_Sheet!E49,Input!$C$29*termloanB_ann_repay),0))</f>
        <v>2200</v>
      </c>
      <c r="E87" s="58" t="str">
        <f>IF(termloanB_term_years=E5,MIN(Bal_Sheet!F49,Input!$C$29*termloanB_bulletyr_repayment),IF(termloanB_term_years&gt;E5,MIN(Bal_Sheet!F49,Input!$C$29*termloanB_ann_repay),0))</f>
        <v>#REF!</v>
      </c>
      <c r="F87" s="58" t="str">
        <f>IF(termloanB_term_years=F5,MIN(Bal_Sheet!G49,Input!$C$29*termloanB_bulletyr_repayment),IF(termloanB_term_years&gt;F5,MIN(Bal_Sheet!G49,Input!$C$29*termloanB_ann_repay),0))</f>
        <v>#REF!</v>
      </c>
      <c r="G87" s="58" t="str">
        <f>IF(termloanB_term_years=G5,MIN(Bal_Sheet!H49,Input!$C$29*termloanB_bulletyr_repayment),IF(termloanB_term_years&gt;G5,MIN(Bal_Sheet!H49,Input!$C$29*termloanB_ann_repay),0))</f>
        <v>#REF!</v>
      </c>
      <c r="H87" s="58" t="str">
        <f>IF(termloanB_term_years=H5,MIN(Bal_Sheet!I49,Input!$C$29*termloanB_bulletyr_repayment),IF(termloanB_term_years&gt;H5,MIN(Bal_Sheet!I49,Input!$C$29*termloanB_ann_repay),0))</f>
        <v>#REF!</v>
      </c>
      <c r="I87" s="58" t="str">
        <f>IF(termloanB_term_years=I5,MIN(Bal_Sheet!J49,Input!$C$29*termloanB_bulletyr_repayment),IF(termloanB_term_years&gt;I5,MIN(Bal_Sheet!J49,Input!$C$29*termloanB_ann_repay),0))</f>
        <v>#REF!</v>
      </c>
      <c r="J87" s="58" t="str">
        <f>IF(termloanB_term_years=J5,MIN(Bal_Sheet!K49,Input!$C$29*termloanB_bulletyr_repayment),IF(termloanB_term_years&gt;J5,MIN(Bal_Sheet!K49,Input!$C$29*termloanB_ann_repay),0))</f>
        <v>#REF!</v>
      </c>
      <c r="K87" s="58" t="str">
        <f>IF(termloanB_term_years=K5,MIN(Bal_Sheet!L49,Input!$C$29*termloanB_bulletyr_repayment),IF(termloanB_term_years&gt;K5,MIN(Bal_Sheet!L49,Input!$C$29*termloanB_ann_repay),0))</f>
        <v>#REF!</v>
      </c>
      <c r="L87" s="58" t="str">
        <f>IF(termloanB_term_years=L5,MIN(Bal_Sheet!M49,Input!$C$29*termloanB_bulletyr_repayment),IF(termloanB_term_years&gt;L5,MIN(Bal_Sheet!M49,Input!$C$29*termloanB_ann_repay),0))</f>
        <v>#REF!</v>
      </c>
      <c r="M87" s="58" t="str">
        <f>IF(termloanB_term_years=M5,MIN(Bal_Sheet!N49,Input!$C$29*termloanB_bulletyr_repayment),IF(termloanB_term_years&gt;M5,MIN(Bal_Sheet!N49,Input!$C$29*termloanB_ann_repay),0))</f>
        <v>#REF!</v>
      </c>
      <c r="N87" s="58"/>
      <c r="O87" s="58"/>
    </row>
    <row r="88" ht="12.75" customHeight="1">
      <c r="A88" s="150" t="str">
        <f>Bal_Sheet!A50</f>
        <v>Senior Notes</v>
      </c>
      <c r="B88" s="4"/>
      <c r="C88" s="4"/>
      <c r="D88" s="58">
        <f>IF(senior_notes_mat_yr=D5,Bal_Sheet!E50,0)</f>
        <v>0</v>
      </c>
      <c r="E88" s="58">
        <f>IF(senior_notes_mat_yr=E5,Bal_Sheet!F50,0)</f>
        <v>0</v>
      </c>
      <c r="F88" s="58">
        <f>IF(senior_notes_mat_yr=F5,Bal_Sheet!G50,0)</f>
        <v>0</v>
      </c>
      <c r="G88" s="58">
        <f>IF(senior_notes_mat_yr=G5,Bal_Sheet!H50,0)</f>
        <v>0</v>
      </c>
      <c r="H88" s="58">
        <f>IF(senior_notes_mat_yr=H5,Bal_Sheet!I50,0)</f>
        <v>0</v>
      </c>
      <c r="I88" s="58">
        <f>IF(senior_notes_mat_yr=I5,Bal_Sheet!J50,0)</f>
        <v>0</v>
      </c>
      <c r="J88" s="58">
        <f>IF(senior_notes_mat_yr=J5,Bal_Sheet!K50,0)</f>
        <v>0</v>
      </c>
      <c r="K88" s="58">
        <f>IF(senior_notes_mat_yr=K5,Bal_Sheet!L50,0)</f>
        <v>0</v>
      </c>
      <c r="L88" s="58" t="str">
        <f>IF(senior_notes_mat_yr=L5,Bal_Sheet!M50,0)</f>
        <v>#REF!</v>
      </c>
      <c r="M88" s="58">
        <f>IF(senior_notes_mat_yr=M5,Bal_Sheet!N50,0)</f>
        <v>0</v>
      </c>
      <c r="N88" s="58"/>
      <c r="O88" s="58"/>
    </row>
    <row r="89" ht="12.75" customHeight="1">
      <c r="A89" s="150" t="str">
        <f>Bal_Sheet!A51</f>
        <v>Subordinated Notes</v>
      </c>
      <c r="B89" s="4"/>
      <c r="C89" s="4"/>
      <c r="D89" s="58">
        <f>IF(sub_notes_mat_yr=D5,Bal_Sheet!E51,0)</f>
        <v>0</v>
      </c>
      <c r="E89" s="58">
        <f>IF(sub_notes_mat_yr=E5,Bal_Sheet!F51,0)</f>
        <v>0</v>
      </c>
      <c r="F89" s="58">
        <f>IF(sub_notes_mat_yr=F5,Bal_Sheet!G51,0)</f>
        <v>0</v>
      </c>
      <c r="G89" s="58">
        <f>IF(sub_notes_mat_yr=G5,Bal_Sheet!H51,0)</f>
        <v>0</v>
      </c>
      <c r="H89" s="58">
        <f>IF(sub_notes_mat_yr=H5,Bal_Sheet!I51,0)</f>
        <v>0</v>
      </c>
      <c r="I89" s="58">
        <f>IF(sub_notes_mat_yr=I5,Bal_Sheet!J51,0)</f>
        <v>0</v>
      </c>
      <c r="J89" s="58">
        <f>IF(sub_notes_mat_yr=J5,Bal_Sheet!K51,0)</f>
        <v>0</v>
      </c>
      <c r="K89" s="58">
        <f>IF(sub_notes_mat_yr=K5,Bal_Sheet!L51,0)</f>
        <v>0</v>
      </c>
      <c r="L89" s="58">
        <f>IF(sub_notes_mat_yr=L5,Bal_Sheet!M51,0)</f>
        <v>0</v>
      </c>
      <c r="M89" s="58">
        <f>IF(sub_notes_mat_yr=M5,Bal_Sheet!N51,0)</f>
        <v>0</v>
      </c>
      <c r="N89" s="58"/>
      <c r="O89" s="58"/>
    </row>
    <row r="90" ht="12.75" customHeight="1">
      <c r="A90" s="150" t="str">
        <f>Bal_Sheet!A52</f>
        <v>Mezzanine Debt</v>
      </c>
      <c r="B90" s="4"/>
      <c r="C90" s="4"/>
      <c r="D90" s="58">
        <f>IF(mezzdebt_maturity_year=D5,Bal_Sheet!E52,0)</f>
        <v>0</v>
      </c>
      <c r="E90" s="58">
        <f>IF(mezzdebt_maturity_year=E5,Bal_Sheet!F52,0)</f>
        <v>0</v>
      </c>
      <c r="F90" s="58">
        <f>IF(mezzdebt_maturity_year=F5,Bal_Sheet!G52,0)</f>
        <v>0</v>
      </c>
      <c r="G90" s="58">
        <f>IF(mezzdebt_maturity_year=G5,Bal_Sheet!H52,0)</f>
        <v>0</v>
      </c>
      <c r="H90" s="58">
        <f>IF(mezzdebt_maturity_year=H5,Bal_Sheet!I52,0)</f>
        <v>0</v>
      </c>
      <c r="I90" s="58">
        <f>IF(mezzdebt_maturity_year=I5,Bal_Sheet!J52,0)</f>
        <v>0</v>
      </c>
      <c r="J90" s="58">
        <f>IF(mezzdebt_maturity_year=J5,Bal_Sheet!K52,0)</f>
        <v>0</v>
      </c>
      <c r="K90" s="58">
        <f>IF(mezzdebt_maturity_year=K5,Bal_Sheet!L52,0)</f>
        <v>0</v>
      </c>
      <c r="L90" s="58">
        <f>IF(mezzdebt_maturity_year=L5,Bal_Sheet!M52,0)</f>
        <v>0</v>
      </c>
      <c r="M90" s="58">
        <f>IF(mezzdebt_maturity_year=M5,Bal_Sheet!N52,0)</f>
        <v>0</v>
      </c>
      <c r="N90" s="58"/>
      <c r="O90" s="58"/>
    </row>
    <row r="91" ht="12.75" customHeight="1">
      <c r="A91" s="150" t="str">
        <f>Bal_Sheet!A53</f>
        <v>Seller Notes</v>
      </c>
      <c r="B91" s="4"/>
      <c r="C91" s="4"/>
      <c r="D91" s="58">
        <f>IF(seller_notes_term_year=D5,Bal_Sheet!E53,IF(seller_notes_term_year&gt;D5,MIN(Bal_Sheet!E53,Input!$C$33*seller_notes_ann_repay),0))</f>
        <v>3571.428571</v>
      </c>
      <c r="E91" s="58" t="str">
        <f>IF(seller_notes_term_year=E5,Bal_Sheet!F53,IF(seller_notes_term_year&gt;E5,MIN(Bal_Sheet!F53,Input!$C$33*seller_notes_ann_repay),0))</f>
        <v>#REF!</v>
      </c>
      <c r="F91" s="58" t="str">
        <f>IF(seller_notes_term_year=F5,Bal_Sheet!G53,IF(seller_notes_term_year&gt;F5,MIN(Bal_Sheet!G53,Input!$C$33*seller_notes_ann_repay),0))</f>
        <v>#REF!</v>
      </c>
      <c r="G91" s="58" t="str">
        <f>IF(seller_notes_term_year=G5,Bal_Sheet!H53,IF(seller_notes_term_year&gt;G5,MIN(Bal_Sheet!H53,Input!$C$33*seller_notes_ann_repay),0))</f>
        <v>#REF!</v>
      </c>
      <c r="H91" s="58" t="str">
        <f>IF(seller_notes_term_year=H5,Bal_Sheet!I53,IF(seller_notes_term_year&gt;H5,MIN(Bal_Sheet!I53,Input!$C$33*seller_notes_ann_repay),0))</f>
        <v>#REF!</v>
      </c>
      <c r="I91" s="58" t="str">
        <f>IF(seller_notes_term_year=I5,Bal_Sheet!J53,IF(seller_notes_term_year&gt;I5,MIN(Bal_Sheet!J53,Input!$C$33*seller_notes_ann_repay),0))</f>
        <v>#REF!</v>
      </c>
      <c r="J91" s="58" t="str">
        <f>IF(seller_notes_term_year=J5,Bal_Sheet!K53,IF(seller_notes_term_year&gt;J5,MIN(Bal_Sheet!K53,Input!$C$33*seller_notes_ann_repay),0))</f>
        <v>#REF!</v>
      </c>
      <c r="K91" s="58">
        <f>IF(seller_notes_term_year=K5,Bal_Sheet!L53,IF(seller_notes_term_year&gt;K5,MIN(Bal_Sheet!L53,Input!$C$33*seller_notes_ann_repay),0))</f>
        <v>0</v>
      </c>
      <c r="L91" s="58">
        <f>IF(seller_notes_term_year=L5,Bal_Sheet!M53,IF(seller_notes_term_year&gt;L5,MIN(Bal_Sheet!M53,Input!$C$33*seller_notes_ann_repay),0))</f>
        <v>0</v>
      </c>
      <c r="M91" s="58">
        <f>IF(seller_notes_term_year=M5,Bal_Sheet!N53,IF(seller_notes_term_year&gt;M5,MIN(Bal_Sheet!N53,Input!$C$33*seller_notes_ann_repay),0))</f>
        <v>0</v>
      </c>
      <c r="N91" s="58"/>
      <c r="O91" s="58"/>
    </row>
    <row r="92" ht="12.75" customHeight="1">
      <c r="A92" s="150" t="str">
        <f>Bal_Sheet!A61</f>
        <v>Preferred Stock</v>
      </c>
      <c r="B92" s="4"/>
      <c r="C92" s="4"/>
      <c r="D92" s="58">
        <f>IF(pref_stock_retired_year=D5,Bal_Sheet!E61,0)</f>
        <v>0</v>
      </c>
      <c r="E92" s="58">
        <f>IF(pref_stock_retired_year=E5,Bal_Sheet!F61,0)</f>
        <v>0</v>
      </c>
      <c r="F92" s="58">
        <f>IF(pref_stock_retired_year=F5,Bal_Sheet!G61,0)</f>
        <v>0</v>
      </c>
      <c r="G92" s="58">
        <f>IF(pref_stock_retired_year=G5,Bal_Sheet!H61,0)</f>
        <v>0</v>
      </c>
      <c r="H92" s="58">
        <f>IF(pref_stock_retired_year=H5,Bal_Sheet!I61,0)</f>
        <v>0</v>
      </c>
      <c r="I92" s="58">
        <f>IF(pref_stock_retired_year=I5,Bal_Sheet!J61,0)</f>
        <v>0</v>
      </c>
      <c r="J92" s="58">
        <f>IF(pref_stock_retired_year=J5,Bal_Sheet!K61,0)</f>
        <v>0</v>
      </c>
      <c r="K92" s="58">
        <f>IF(pref_stock_retired_year=K5,Bal_Sheet!L61,0)</f>
        <v>0</v>
      </c>
      <c r="L92" s="58">
        <f>IF(pref_stock_retired_year=L5,Bal_Sheet!M61,0)</f>
        <v>0</v>
      </c>
      <c r="M92" s="58">
        <f>IF(pref_stock_retired_year=M5,Bal_Sheet!N61,0)</f>
        <v>0</v>
      </c>
      <c r="N92" s="58"/>
      <c r="O92" s="58"/>
    </row>
    <row r="93" ht="12.75" customHeight="1">
      <c r="A93" s="4" t="s">
        <v>192</v>
      </c>
      <c r="B93" s="4"/>
      <c r="C93" s="4"/>
      <c r="D93" s="58">
        <f t="shared" ref="D93:M93" si="26">SUM(D85:D92)</f>
        <v>22993.65079</v>
      </c>
      <c r="E93" s="58" t="str">
        <f t="shared" si="26"/>
        <v>#REF!</v>
      </c>
      <c r="F93" s="58" t="str">
        <f t="shared" si="26"/>
        <v>#REF!</v>
      </c>
      <c r="G93" s="58" t="str">
        <f t="shared" si="26"/>
        <v>#REF!</v>
      </c>
      <c r="H93" s="58" t="str">
        <f t="shared" si="26"/>
        <v>#REF!</v>
      </c>
      <c r="I93" s="58" t="str">
        <f t="shared" si="26"/>
        <v>#REF!</v>
      </c>
      <c r="J93" s="58" t="str">
        <f t="shared" si="26"/>
        <v>#REF!</v>
      </c>
      <c r="K93" s="58" t="str">
        <f t="shared" si="26"/>
        <v>#REF!</v>
      </c>
      <c r="L93" s="58" t="str">
        <f t="shared" si="26"/>
        <v>#REF!</v>
      </c>
      <c r="M93" s="58" t="str">
        <f t="shared" si="26"/>
        <v>#REF!</v>
      </c>
      <c r="N93" s="58"/>
      <c r="O93" s="58"/>
    </row>
    <row r="94" ht="12.75" customHeight="1">
      <c r="A94" s="4"/>
      <c r="B94" s="4"/>
      <c r="C94" s="4"/>
      <c r="D94" s="58"/>
      <c r="E94" s="58"/>
      <c r="F94" s="58"/>
      <c r="G94" s="58"/>
      <c r="H94" s="58"/>
      <c r="I94" s="58"/>
      <c r="J94" s="58"/>
      <c r="K94" s="58"/>
      <c r="L94" s="58"/>
      <c r="M94" s="58"/>
      <c r="N94" s="58"/>
      <c r="O94" s="58"/>
    </row>
    <row r="95" ht="12.75" customHeight="1">
      <c r="A95" s="4" t="s">
        <v>195</v>
      </c>
      <c r="B95" s="4"/>
      <c r="C95" s="4"/>
      <c r="D95" s="58" t="str">
        <f t="shared" ref="D95:M95" si="27">D82-D93</f>
        <v>#REF!</v>
      </c>
      <c r="E95" s="58" t="str">
        <f t="shared" si="27"/>
        <v>#REF!</v>
      </c>
      <c r="F95" s="58" t="str">
        <f t="shared" si="27"/>
        <v>#REF!</v>
      </c>
      <c r="G95" s="58" t="str">
        <f t="shared" si="27"/>
        <v>#REF!</v>
      </c>
      <c r="H95" s="58" t="str">
        <f t="shared" si="27"/>
        <v>#REF!</v>
      </c>
      <c r="I95" s="58" t="str">
        <f t="shared" si="27"/>
        <v>#REF!</v>
      </c>
      <c r="J95" s="58" t="str">
        <f t="shared" si="27"/>
        <v>#REF!</v>
      </c>
      <c r="K95" s="58" t="str">
        <f t="shared" si="27"/>
        <v>#REF!</v>
      </c>
      <c r="L95" s="58" t="str">
        <f t="shared" si="27"/>
        <v>#REF!</v>
      </c>
      <c r="M95" s="58" t="str">
        <f t="shared" si="27"/>
        <v>#REF!</v>
      </c>
      <c r="N95" s="58"/>
      <c r="O95" s="58"/>
    </row>
    <row r="96" ht="12.75" customHeight="1">
      <c r="A96" s="150" t="s">
        <v>196</v>
      </c>
      <c r="B96" s="4"/>
      <c r="C96" s="4"/>
      <c r="D96" s="58" t="str">
        <f>MIN(revolver_limit-Bal_Sheet!E47,MAX(-D95,0))</f>
        <v>#REF!</v>
      </c>
      <c r="E96" s="58" t="str">
        <f>MIN(revolver_limit-Bal_Sheet!F47,MAX(-E95,0))</f>
        <v>#REF!</v>
      </c>
      <c r="F96" s="58" t="str">
        <f>MIN(revolver_limit-Bal_Sheet!G47,MAX(-F95,0))</f>
        <v>#REF!</v>
      </c>
      <c r="G96" s="58" t="str">
        <f>MIN(revolver_limit-Bal_Sheet!H47,MAX(-G95,0))</f>
        <v>#REF!</v>
      </c>
      <c r="H96" s="58" t="str">
        <f>MIN(revolver_limit-Bal_Sheet!I47,MAX(-H95,0))</f>
        <v>#REF!</v>
      </c>
      <c r="I96" s="58" t="str">
        <f>MIN(revolver_limit-Bal_Sheet!J47,MAX(-I95,0))</f>
        <v>#REF!</v>
      </c>
      <c r="J96" s="58" t="str">
        <f>MIN(revolver_limit-Bal_Sheet!K47,MAX(-J95,0))</f>
        <v>#REF!</v>
      </c>
      <c r="K96" s="58" t="str">
        <f>MIN(revolver_limit-Bal_Sheet!L47,MAX(-K95,0))</f>
        <v>#REF!</v>
      </c>
      <c r="L96" s="58" t="str">
        <f>MIN(revolver_limit-Bal_Sheet!M47,MAX(-L95,0))</f>
        <v>#REF!</v>
      </c>
      <c r="M96" s="58" t="str">
        <f>MIN(revolver_limit-Bal_Sheet!N47,MAX(-M95,0))</f>
        <v>#REF!</v>
      </c>
      <c r="N96" s="58"/>
      <c r="O96" s="58"/>
    </row>
    <row r="97" ht="12.75" customHeight="1">
      <c r="A97" s="4" t="s">
        <v>197</v>
      </c>
      <c r="B97" s="4"/>
      <c r="C97" s="4"/>
      <c r="D97" s="58" t="str">
        <f t="shared" ref="D97:M97" si="28">SUM(D95:D96)</f>
        <v>#REF!</v>
      </c>
      <c r="E97" s="58" t="str">
        <f t="shared" si="28"/>
        <v>#REF!</v>
      </c>
      <c r="F97" s="58" t="str">
        <f t="shared" si="28"/>
        <v>#REF!</v>
      </c>
      <c r="G97" s="58" t="str">
        <f t="shared" si="28"/>
        <v>#REF!</v>
      </c>
      <c r="H97" s="58" t="str">
        <f t="shared" si="28"/>
        <v>#REF!</v>
      </c>
      <c r="I97" s="58" t="str">
        <f t="shared" si="28"/>
        <v>#REF!</v>
      </c>
      <c r="J97" s="58" t="str">
        <f t="shared" si="28"/>
        <v>#REF!</v>
      </c>
      <c r="K97" s="58" t="str">
        <f t="shared" si="28"/>
        <v>#REF!</v>
      </c>
      <c r="L97" s="58" t="str">
        <f t="shared" si="28"/>
        <v>#REF!</v>
      </c>
      <c r="M97" s="58" t="str">
        <f t="shared" si="28"/>
        <v>#REF!</v>
      </c>
      <c r="N97" s="58"/>
      <c r="O97" s="58"/>
    </row>
    <row r="98" ht="12.75" customHeight="1">
      <c r="A98" s="4"/>
      <c r="B98" s="4"/>
      <c r="C98" s="4"/>
      <c r="D98" s="58"/>
      <c r="E98" s="58"/>
      <c r="F98" s="58"/>
      <c r="G98" s="58"/>
      <c r="H98" s="58"/>
      <c r="I98" s="58"/>
      <c r="J98" s="58"/>
      <c r="K98" s="58"/>
      <c r="L98" s="58"/>
      <c r="M98" s="58"/>
      <c r="N98" s="58"/>
      <c r="O98" s="58"/>
    </row>
    <row r="99" ht="12.75" customHeight="1">
      <c r="A99" s="156" t="s">
        <v>198</v>
      </c>
      <c r="B99" s="4"/>
      <c r="C99" s="4"/>
      <c r="D99" s="58"/>
      <c r="E99" s="58"/>
      <c r="F99" s="58"/>
      <c r="G99" s="58"/>
      <c r="H99" s="58"/>
      <c r="I99" s="58"/>
      <c r="J99" s="58"/>
      <c r="K99" s="58"/>
      <c r="L99" s="58"/>
      <c r="M99" s="58"/>
      <c r="N99" s="58"/>
      <c r="O99" s="58"/>
    </row>
    <row r="100" ht="12.75" customHeight="1">
      <c r="A100" s="150" t="str">
        <f>Bal_Sheet!A46</f>
        <v>Existing Debt</v>
      </c>
      <c r="B100" s="4"/>
      <c r="C100" s="4"/>
      <c r="D100" s="58" t="str">
        <f>IF(AND(assumed_debt_prepay=1,D$5&lt;=assumed_debt_maturity_year),MIN(Bal_Sheet!E46-D85,MAX(D$97,0)),0)</f>
        <v>#REF!</v>
      </c>
      <c r="E100" s="58" t="str">
        <f>IF(AND(assumed_debt_prepay=1,E$5&lt;=assumed_debt_maturity_year),MIN(Bal_Sheet!F46-E85,MAX(E$97,0)),0)</f>
        <v>#REF!</v>
      </c>
      <c r="F100" s="58" t="str">
        <f>IF(AND(assumed_debt_prepay=1,F$5&lt;=assumed_debt_maturity_year),MIN(Bal_Sheet!G46-F85,MAX(F$97,0)),0)</f>
        <v>#REF!</v>
      </c>
      <c r="G100" s="58" t="str">
        <f>IF(AND(assumed_debt_prepay=1,G$5&lt;=assumed_debt_maturity_year),MIN(Bal_Sheet!H46-G85,MAX(G$97,0)),0)</f>
        <v>#REF!</v>
      </c>
      <c r="H100" s="58" t="str">
        <f>IF(AND(assumed_debt_prepay=1,H$5&lt;=assumed_debt_maturity_year),MIN(Bal_Sheet!I46-H85,MAX(H$97,0)),0)</f>
        <v>#REF!</v>
      </c>
      <c r="I100" s="58" t="str">
        <f>IF(AND(assumed_debt_prepay=1,I$5&lt;=assumed_debt_maturity_year),MIN(Bal_Sheet!J46-I85,MAX(I$97,0)),0)</f>
        <v>#REF!</v>
      </c>
      <c r="J100" s="58" t="str">
        <f>IF(AND(assumed_debt_prepay=1,J$5&lt;=assumed_debt_maturity_year),MIN(Bal_Sheet!K46-J85,MAX(J$97,0)),0)</f>
        <v>#REF!</v>
      </c>
      <c r="K100" s="58" t="str">
        <f>IF(AND(assumed_debt_prepay=1,K$5&lt;=assumed_debt_maturity_year),MIN(Bal_Sheet!L46-K85,MAX(K$97,0)),0)</f>
        <v>#REF!</v>
      </c>
      <c r="L100" s="58" t="str">
        <f>IF(AND(assumed_debt_prepay=1,L$5&lt;=assumed_debt_maturity_year),MIN(Bal_Sheet!M46-L85,MAX(L$97,0)),0)</f>
        <v>#REF!</v>
      </c>
      <c r="M100" s="58">
        <f>IF(AND(assumed_debt_prepay=1,M$5&lt;=assumed_debt_maturity_year),MIN(Bal_Sheet!N46-M85,MAX(M$97,0)),0)</f>
        <v>0</v>
      </c>
      <c r="N100" s="58"/>
      <c r="O100" s="58"/>
    </row>
    <row r="101" ht="12.75" customHeight="1">
      <c r="A101" s="150" t="str">
        <f>Bal_Sheet!A48</f>
        <v>Term Loan "A"</v>
      </c>
      <c r="B101" s="4"/>
      <c r="C101" s="4"/>
      <c r="D101" s="58" t="str">
        <f>IF(AND(termloanA_prepay=1,D$5&lt;=termloanA_term_years),MIN(Bal_Sheet!E48-D86,MAX(D$97-SUM(D$100:D100),0)),0)</f>
        <v>#REF!</v>
      </c>
      <c r="E101" s="58" t="str">
        <f>IF(AND(termloanA_prepay=1,E$5&lt;=termloanA_term_years),MIN(Bal_Sheet!F48-E86,MAX(E$97-SUM(E$100:E100),0)),0)</f>
        <v>#REF!</v>
      </c>
      <c r="F101" s="58" t="str">
        <f>IF(AND(termloanA_prepay=1,F$5&lt;=termloanA_term_years),MIN(Bal_Sheet!G48-F86,MAX(F$97-SUM(F$100:F100),0)),0)</f>
        <v>#REF!</v>
      </c>
      <c r="G101" s="58" t="str">
        <f>IF(AND(termloanA_prepay=1,G$5&lt;=termloanA_term_years),MIN(Bal_Sheet!H48-G86,MAX(G$97-SUM(G$100:G100),0)),0)</f>
        <v>#REF!</v>
      </c>
      <c r="H101" s="58" t="str">
        <f>IF(AND(termloanA_prepay=1,H$5&lt;=termloanA_term_years),MIN(Bal_Sheet!I48-H86,MAX(H$97-SUM(H$100:H100),0)),0)</f>
        <v>#REF!</v>
      </c>
      <c r="I101" s="58" t="str">
        <f>IF(AND(termloanA_prepay=1,I$5&lt;=termloanA_term_years),MIN(Bal_Sheet!J48-I86,MAX(I$97-SUM(I$100:I100),0)),0)</f>
        <v>#REF!</v>
      </c>
      <c r="J101" s="58" t="str">
        <f>IF(AND(termloanA_prepay=1,J$5&lt;=termloanA_term_years),MIN(Bal_Sheet!K48-J86,MAX(J$97-SUM(J$100:J100),0)),0)</f>
        <v>#REF!</v>
      </c>
      <c r="K101" s="58" t="str">
        <f>IF(AND(termloanA_prepay=1,K$5&lt;=termloanA_term_years),MIN(Bal_Sheet!L48-K86,MAX(K$97-SUM(K$100:K100),0)),0)</f>
        <v>#REF!</v>
      </c>
      <c r="L101" s="58">
        <f>IF(AND(termloanA_prepay=1,L$5&lt;=termloanA_term_years),MIN(Bal_Sheet!M48-L86,MAX(L$97-SUM(L$100:L100),0)),0)</f>
        <v>0</v>
      </c>
      <c r="M101" s="58">
        <f>IF(AND(termloanA_prepay=1,M$5&lt;=termloanA_term_years),MIN(Bal_Sheet!N48-M86,MAX(M$97-SUM(M$100:M100),0)),0)</f>
        <v>0</v>
      </c>
      <c r="N101" s="58"/>
      <c r="O101" s="58"/>
    </row>
    <row r="102" ht="12.75" customHeight="1">
      <c r="A102" s="150" t="str">
        <f>Bal_Sheet!A49</f>
        <v>Term Loan "B"</v>
      </c>
      <c r="B102" s="4"/>
      <c r="C102" s="4"/>
      <c r="D102" s="58" t="str">
        <f>IF(AND(termloanB_prepay=1,D$5&lt;=termloanB_term_years),MIN(Bal_Sheet!E49-D87,MAX(D$97-SUM(D$100:D101),0)),0)</f>
        <v>#REF!</v>
      </c>
      <c r="E102" s="58" t="str">
        <f>IF(AND(termloanB_prepay=1,E$5&lt;=termloanB_term_years),MIN(Bal_Sheet!F49-E87,MAX(E$97-SUM(E$100:E101),0)),0)</f>
        <v>#REF!</v>
      </c>
      <c r="F102" s="58" t="str">
        <f>IF(AND(termloanB_prepay=1,F$5&lt;=termloanB_term_years),MIN(Bal_Sheet!G49-F87,MAX(F$97-SUM(F$100:F101),0)),0)</f>
        <v>#REF!</v>
      </c>
      <c r="G102" s="58" t="str">
        <f>IF(AND(termloanB_prepay=1,G$5&lt;=termloanB_term_years),MIN(Bal_Sheet!H49-G87,MAX(G$97-SUM(G$100:G101),0)),0)</f>
        <v>#REF!</v>
      </c>
      <c r="H102" s="58" t="str">
        <f>IF(AND(termloanB_prepay=1,H$5&lt;=termloanB_term_years),MIN(Bal_Sheet!I49-H87,MAX(H$97-SUM(H$100:H101),0)),0)</f>
        <v>#REF!</v>
      </c>
      <c r="I102" s="58" t="str">
        <f>IF(AND(termloanB_prepay=1,I$5&lt;=termloanB_term_years),MIN(Bal_Sheet!J49-I87,MAX(I$97-SUM(I$100:I101),0)),0)</f>
        <v>#REF!</v>
      </c>
      <c r="J102" s="58" t="str">
        <f>IF(AND(termloanB_prepay=1,J$5&lt;=termloanB_term_years),MIN(Bal_Sheet!K49-J87,MAX(J$97-SUM(J$100:J101),0)),0)</f>
        <v>#REF!</v>
      </c>
      <c r="K102" s="58" t="str">
        <f>IF(AND(termloanB_prepay=1,K$5&lt;=termloanB_term_years),MIN(Bal_Sheet!L49-K87,MAX(K$97-SUM(K$100:K101),0)),0)</f>
        <v>#REF!</v>
      </c>
      <c r="L102" s="58" t="str">
        <f>IF(AND(termloanB_prepay=1,L$5&lt;=termloanB_term_years),MIN(Bal_Sheet!M49-L87,MAX(L$97-SUM(L$100:L101),0)),0)</f>
        <v>#REF!</v>
      </c>
      <c r="M102" s="58" t="str">
        <f>IF(AND(termloanB_prepay=1,M$5&lt;=termloanB_term_years),MIN(Bal_Sheet!N49-M87,MAX(M$97-SUM(M$100:M101),0)),0)</f>
        <v>#REF!</v>
      </c>
      <c r="N102" s="58"/>
      <c r="O102" s="58"/>
    </row>
    <row r="103" ht="12.75" customHeight="1">
      <c r="A103" s="150" t="str">
        <f>Bal_Sheet!A50</f>
        <v>Senior Notes</v>
      </c>
      <c r="B103" s="4"/>
      <c r="C103" s="4"/>
      <c r="D103" s="58" t="str">
        <f>IF(AND(senior_notes_prepay=1,D$5&lt;=senior_notes_mat_yr),MIN(Bal_Sheet!E50-D88,MAX(D$97-SUM(D$100:D102),0)),0)</f>
        <v>#REF!</v>
      </c>
      <c r="E103" s="58" t="str">
        <f>IF(AND(senior_notes_prepay=1,E$5&lt;=senior_notes_mat_yr),MIN(Bal_Sheet!F50-E88,MAX(E$97-SUM(E$100:E102),0)),0)</f>
        <v>#REF!</v>
      </c>
      <c r="F103" s="58" t="str">
        <f>IF(AND(senior_notes_prepay=1,F$5&lt;=senior_notes_mat_yr),MIN(Bal_Sheet!G50-F88,MAX(F$97-SUM(F$100:F102),0)),0)</f>
        <v>#REF!</v>
      </c>
      <c r="G103" s="58" t="str">
        <f>IF(AND(senior_notes_prepay=1,G$5&lt;=senior_notes_mat_yr),MIN(Bal_Sheet!H50-G88,MAX(G$97-SUM(G$100:G102),0)),0)</f>
        <v>#REF!</v>
      </c>
      <c r="H103" s="58" t="str">
        <f>IF(AND(senior_notes_prepay=1,H$5&lt;=senior_notes_mat_yr),MIN(Bal_Sheet!I50-H88,MAX(H$97-SUM(H$100:H102),0)),0)</f>
        <v>#REF!</v>
      </c>
      <c r="I103" s="58" t="str">
        <f>IF(AND(senior_notes_prepay=1,I$5&lt;=senior_notes_mat_yr),MIN(Bal_Sheet!J50-I88,MAX(I$97-SUM(I$100:I102),0)),0)</f>
        <v>#REF!</v>
      </c>
      <c r="J103" s="58" t="str">
        <f>IF(AND(senior_notes_prepay=1,J$5&lt;=senior_notes_mat_yr),MIN(Bal_Sheet!K50-J88,MAX(J$97-SUM(J$100:J102),0)),0)</f>
        <v>#REF!</v>
      </c>
      <c r="K103" s="58" t="str">
        <f>IF(AND(senior_notes_prepay=1,K$5&lt;=senior_notes_mat_yr),MIN(Bal_Sheet!L50-K88,MAX(K$97-SUM(K$100:K102),0)),0)</f>
        <v>#REF!</v>
      </c>
      <c r="L103" s="58" t="str">
        <f>IF(AND(senior_notes_prepay=1,L$5&lt;=senior_notes_mat_yr),MIN(Bal_Sheet!M50-L88,MAX(L$97-SUM(L$100:L102),0)),0)</f>
        <v>#REF!</v>
      </c>
      <c r="M103" s="58">
        <f>IF(AND(senior_notes_prepay=1,M$5&lt;=senior_notes_mat_yr),MIN(Bal_Sheet!N50-M88,MAX(M$97-SUM(M$100:M102),0)),0)</f>
        <v>0</v>
      </c>
      <c r="N103" s="58"/>
      <c r="O103" s="58"/>
    </row>
    <row r="104" ht="12.75" customHeight="1">
      <c r="A104" s="150" t="str">
        <f>Bal_Sheet!A51</f>
        <v>Subordinated Notes</v>
      </c>
      <c r="B104" s="4"/>
      <c r="C104" s="4"/>
      <c r="D104" s="58" t="str">
        <f>IF(AND(sub_notes_prepay=1,D$5&lt;=sub_notes_mat_yr),MIN(Bal_Sheet!E51-D89,MAX(D$97-SUM(D$100:D103),0)),0)</f>
        <v>#REF!</v>
      </c>
      <c r="E104" s="58" t="str">
        <f>IF(AND(sub_notes_prepay=1,E$5&lt;=sub_notes_mat_yr),MIN(Bal_Sheet!F51-E89,MAX(E$97-SUM(E$100:E103),0)),0)</f>
        <v>#REF!</v>
      </c>
      <c r="F104" s="58" t="str">
        <f>IF(AND(sub_notes_prepay=1,F$5&lt;=sub_notes_mat_yr),MIN(Bal_Sheet!G51-F89,MAX(F$97-SUM(F$100:F103),0)),0)</f>
        <v>#REF!</v>
      </c>
      <c r="G104" s="58" t="str">
        <f>IF(AND(sub_notes_prepay=1,G$5&lt;=sub_notes_mat_yr),MIN(Bal_Sheet!H51-G89,MAX(G$97-SUM(G$100:G103),0)),0)</f>
        <v>#REF!</v>
      </c>
      <c r="H104" s="58" t="str">
        <f>IF(AND(sub_notes_prepay=1,H$5&lt;=sub_notes_mat_yr),MIN(Bal_Sheet!I51-H89,MAX(H$97-SUM(H$100:H103),0)),0)</f>
        <v>#REF!</v>
      </c>
      <c r="I104" s="58" t="str">
        <f>IF(AND(sub_notes_prepay=1,I$5&lt;=sub_notes_mat_yr),MIN(Bal_Sheet!J51-I89,MAX(I$97-SUM(I$100:I103),0)),0)</f>
        <v>#REF!</v>
      </c>
      <c r="J104" s="58" t="str">
        <f>IF(AND(sub_notes_prepay=1,J$5&lt;=sub_notes_mat_yr),MIN(Bal_Sheet!K51-J89,MAX(J$97-SUM(J$100:J103),0)),0)</f>
        <v>#REF!</v>
      </c>
      <c r="K104" s="58" t="str">
        <f>IF(AND(sub_notes_prepay=1,K$5&lt;=sub_notes_mat_yr),MIN(Bal_Sheet!L51-K89,MAX(K$97-SUM(K$100:K103),0)),0)</f>
        <v>#REF!</v>
      </c>
      <c r="L104" s="58" t="str">
        <f>IF(AND(sub_notes_prepay=1,L$5&lt;=sub_notes_mat_yr),MIN(Bal_Sheet!M51-L89,MAX(L$97-SUM(L$100:L103),0)),0)</f>
        <v>#REF!</v>
      </c>
      <c r="M104" s="58" t="str">
        <f>IF(AND(sub_notes_prepay=1,M$5&lt;=sub_notes_mat_yr),MIN(Bal_Sheet!N51-M89,MAX(M$97-SUM(M$100:M103),0)),0)</f>
        <v>#REF!</v>
      </c>
      <c r="N104" s="58"/>
      <c r="O104" s="58"/>
    </row>
    <row r="105" ht="12.75" customHeight="1">
      <c r="A105" s="150" t="str">
        <f>Bal_Sheet!A52</f>
        <v>Mezzanine Debt</v>
      </c>
      <c r="B105" s="4"/>
      <c r="C105" s="4"/>
      <c r="D105" s="58" t="str">
        <f>IF(AND(mezzdebt_prepay=1,D$5&lt;=mezzdebt_maturity_year),MIN(Bal_Sheet!E52-D90,MAX(D$97-SUM(D$100:D104),0)),0)</f>
        <v>#REF!</v>
      </c>
      <c r="E105" s="58" t="str">
        <f>IF(AND(mezzdebt_prepay=1,E$5&lt;=mezzdebt_maturity_year),MIN(Bal_Sheet!F52-E90,MAX(E$97-SUM(E$100:E104),0)),0)</f>
        <v>#REF!</v>
      </c>
      <c r="F105" s="58" t="str">
        <f>IF(AND(mezzdebt_prepay=1,F$5&lt;=mezzdebt_maturity_year),MIN(Bal_Sheet!G52-F90,MAX(F$97-SUM(F$100:F104),0)),0)</f>
        <v>#REF!</v>
      </c>
      <c r="G105" s="58" t="str">
        <f>IF(AND(mezzdebt_prepay=1,G$5&lt;=mezzdebt_maturity_year),MIN(Bal_Sheet!H52-G90,MAX(G$97-SUM(G$100:G104),0)),0)</f>
        <v>#REF!</v>
      </c>
      <c r="H105" s="58" t="str">
        <f>IF(AND(mezzdebt_prepay=1,H$5&lt;=mezzdebt_maturity_year),MIN(Bal_Sheet!I52-H90,MAX(H$97-SUM(H$100:H104),0)),0)</f>
        <v>#REF!</v>
      </c>
      <c r="I105" s="58" t="str">
        <f>IF(AND(mezzdebt_prepay=1,I$5&lt;=mezzdebt_maturity_year),MIN(Bal_Sheet!J52-I90,MAX(I$97-SUM(I$100:I104),0)),0)</f>
        <v>#REF!</v>
      </c>
      <c r="J105" s="58" t="str">
        <f>IF(AND(mezzdebt_prepay=1,J$5&lt;=mezzdebt_maturity_year),MIN(Bal_Sheet!K52-J90,MAX(J$97-SUM(J$100:J104),0)),0)</f>
        <v>#REF!</v>
      </c>
      <c r="K105" s="58" t="str">
        <f>IF(AND(mezzdebt_prepay=1,K$5&lt;=mezzdebt_maturity_year),MIN(Bal_Sheet!L52-K90,MAX(K$97-SUM(K$100:K104),0)),0)</f>
        <v>#REF!</v>
      </c>
      <c r="L105" s="58" t="str">
        <f>IF(AND(mezzdebt_prepay=1,L$5&lt;=mezzdebt_maturity_year),MIN(Bal_Sheet!M52-L90,MAX(L$97-SUM(L$100:L104),0)),0)</f>
        <v>#REF!</v>
      </c>
      <c r="M105" s="58" t="str">
        <f>IF(AND(mezzdebt_prepay=1,M$5&lt;=mezzdebt_maturity_year),MIN(Bal_Sheet!N52-M90,MAX(M$97-SUM(M$100:M104),0)),0)</f>
        <v>#REF!</v>
      </c>
      <c r="N105" s="58"/>
      <c r="O105" s="58"/>
    </row>
    <row r="106" ht="12.75" customHeight="1">
      <c r="A106" s="150" t="str">
        <f>Bal_Sheet!A53</f>
        <v>Seller Notes</v>
      </c>
      <c r="B106" s="4"/>
      <c r="C106" s="4"/>
      <c r="D106" s="58" t="str">
        <f>IF(AND(seller_notes_prepay=1,D$5&lt;=seller_notes_term_year),MIN(Bal_Sheet!E53-D91,MAX(D$97-SUM(D$100:D105),0)),0)</f>
        <v>#REF!</v>
      </c>
      <c r="E106" s="58" t="str">
        <f>IF(AND(seller_notes_prepay=1,E$5&lt;=seller_notes_term_year),MIN(Bal_Sheet!F53-E91,MAX(E$97-SUM(E$100:E105),0)),0)</f>
        <v>#REF!</v>
      </c>
      <c r="F106" s="58" t="str">
        <f>IF(AND(seller_notes_prepay=1,F$5&lt;=seller_notes_term_year),MIN(Bal_Sheet!G53-F91,MAX(F$97-SUM(F$100:F105),0)),0)</f>
        <v>#REF!</v>
      </c>
      <c r="G106" s="58" t="str">
        <f>IF(AND(seller_notes_prepay=1,G$5&lt;=seller_notes_term_year),MIN(Bal_Sheet!H53-G91,MAX(G$97-SUM(G$100:G105),0)),0)</f>
        <v>#REF!</v>
      </c>
      <c r="H106" s="58" t="str">
        <f>IF(AND(seller_notes_prepay=1,H$5&lt;=seller_notes_term_year),MIN(Bal_Sheet!I53-H91,MAX(H$97-SUM(H$100:H105),0)),0)</f>
        <v>#REF!</v>
      </c>
      <c r="I106" s="58" t="str">
        <f>IF(AND(seller_notes_prepay=1,I$5&lt;=seller_notes_term_year),MIN(Bal_Sheet!J53-I91,MAX(I$97-SUM(I$100:I105),0)),0)</f>
        <v>#REF!</v>
      </c>
      <c r="J106" s="58" t="str">
        <f>IF(AND(seller_notes_prepay=1,J$5&lt;=seller_notes_term_year),MIN(Bal_Sheet!K53-J91,MAX(J$97-SUM(J$100:J105),0)),0)</f>
        <v>#REF!</v>
      </c>
      <c r="K106" s="58">
        <f>IF(AND(seller_notes_prepay=1,K$5&lt;=seller_notes_term_year),MIN(Bal_Sheet!L53-K91,MAX(K$97-SUM(K$100:K105),0)),0)</f>
        <v>0</v>
      </c>
      <c r="L106" s="58">
        <f>IF(AND(seller_notes_prepay=1,L$5&lt;=seller_notes_term_year),MIN(Bal_Sheet!M53-L91,MAX(L$97-SUM(L$100:L105),0)),0)</f>
        <v>0</v>
      </c>
      <c r="M106" s="58">
        <f>IF(AND(seller_notes_prepay=1,M$5&lt;=seller_notes_term_year),MIN(Bal_Sheet!N53-M91,MAX(M$97-SUM(M$100:M105),0)),0)</f>
        <v>0</v>
      </c>
      <c r="N106" s="58"/>
      <c r="O106" s="58"/>
    </row>
    <row r="107" ht="12.75" customHeight="1">
      <c r="A107" s="150" t="str">
        <f>Bal_Sheet!A47</f>
        <v>Bank Revolver</v>
      </c>
      <c r="B107" s="4"/>
      <c r="C107" s="4"/>
      <c r="D107" s="58" t="str">
        <f>MIN(Bal_Sheet!E47+D96,MAX(D$97-SUM(D$100:D106),0))</f>
        <v>#REF!</v>
      </c>
      <c r="E107" s="58" t="str">
        <f>MIN(Bal_Sheet!F47+E96,MAX(E$97-SUM(E$100:E106),0))</f>
        <v>#REF!</v>
      </c>
      <c r="F107" s="58" t="str">
        <f>MIN(Bal_Sheet!G47+F96,MAX(F$97-SUM(F$100:F106),0))</f>
        <v>#REF!</v>
      </c>
      <c r="G107" s="58" t="str">
        <f>MIN(Bal_Sheet!H47+G96,MAX(G$97-SUM(G$100:G106),0))</f>
        <v>#REF!</v>
      </c>
      <c r="H107" s="58" t="str">
        <f>MIN(Bal_Sheet!I47+H96,MAX(H$97-SUM(H$100:H106),0))</f>
        <v>#REF!</v>
      </c>
      <c r="I107" s="58" t="str">
        <f>MIN(Bal_Sheet!J47+I96,MAX(I$97-SUM(I$100:I106),0))</f>
        <v>#REF!</v>
      </c>
      <c r="J107" s="58" t="str">
        <f>MIN(Bal_Sheet!K47+J96,MAX(J$97-SUM(J$100:J106),0))</f>
        <v>#REF!</v>
      </c>
      <c r="K107" s="58" t="str">
        <f>MIN(Bal_Sheet!L47+K96,MAX(K$97-SUM(K$100:K106),0))</f>
        <v>#REF!</v>
      </c>
      <c r="L107" s="58" t="str">
        <f>MIN(Bal_Sheet!M47+L96,MAX(L$97-SUM(L$100:L106),0))</f>
        <v>#REF!</v>
      </c>
      <c r="M107" s="58" t="str">
        <f>MIN(Bal_Sheet!N47+M96,MAX(M$97-SUM(M$100:M106),0))</f>
        <v>#REF!</v>
      </c>
      <c r="N107" s="58"/>
      <c r="O107" s="58"/>
    </row>
    <row r="108" ht="12.75" customHeight="1">
      <c r="A108" s="4" t="s">
        <v>192</v>
      </c>
      <c r="B108" s="4"/>
      <c r="C108" s="4"/>
      <c r="D108" s="58" t="str">
        <f t="shared" ref="D108:M108" si="29">SUM(D100:D107)</f>
        <v>#REF!</v>
      </c>
      <c r="E108" s="58" t="str">
        <f t="shared" si="29"/>
        <v>#REF!</v>
      </c>
      <c r="F108" s="58" t="str">
        <f t="shared" si="29"/>
        <v>#REF!</v>
      </c>
      <c r="G108" s="58" t="str">
        <f t="shared" si="29"/>
        <v>#REF!</v>
      </c>
      <c r="H108" s="58" t="str">
        <f t="shared" si="29"/>
        <v>#REF!</v>
      </c>
      <c r="I108" s="58" t="str">
        <f t="shared" si="29"/>
        <v>#REF!</v>
      </c>
      <c r="J108" s="58" t="str">
        <f t="shared" si="29"/>
        <v>#REF!</v>
      </c>
      <c r="K108" s="58" t="str">
        <f t="shared" si="29"/>
        <v>#REF!</v>
      </c>
      <c r="L108" s="58" t="str">
        <f t="shared" si="29"/>
        <v>#REF!</v>
      </c>
      <c r="M108" s="58" t="str">
        <f t="shared" si="29"/>
        <v>#REF!</v>
      </c>
      <c r="N108" s="4"/>
    </row>
    <row r="109" ht="12.75" customHeight="1">
      <c r="A109" s="4"/>
      <c r="B109" s="4"/>
      <c r="C109" s="4"/>
      <c r="D109" s="58"/>
      <c r="E109" s="58"/>
      <c r="F109" s="58"/>
      <c r="G109" s="58"/>
      <c r="H109" s="58"/>
      <c r="I109" s="58"/>
      <c r="J109" s="58"/>
      <c r="K109" s="58"/>
      <c r="L109" s="58"/>
      <c r="M109" s="58"/>
      <c r="N109" s="4"/>
    </row>
    <row r="110" ht="12.75" customHeight="1">
      <c r="A110" s="149" t="s">
        <v>179</v>
      </c>
      <c r="B110" s="4"/>
      <c r="C110" s="4"/>
      <c r="D110" s="140" t="str">
        <f>D97-D108+IF(cash_min=1,cash_min_amt,0)</f>
        <v>#REF!</v>
      </c>
      <c r="E110" s="140" t="str">
        <f>E97-E108+IF(cash_min=1,cash_min_amt,0)</f>
        <v>#REF!</v>
      </c>
      <c r="F110" s="140" t="str">
        <f>F97-F108+IF(cash_min=1,cash_min_amt,0)</f>
        <v>#REF!</v>
      </c>
      <c r="G110" s="140" t="str">
        <f>G97-G108+IF(cash_min=1,cash_min_amt,0)</f>
        <v>#REF!</v>
      </c>
      <c r="H110" s="140" t="str">
        <f>H97-H108+IF(cash_min=1,cash_min_amt,0)</f>
        <v>#REF!</v>
      </c>
      <c r="I110" s="140" t="str">
        <f>I97-I108+IF(cash_min=1,cash_min_amt,0)</f>
        <v>#REF!</v>
      </c>
      <c r="J110" s="140" t="str">
        <f>J97-J108+IF(cash_min=1,cash_min_amt,0)</f>
        <v>#REF!</v>
      </c>
      <c r="K110" s="140" t="str">
        <f>K97-K108+IF(cash_min=1,cash_min_amt,0)</f>
        <v>#REF!</v>
      </c>
      <c r="L110" s="140" t="str">
        <f>L97-L108+IF(cash_min=1,cash_min_amt,0)</f>
        <v>#REF!</v>
      </c>
      <c r="M110" s="140" t="str">
        <f>M97-M108+IF(cash_min=1,cash_min_amt,0)</f>
        <v>#REF!</v>
      </c>
      <c r="N110" s="4"/>
    </row>
    <row r="111" ht="12.75" customHeight="1">
      <c r="A111" s="4"/>
      <c r="B111" s="4"/>
      <c r="C111" s="4"/>
      <c r="D111" s="58"/>
      <c r="E111" s="58"/>
      <c r="F111" s="58"/>
      <c r="G111" s="58"/>
      <c r="H111" s="58"/>
      <c r="I111" s="58"/>
      <c r="J111" s="58"/>
      <c r="K111" s="58"/>
      <c r="L111" s="58"/>
      <c r="M111" s="58"/>
      <c r="N111" s="4"/>
    </row>
    <row r="112" ht="12.75" customHeight="1">
      <c r="A112" s="4"/>
      <c r="B112" s="4"/>
      <c r="C112" s="4"/>
      <c r="D112" s="58"/>
      <c r="E112" s="58"/>
      <c r="F112" s="58"/>
      <c r="G112" s="58"/>
      <c r="H112" s="58"/>
      <c r="I112" s="58"/>
      <c r="J112" s="58"/>
      <c r="K112" s="58"/>
      <c r="L112" s="58"/>
      <c r="M112" s="58"/>
      <c r="N112" s="4"/>
    </row>
    <row r="113" ht="12.75" customHeight="1">
      <c r="A113" s="159" t="s">
        <v>199</v>
      </c>
      <c r="B113" s="4"/>
      <c r="C113" s="4"/>
      <c r="D113" s="58" t="str">
        <f t="shared" ref="D113:M113" si="30">D55-D110</f>
        <v>#REF!</v>
      </c>
      <c r="E113" s="58" t="str">
        <f t="shared" si="30"/>
        <v>#REF!</v>
      </c>
      <c r="F113" s="58" t="str">
        <f t="shared" si="30"/>
        <v>#REF!</v>
      </c>
      <c r="G113" s="58" t="str">
        <f t="shared" si="30"/>
        <v>#REF!</v>
      </c>
      <c r="H113" s="58" t="str">
        <f t="shared" si="30"/>
        <v>#REF!</v>
      </c>
      <c r="I113" s="58" t="str">
        <f t="shared" si="30"/>
        <v>#REF!</v>
      </c>
      <c r="J113" s="58" t="str">
        <f t="shared" si="30"/>
        <v>#REF!</v>
      </c>
      <c r="K113" s="58" t="str">
        <f t="shared" si="30"/>
        <v>#REF!</v>
      </c>
      <c r="L113" s="58" t="str">
        <f t="shared" si="30"/>
        <v>#REF!</v>
      </c>
      <c r="M113" s="58" t="str">
        <f t="shared" si="30"/>
        <v>#REF!</v>
      </c>
      <c r="N113" s="4"/>
    </row>
    <row r="114" ht="12.75" customHeight="1">
      <c r="A114" s="4"/>
      <c r="B114" s="4"/>
      <c r="C114" s="4"/>
      <c r="D114" s="58"/>
      <c r="E114" s="58"/>
      <c r="F114" s="58"/>
      <c r="G114" s="58"/>
      <c r="H114" s="58"/>
      <c r="I114" s="58"/>
      <c r="J114" s="58"/>
      <c r="K114" s="58"/>
      <c r="L114" s="58"/>
      <c r="M114" s="58"/>
      <c r="N114" s="4"/>
    </row>
    <row r="115" ht="12.75" customHeight="1">
      <c r="A115" s="160"/>
      <c r="B115" s="160"/>
      <c r="C115" s="160"/>
      <c r="D115" s="76"/>
      <c r="E115" s="76"/>
      <c r="F115" s="76"/>
      <c r="G115" s="76"/>
      <c r="H115" s="76"/>
      <c r="I115" s="76"/>
      <c r="J115" s="76"/>
      <c r="K115" s="76"/>
      <c r="L115" s="76"/>
      <c r="M115" s="76"/>
      <c r="N115" s="4"/>
    </row>
    <row r="116" ht="12.75" customHeight="1">
      <c r="A116" s="4"/>
      <c r="B116" s="4"/>
      <c r="C116" s="4"/>
      <c r="D116" s="58"/>
      <c r="E116" s="58"/>
      <c r="F116" s="58"/>
      <c r="G116" s="58"/>
      <c r="H116" s="58"/>
      <c r="I116" s="58"/>
      <c r="J116" s="58"/>
      <c r="K116" s="58"/>
      <c r="L116" s="58"/>
      <c r="M116" s="58"/>
      <c r="N116" s="4"/>
    </row>
    <row r="117" ht="12.75" customHeight="1">
      <c r="A117" s="4"/>
      <c r="B117" s="4"/>
      <c r="C117" s="4"/>
      <c r="D117" s="58"/>
      <c r="E117" s="58"/>
      <c r="F117" s="58"/>
      <c r="G117" s="58"/>
      <c r="H117" s="58"/>
      <c r="I117" s="58"/>
      <c r="J117" s="58"/>
      <c r="K117" s="58"/>
      <c r="L117" s="58"/>
      <c r="M117" s="58"/>
      <c r="N117" s="4"/>
    </row>
    <row r="118" ht="12.75" customHeight="1">
      <c r="A118" s="4"/>
      <c r="B118" s="4"/>
      <c r="C118" s="4"/>
      <c r="D118" s="58"/>
      <c r="E118" s="58"/>
      <c r="F118" s="58"/>
      <c r="G118" s="58"/>
      <c r="H118" s="58"/>
      <c r="I118" s="58"/>
      <c r="J118" s="58"/>
      <c r="K118" s="58"/>
      <c r="L118" s="58"/>
      <c r="M118" s="58"/>
      <c r="N118" s="4"/>
    </row>
    <row r="119" ht="12.75" customHeight="1">
      <c r="A119" s="4"/>
      <c r="B119" s="4"/>
      <c r="C119" s="4"/>
      <c r="D119" s="58"/>
      <c r="E119" s="58"/>
      <c r="F119" s="58"/>
      <c r="G119" s="58"/>
      <c r="H119" s="58"/>
      <c r="I119" s="58"/>
      <c r="J119" s="58"/>
      <c r="K119" s="58"/>
      <c r="L119" s="58"/>
      <c r="M119" s="58"/>
      <c r="N119" s="4"/>
    </row>
    <row r="120" ht="12.75" customHeight="1">
      <c r="A120" s="4"/>
      <c r="B120" s="4"/>
      <c r="C120" s="4"/>
      <c r="D120" s="58"/>
      <c r="E120" s="58"/>
      <c r="F120" s="58"/>
      <c r="G120" s="58"/>
      <c r="H120" s="58"/>
      <c r="I120" s="58"/>
      <c r="J120" s="58"/>
      <c r="K120" s="58"/>
      <c r="L120" s="58"/>
      <c r="M120" s="58"/>
      <c r="N120" s="4"/>
    </row>
    <row r="121" ht="12.75" customHeight="1">
      <c r="A121" s="4"/>
      <c r="B121" s="4"/>
      <c r="C121" s="4"/>
      <c r="D121" s="58"/>
      <c r="E121" s="58"/>
      <c r="F121" s="58"/>
      <c r="G121" s="58"/>
      <c r="H121" s="58"/>
      <c r="I121" s="58"/>
      <c r="J121" s="58"/>
      <c r="K121" s="58"/>
      <c r="L121" s="58"/>
      <c r="M121" s="58"/>
      <c r="N121" s="4"/>
    </row>
    <row r="122" ht="12.75" customHeight="1">
      <c r="A122" s="4"/>
      <c r="B122" s="4"/>
      <c r="C122" s="4"/>
      <c r="D122" s="58"/>
      <c r="E122" s="58"/>
      <c r="F122" s="58"/>
      <c r="G122" s="58"/>
      <c r="H122" s="58"/>
      <c r="I122" s="58"/>
      <c r="J122" s="58"/>
      <c r="K122" s="58"/>
      <c r="L122" s="58"/>
      <c r="M122" s="58"/>
      <c r="N122" s="4"/>
    </row>
    <row r="123" ht="12.75" customHeight="1">
      <c r="A123" s="4"/>
      <c r="B123" s="4"/>
      <c r="C123" s="4"/>
      <c r="D123" s="58"/>
      <c r="E123" s="58"/>
      <c r="F123" s="58"/>
      <c r="G123" s="58"/>
      <c r="H123" s="58"/>
      <c r="I123" s="58"/>
      <c r="J123" s="58"/>
      <c r="K123" s="58"/>
      <c r="L123" s="58"/>
      <c r="M123" s="58"/>
      <c r="N123" s="4"/>
    </row>
    <row r="124" ht="12.75" customHeight="1">
      <c r="A124" s="4"/>
      <c r="B124" s="4"/>
      <c r="C124" s="4"/>
      <c r="D124" s="58"/>
      <c r="E124" s="58"/>
      <c r="F124" s="58"/>
      <c r="G124" s="58"/>
      <c r="H124" s="58"/>
      <c r="I124" s="58"/>
      <c r="J124" s="58"/>
      <c r="K124" s="58"/>
      <c r="L124" s="58"/>
      <c r="M124" s="58"/>
      <c r="N124" s="4"/>
    </row>
    <row r="125" ht="12.75" customHeight="1">
      <c r="A125" s="4"/>
      <c r="B125" s="4"/>
      <c r="C125" s="4"/>
      <c r="D125" s="58"/>
      <c r="E125" s="58"/>
      <c r="F125" s="58"/>
      <c r="G125" s="58"/>
      <c r="H125" s="58"/>
      <c r="I125" s="58"/>
      <c r="J125" s="58"/>
      <c r="K125" s="58"/>
      <c r="L125" s="58"/>
      <c r="M125" s="58"/>
      <c r="N125" s="4"/>
    </row>
    <row r="126" ht="12.75" customHeight="1">
      <c r="A126" s="4"/>
      <c r="B126" s="4"/>
      <c r="C126" s="4"/>
      <c r="D126" s="58"/>
      <c r="E126" s="58"/>
      <c r="F126" s="58"/>
      <c r="G126" s="58"/>
      <c r="H126" s="58"/>
      <c r="I126" s="58"/>
      <c r="J126" s="58"/>
      <c r="K126" s="58"/>
      <c r="L126" s="58"/>
      <c r="M126" s="58"/>
      <c r="N126" s="4"/>
    </row>
    <row r="127" ht="12.75" customHeight="1">
      <c r="A127" s="4"/>
      <c r="B127" s="4"/>
      <c r="C127" s="4"/>
      <c r="D127" s="58"/>
      <c r="E127" s="58"/>
      <c r="F127" s="58"/>
      <c r="G127" s="58"/>
      <c r="H127" s="58"/>
      <c r="I127" s="58"/>
      <c r="J127" s="58"/>
      <c r="K127" s="58"/>
      <c r="L127" s="58"/>
      <c r="M127" s="58"/>
      <c r="N127" s="4"/>
    </row>
    <row r="128" ht="12.75" customHeight="1">
      <c r="A128" s="4"/>
      <c r="B128" s="4"/>
      <c r="C128" s="4"/>
      <c r="D128" s="58"/>
      <c r="E128" s="58"/>
      <c r="F128" s="58"/>
      <c r="G128" s="58"/>
      <c r="H128" s="58"/>
      <c r="I128" s="58"/>
      <c r="J128" s="58"/>
      <c r="K128" s="58"/>
      <c r="L128" s="58"/>
      <c r="M128" s="58"/>
      <c r="N128" s="4"/>
    </row>
    <row r="129" ht="12.75" customHeight="1">
      <c r="A129" s="4"/>
      <c r="B129" s="4"/>
      <c r="C129" s="4"/>
      <c r="D129" s="58"/>
      <c r="E129" s="58"/>
      <c r="F129" s="58"/>
      <c r="G129" s="58"/>
      <c r="H129" s="58"/>
      <c r="I129" s="58"/>
      <c r="J129" s="58"/>
      <c r="K129" s="58"/>
      <c r="L129" s="58"/>
      <c r="M129" s="58"/>
      <c r="N129" s="4"/>
    </row>
    <row r="130" ht="12.75" customHeight="1">
      <c r="A130" s="4"/>
      <c r="B130" s="4"/>
      <c r="C130" s="4"/>
      <c r="D130" s="58"/>
      <c r="E130" s="58"/>
      <c r="F130" s="58"/>
      <c r="G130" s="58"/>
      <c r="H130" s="58"/>
      <c r="I130" s="58"/>
      <c r="J130" s="58"/>
      <c r="K130" s="58"/>
      <c r="L130" s="58"/>
      <c r="M130" s="58"/>
      <c r="N130" s="4"/>
    </row>
    <row r="131" ht="12.75" customHeight="1">
      <c r="A131" s="4"/>
      <c r="B131" s="4"/>
      <c r="C131" s="4"/>
      <c r="D131" s="58"/>
      <c r="E131" s="58"/>
      <c r="F131" s="58"/>
      <c r="G131" s="58"/>
      <c r="H131" s="58"/>
      <c r="I131" s="58"/>
      <c r="J131" s="58"/>
      <c r="K131" s="58"/>
      <c r="L131" s="58"/>
      <c r="M131" s="58"/>
      <c r="N131" s="4"/>
    </row>
    <row r="132" ht="12.75" customHeight="1">
      <c r="A132" s="4"/>
      <c r="B132" s="4"/>
      <c r="C132" s="4"/>
      <c r="D132" s="58"/>
      <c r="E132" s="58"/>
      <c r="F132" s="58"/>
      <c r="G132" s="58"/>
      <c r="H132" s="58"/>
      <c r="I132" s="58"/>
      <c r="J132" s="58"/>
      <c r="K132" s="58"/>
      <c r="L132" s="58"/>
      <c r="M132" s="58"/>
      <c r="N132" s="4"/>
    </row>
    <row r="133" ht="12.75" customHeight="1">
      <c r="A133" s="4"/>
      <c r="B133" s="4"/>
      <c r="C133" s="4"/>
      <c r="D133" s="58"/>
      <c r="E133" s="58"/>
      <c r="F133" s="58"/>
      <c r="G133" s="58"/>
      <c r="H133" s="58"/>
      <c r="I133" s="58"/>
      <c r="J133" s="58"/>
      <c r="K133" s="58"/>
      <c r="L133" s="58"/>
      <c r="M133" s="58"/>
      <c r="N133" s="4"/>
    </row>
    <row r="134" ht="12.75" customHeight="1">
      <c r="A134" s="4"/>
      <c r="B134" s="4"/>
      <c r="C134" s="4"/>
      <c r="D134" s="58"/>
      <c r="E134" s="58"/>
      <c r="F134" s="58"/>
      <c r="G134" s="58"/>
      <c r="H134" s="58"/>
      <c r="I134" s="58"/>
      <c r="J134" s="58"/>
      <c r="K134" s="58"/>
      <c r="L134" s="58"/>
      <c r="M134" s="58"/>
      <c r="N134" s="4"/>
    </row>
    <row r="135" ht="12.75" customHeight="1">
      <c r="A135" s="4"/>
      <c r="B135" s="4"/>
      <c r="C135" s="4"/>
      <c r="D135" s="58"/>
      <c r="E135" s="58"/>
      <c r="F135" s="58"/>
      <c r="G135" s="58"/>
      <c r="H135" s="58"/>
      <c r="I135" s="58"/>
      <c r="J135" s="58"/>
      <c r="K135" s="58"/>
      <c r="L135" s="58"/>
      <c r="M135" s="58"/>
      <c r="N135" s="4"/>
    </row>
    <row r="136" ht="12.75" customHeight="1">
      <c r="A136" s="4"/>
      <c r="B136" s="4"/>
      <c r="C136" s="4"/>
      <c r="D136" s="58"/>
      <c r="E136" s="58"/>
      <c r="F136" s="58"/>
      <c r="G136" s="58"/>
      <c r="H136" s="58"/>
      <c r="I136" s="58"/>
      <c r="J136" s="58"/>
      <c r="K136" s="58"/>
      <c r="L136" s="58"/>
      <c r="M136" s="58"/>
      <c r="N136" s="4"/>
    </row>
    <row r="137" ht="12.75" customHeight="1">
      <c r="A137" s="4"/>
      <c r="B137" s="4"/>
      <c r="C137" s="4"/>
      <c r="D137" s="58"/>
      <c r="E137" s="58"/>
      <c r="F137" s="58"/>
      <c r="G137" s="58"/>
      <c r="H137" s="58"/>
      <c r="I137" s="58"/>
      <c r="J137" s="58"/>
      <c r="K137" s="58"/>
      <c r="L137" s="58"/>
      <c r="M137" s="58"/>
      <c r="N137" s="4"/>
    </row>
    <row r="138" ht="12.75" customHeight="1">
      <c r="A138" s="4"/>
      <c r="B138" s="4"/>
      <c r="C138" s="4"/>
      <c r="D138" s="58"/>
      <c r="E138" s="58"/>
      <c r="F138" s="58"/>
      <c r="G138" s="58"/>
      <c r="H138" s="58"/>
      <c r="I138" s="58"/>
      <c r="J138" s="58"/>
      <c r="K138" s="58"/>
      <c r="L138" s="58"/>
      <c r="M138" s="58"/>
      <c r="N138" s="4"/>
    </row>
    <row r="139" ht="12.75" customHeight="1">
      <c r="A139" s="4"/>
      <c r="B139" s="4"/>
      <c r="C139" s="4"/>
      <c r="D139" s="58"/>
      <c r="E139" s="58"/>
      <c r="F139" s="58"/>
      <c r="G139" s="58"/>
      <c r="H139" s="58"/>
      <c r="I139" s="58"/>
      <c r="J139" s="58"/>
      <c r="K139" s="58"/>
      <c r="L139" s="58"/>
      <c r="M139" s="58"/>
      <c r="N139" s="4"/>
    </row>
    <row r="140" ht="12.75" customHeight="1">
      <c r="A140" s="4"/>
      <c r="B140" s="4"/>
      <c r="C140" s="4"/>
      <c r="D140" s="58"/>
      <c r="E140" s="58"/>
      <c r="F140" s="58"/>
      <c r="G140" s="58"/>
      <c r="H140" s="58"/>
      <c r="I140" s="58"/>
      <c r="J140" s="58"/>
      <c r="K140" s="58"/>
      <c r="L140" s="58"/>
      <c r="M140" s="58"/>
      <c r="N140" s="4"/>
    </row>
    <row r="141" ht="12.75" customHeight="1">
      <c r="A141" s="4"/>
      <c r="B141" s="4"/>
      <c r="C141" s="4"/>
      <c r="D141" s="4"/>
      <c r="E141" s="4"/>
      <c r="F141" s="4"/>
      <c r="G141" s="4"/>
      <c r="H141" s="4"/>
      <c r="I141" s="4"/>
      <c r="J141" s="4"/>
      <c r="K141" s="4"/>
      <c r="L141" s="4"/>
      <c r="M141" s="4"/>
      <c r="N141" s="4"/>
    </row>
    <row r="142" ht="12.75" customHeight="1">
      <c r="A142" s="4"/>
      <c r="B142" s="4"/>
      <c r="C142" s="4"/>
      <c r="D142" s="4"/>
      <c r="E142" s="4"/>
      <c r="F142" s="4"/>
      <c r="G142" s="4"/>
      <c r="H142" s="4"/>
      <c r="I142" s="4"/>
      <c r="J142" s="4"/>
      <c r="K142" s="4"/>
      <c r="L142" s="4"/>
      <c r="M142" s="4"/>
      <c r="N142" s="4"/>
    </row>
    <row r="143" ht="12.75" customHeight="1">
      <c r="A143" s="4"/>
      <c r="B143" s="4"/>
      <c r="C143" s="4"/>
      <c r="D143" s="4"/>
      <c r="E143" s="4"/>
      <c r="F143" s="4"/>
      <c r="G143" s="4"/>
      <c r="H143" s="4"/>
      <c r="I143" s="4"/>
      <c r="J143" s="4"/>
      <c r="K143" s="4"/>
      <c r="L143" s="4"/>
      <c r="M143" s="4"/>
      <c r="N143" s="4"/>
    </row>
    <row r="144" ht="12.75" customHeight="1">
      <c r="A144" s="4"/>
      <c r="B144" s="4"/>
      <c r="C144" s="4"/>
      <c r="D144" s="4"/>
      <c r="E144" s="4"/>
      <c r="F144" s="4"/>
      <c r="G144" s="4"/>
      <c r="H144" s="4"/>
      <c r="I144" s="4"/>
      <c r="J144" s="4"/>
      <c r="K144" s="4"/>
      <c r="L144" s="4"/>
      <c r="M144" s="4"/>
      <c r="N144" s="4"/>
    </row>
    <row r="145" ht="12.75" customHeight="1">
      <c r="A145" s="4"/>
      <c r="B145" s="4"/>
      <c r="C145" s="4"/>
      <c r="D145" s="4"/>
      <c r="E145" s="4"/>
      <c r="F145" s="4"/>
      <c r="G145" s="4"/>
      <c r="H145" s="4"/>
      <c r="I145" s="4"/>
      <c r="J145" s="4"/>
      <c r="K145" s="4"/>
      <c r="L145" s="4"/>
      <c r="M145" s="4"/>
      <c r="N145" s="4"/>
    </row>
    <row r="146" ht="12.75" customHeight="1">
      <c r="A146" s="4"/>
      <c r="B146" s="4"/>
      <c r="C146" s="4"/>
      <c r="D146" s="4"/>
      <c r="E146" s="4"/>
      <c r="F146" s="4"/>
      <c r="G146" s="4"/>
      <c r="H146" s="4"/>
      <c r="I146" s="4"/>
      <c r="J146" s="4"/>
      <c r="K146" s="4"/>
      <c r="L146" s="4"/>
      <c r="M146" s="4"/>
      <c r="N146" s="4"/>
    </row>
    <row r="147" ht="12.75" customHeight="1">
      <c r="A147" s="4"/>
      <c r="B147" s="4"/>
      <c r="C147" s="4"/>
      <c r="D147" s="4"/>
      <c r="E147" s="4"/>
      <c r="F147" s="4"/>
      <c r="G147" s="4"/>
      <c r="H147" s="4"/>
      <c r="I147" s="4"/>
      <c r="J147" s="4"/>
      <c r="K147" s="4"/>
      <c r="L147" s="4"/>
      <c r="M147" s="4"/>
      <c r="N147" s="4"/>
    </row>
    <row r="148" ht="12.75" customHeight="1">
      <c r="A148" s="4"/>
      <c r="B148" s="4"/>
      <c r="C148" s="4"/>
      <c r="D148" s="4"/>
      <c r="E148" s="4"/>
      <c r="F148" s="4"/>
      <c r="G148" s="4"/>
      <c r="H148" s="4"/>
      <c r="I148" s="4"/>
      <c r="J148" s="4"/>
      <c r="K148" s="4"/>
      <c r="L148" s="4"/>
      <c r="M148" s="4"/>
      <c r="N148" s="4"/>
    </row>
    <row r="149" ht="12.75" customHeight="1">
      <c r="A149" s="4"/>
      <c r="B149" s="4"/>
      <c r="C149" s="4"/>
      <c r="D149" s="4"/>
      <c r="E149" s="4"/>
      <c r="F149" s="4"/>
      <c r="G149" s="4"/>
      <c r="H149" s="4"/>
      <c r="I149" s="4"/>
      <c r="J149" s="4"/>
      <c r="K149" s="4"/>
      <c r="L149" s="4"/>
      <c r="M149" s="4"/>
      <c r="N149" s="4"/>
    </row>
    <row r="150" ht="12.75" customHeight="1">
      <c r="A150" s="4"/>
      <c r="B150" s="4"/>
      <c r="C150" s="4"/>
      <c r="D150" s="4"/>
      <c r="E150" s="4"/>
      <c r="F150" s="4"/>
      <c r="G150" s="4"/>
      <c r="H150" s="4"/>
      <c r="I150" s="4"/>
      <c r="J150" s="4"/>
      <c r="K150" s="4"/>
      <c r="L150" s="4"/>
      <c r="M150" s="4"/>
      <c r="N150" s="4"/>
    </row>
    <row r="151" ht="12.75" customHeight="1">
      <c r="A151" s="4"/>
      <c r="B151" s="4"/>
      <c r="C151" s="4"/>
      <c r="D151" s="4"/>
      <c r="E151" s="4"/>
      <c r="F151" s="4"/>
      <c r="G151" s="4"/>
      <c r="H151" s="4"/>
      <c r="I151" s="4"/>
      <c r="J151" s="4"/>
      <c r="K151" s="4"/>
      <c r="L151" s="4"/>
      <c r="M151" s="4"/>
      <c r="N151" s="4"/>
    </row>
    <row r="152" ht="12.75" customHeight="1">
      <c r="A152" s="4"/>
      <c r="B152" s="4"/>
      <c r="C152" s="4"/>
      <c r="D152" s="4"/>
      <c r="E152" s="4"/>
      <c r="F152" s="4"/>
      <c r="G152" s="4"/>
      <c r="H152" s="4"/>
      <c r="I152" s="4"/>
      <c r="J152" s="4"/>
      <c r="K152" s="4"/>
      <c r="L152" s="4"/>
      <c r="M152" s="4"/>
      <c r="N152" s="4"/>
    </row>
    <row r="153" ht="12.75" customHeight="1">
      <c r="A153" s="4"/>
      <c r="B153" s="4"/>
      <c r="C153" s="4"/>
      <c r="D153" s="4"/>
      <c r="E153" s="4"/>
      <c r="F153" s="4"/>
      <c r="G153" s="4"/>
      <c r="H153" s="4"/>
      <c r="I153" s="4"/>
      <c r="J153" s="4"/>
      <c r="K153" s="4"/>
      <c r="L153" s="4"/>
      <c r="M153" s="4"/>
      <c r="N153" s="4"/>
    </row>
    <row r="154" ht="12.75" customHeight="1">
      <c r="A154" s="4"/>
      <c r="B154" s="4"/>
      <c r="C154" s="4"/>
      <c r="D154" s="4"/>
      <c r="E154" s="4"/>
      <c r="F154" s="4"/>
      <c r="G154" s="4"/>
      <c r="H154" s="4"/>
      <c r="I154" s="4"/>
      <c r="J154" s="4"/>
      <c r="K154" s="4"/>
      <c r="L154" s="4"/>
      <c r="M154" s="4"/>
      <c r="N154" s="4"/>
    </row>
    <row r="155" ht="12.75" customHeight="1">
      <c r="A155" s="4"/>
      <c r="B155" s="4"/>
      <c r="C155" s="4"/>
      <c r="D155" s="4"/>
      <c r="E155" s="4"/>
      <c r="F155" s="4"/>
      <c r="G155" s="4"/>
      <c r="H155" s="4"/>
      <c r="I155" s="4"/>
      <c r="J155" s="4"/>
      <c r="K155" s="4"/>
      <c r="L155" s="4"/>
      <c r="M155" s="4"/>
      <c r="N155" s="4"/>
    </row>
    <row r="156" ht="12.75" customHeight="1">
      <c r="A156" s="4"/>
      <c r="B156" s="4"/>
      <c r="C156" s="4"/>
      <c r="D156" s="4"/>
      <c r="E156" s="4"/>
      <c r="F156" s="4"/>
      <c r="G156" s="4"/>
      <c r="H156" s="4"/>
      <c r="I156" s="4"/>
      <c r="J156" s="4"/>
      <c r="K156" s="4"/>
      <c r="L156" s="4"/>
      <c r="M156" s="4"/>
      <c r="N156" s="4"/>
    </row>
    <row r="157" ht="12.75" customHeight="1">
      <c r="A157" s="4"/>
      <c r="B157" s="4"/>
      <c r="C157" s="4"/>
      <c r="D157" s="4"/>
      <c r="E157" s="4"/>
      <c r="F157" s="4"/>
      <c r="G157" s="4"/>
      <c r="H157" s="4"/>
      <c r="I157" s="4"/>
      <c r="J157" s="4"/>
      <c r="K157" s="4"/>
      <c r="L157" s="4"/>
      <c r="M157" s="4"/>
      <c r="N157" s="4"/>
    </row>
    <row r="158" ht="12.75" customHeight="1">
      <c r="A158" s="4"/>
      <c r="B158" s="4"/>
      <c r="C158" s="4"/>
      <c r="D158" s="4"/>
      <c r="E158" s="4"/>
      <c r="F158" s="4"/>
      <c r="G158" s="4"/>
      <c r="H158" s="4"/>
      <c r="I158" s="4"/>
      <c r="J158" s="4"/>
      <c r="K158" s="4"/>
      <c r="L158" s="4"/>
      <c r="M158" s="4"/>
      <c r="N158" s="4"/>
    </row>
    <row r="159" ht="12.75" customHeight="1">
      <c r="A159" s="4"/>
      <c r="B159" s="4"/>
      <c r="C159" s="4"/>
      <c r="D159" s="4"/>
      <c r="E159" s="4"/>
      <c r="F159" s="4"/>
      <c r="G159" s="4"/>
      <c r="H159" s="4"/>
      <c r="I159" s="4"/>
      <c r="J159" s="4"/>
      <c r="K159" s="4"/>
      <c r="L159" s="4"/>
      <c r="M159" s="4"/>
      <c r="N159" s="4"/>
    </row>
    <row r="160" ht="12.75" customHeight="1">
      <c r="A160" s="4"/>
      <c r="B160" s="4"/>
      <c r="C160" s="4"/>
      <c r="D160" s="4"/>
      <c r="E160" s="4"/>
      <c r="F160" s="4"/>
      <c r="G160" s="4"/>
      <c r="H160" s="4"/>
      <c r="I160" s="4"/>
      <c r="J160" s="4"/>
      <c r="K160" s="4"/>
      <c r="L160" s="4"/>
      <c r="M160" s="4"/>
      <c r="N160" s="4"/>
    </row>
    <row r="161" ht="12.75" customHeight="1">
      <c r="A161" s="4"/>
      <c r="B161" s="4"/>
      <c r="C161" s="4"/>
      <c r="D161" s="4"/>
      <c r="E161" s="4"/>
      <c r="F161" s="4"/>
      <c r="G161" s="4"/>
      <c r="H161" s="4"/>
      <c r="I161" s="4"/>
      <c r="J161" s="4"/>
      <c r="K161" s="4"/>
      <c r="L161" s="4"/>
      <c r="M161" s="4"/>
      <c r="N161" s="4"/>
    </row>
    <row r="162" ht="12.75" customHeight="1">
      <c r="A162" s="4"/>
      <c r="B162" s="4"/>
      <c r="C162" s="4"/>
      <c r="D162" s="4"/>
      <c r="E162" s="4"/>
      <c r="F162" s="4"/>
      <c r="G162" s="4"/>
      <c r="H162" s="4"/>
      <c r="I162" s="4"/>
      <c r="J162" s="4"/>
      <c r="K162" s="4"/>
      <c r="L162" s="4"/>
      <c r="M162" s="4"/>
      <c r="N162" s="4"/>
    </row>
    <row r="163" ht="12.75" customHeight="1">
      <c r="A163" s="4"/>
      <c r="B163" s="4"/>
      <c r="C163" s="4"/>
      <c r="D163" s="4"/>
      <c r="E163" s="4"/>
      <c r="F163" s="4"/>
      <c r="G163" s="4"/>
      <c r="H163" s="4"/>
      <c r="I163" s="4"/>
      <c r="J163" s="4"/>
      <c r="K163" s="4"/>
      <c r="L163" s="4"/>
      <c r="M163" s="4"/>
      <c r="N163" s="4"/>
    </row>
    <row r="164" ht="12.75" customHeight="1">
      <c r="A164" s="4"/>
      <c r="B164" s="4"/>
      <c r="C164" s="4"/>
      <c r="D164" s="4"/>
      <c r="E164" s="4"/>
      <c r="F164" s="4"/>
      <c r="G164" s="4"/>
      <c r="H164" s="4"/>
      <c r="I164" s="4"/>
      <c r="J164" s="4"/>
      <c r="K164" s="4"/>
      <c r="L164" s="4"/>
      <c r="M164" s="4"/>
      <c r="N164" s="4"/>
    </row>
    <row r="165" ht="12.75" customHeight="1">
      <c r="A165" s="4"/>
      <c r="B165" s="4"/>
      <c r="C165" s="4"/>
      <c r="D165" s="4"/>
      <c r="E165" s="4"/>
      <c r="F165" s="4"/>
      <c r="G165" s="4"/>
      <c r="H165" s="4"/>
      <c r="I165" s="4"/>
      <c r="J165" s="4"/>
      <c r="K165" s="4"/>
      <c r="L165" s="4"/>
      <c r="M165" s="4"/>
      <c r="N165" s="4"/>
    </row>
    <row r="166" ht="12.75" customHeight="1">
      <c r="A166" s="4"/>
      <c r="B166" s="4"/>
      <c r="C166" s="4"/>
      <c r="D166" s="4"/>
      <c r="E166" s="4"/>
      <c r="F166" s="4"/>
      <c r="G166" s="4"/>
      <c r="H166" s="4"/>
      <c r="I166" s="4"/>
      <c r="J166" s="4"/>
      <c r="K166" s="4"/>
      <c r="L166" s="4"/>
      <c r="M166" s="4"/>
      <c r="N166" s="4"/>
    </row>
    <row r="167" ht="12.75" customHeight="1">
      <c r="A167" s="4"/>
      <c r="B167" s="4"/>
      <c r="C167" s="4"/>
      <c r="D167" s="4"/>
      <c r="E167" s="4"/>
      <c r="F167" s="4"/>
      <c r="G167" s="4"/>
      <c r="H167" s="4"/>
      <c r="I167" s="4"/>
      <c r="J167" s="4"/>
      <c r="K167" s="4"/>
      <c r="L167" s="4"/>
      <c r="M167" s="4"/>
      <c r="N167" s="4"/>
    </row>
    <row r="168" ht="12.75" customHeight="1">
      <c r="A168" s="4"/>
      <c r="B168" s="4"/>
      <c r="C168" s="4"/>
      <c r="D168" s="4"/>
      <c r="E168" s="4"/>
      <c r="F168" s="4"/>
      <c r="G168" s="4"/>
      <c r="H168" s="4"/>
      <c r="I168" s="4"/>
      <c r="J168" s="4"/>
      <c r="K168" s="4"/>
      <c r="L168" s="4"/>
      <c r="M168" s="4"/>
      <c r="N168" s="4"/>
    </row>
    <row r="169" ht="12.75" customHeight="1">
      <c r="A169" s="4"/>
      <c r="B169" s="4"/>
      <c r="C169" s="4"/>
      <c r="D169" s="4"/>
      <c r="E169" s="4"/>
      <c r="F169" s="4"/>
      <c r="G169" s="4"/>
      <c r="H169" s="4"/>
      <c r="I169" s="4"/>
      <c r="J169" s="4"/>
      <c r="K169" s="4"/>
      <c r="L169" s="4"/>
      <c r="M169" s="4"/>
      <c r="N169" s="4"/>
    </row>
    <row r="170" ht="12.75" customHeight="1">
      <c r="A170" s="4"/>
      <c r="B170" s="4"/>
      <c r="C170" s="4"/>
      <c r="D170" s="4"/>
      <c r="E170" s="4"/>
      <c r="F170" s="4"/>
      <c r="G170" s="4"/>
      <c r="H170" s="4"/>
      <c r="I170" s="4"/>
      <c r="J170" s="4"/>
      <c r="K170" s="4"/>
      <c r="L170" s="4"/>
      <c r="M170" s="4"/>
      <c r="N170" s="4"/>
    </row>
    <row r="171" ht="12.75" customHeight="1">
      <c r="A171" s="4"/>
      <c r="B171" s="4"/>
      <c r="C171" s="4"/>
      <c r="D171" s="4"/>
      <c r="E171" s="4"/>
      <c r="F171" s="4"/>
      <c r="G171" s="4"/>
      <c r="H171" s="4"/>
      <c r="I171" s="4"/>
      <c r="J171" s="4"/>
      <c r="K171" s="4"/>
      <c r="L171" s="4"/>
      <c r="M171" s="4"/>
      <c r="N171" s="4"/>
    </row>
    <row r="172" ht="12.75" customHeight="1">
      <c r="A172" s="4"/>
      <c r="B172" s="4"/>
      <c r="C172" s="4"/>
      <c r="D172" s="4"/>
      <c r="E172" s="4"/>
      <c r="F172" s="4"/>
      <c r="G172" s="4"/>
      <c r="H172" s="4"/>
      <c r="I172" s="4"/>
      <c r="J172" s="4"/>
      <c r="K172" s="4"/>
      <c r="L172" s="4"/>
      <c r="M172" s="4"/>
      <c r="N172" s="4"/>
    </row>
    <row r="173" ht="12.75" customHeight="1">
      <c r="A173" s="4"/>
      <c r="B173" s="4"/>
      <c r="C173" s="4"/>
      <c r="D173" s="4"/>
      <c r="E173" s="4"/>
      <c r="F173" s="4"/>
      <c r="G173" s="4"/>
      <c r="H173" s="4"/>
      <c r="I173" s="4"/>
      <c r="J173" s="4"/>
      <c r="K173" s="4"/>
      <c r="L173" s="4"/>
      <c r="M173" s="4"/>
      <c r="N173" s="4"/>
    </row>
    <row r="174" ht="12.75" customHeight="1">
      <c r="A174" s="4"/>
      <c r="B174" s="4"/>
      <c r="C174" s="4"/>
      <c r="D174" s="4"/>
      <c r="E174" s="4"/>
      <c r="F174" s="4"/>
      <c r="G174" s="4"/>
      <c r="H174" s="4"/>
      <c r="I174" s="4"/>
      <c r="J174" s="4"/>
      <c r="K174" s="4"/>
      <c r="L174" s="4"/>
      <c r="M174" s="4"/>
      <c r="N174" s="4"/>
    </row>
    <row r="175" ht="12.75" customHeight="1">
      <c r="A175" s="4"/>
      <c r="B175" s="4"/>
      <c r="C175" s="4"/>
      <c r="D175" s="4"/>
      <c r="E175" s="4"/>
      <c r="F175" s="4"/>
      <c r="G175" s="4"/>
      <c r="H175" s="4"/>
      <c r="I175" s="4"/>
      <c r="J175" s="4"/>
      <c r="K175" s="4"/>
      <c r="L175" s="4"/>
      <c r="M175" s="4"/>
      <c r="N175" s="4"/>
    </row>
    <row r="176" ht="12.75" customHeight="1">
      <c r="A176" s="4"/>
      <c r="B176" s="4"/>
      <c r="C176" s="4"/>
      <c r="D176" s="4"/>
      <c r="E176" s="4"/>
      <c r="F176" s="4"/>
      <c r="G176" s="4"/>
      <c r="H176" s="4"/>
      <c r="I176" s="4"/>
      <c r="J176" s="4"/>
      <c r="K176" s="4"/>
      <c r="L176" s="4"/>
      <c r="M176" s="4"/>
      <c r="N176" s="4"/>
    </row>
    <row r="177" ht="12.75" customHeight="1">
      <c r="A177" s="4"/>
      <c r="B177" s="4"/>
      <c r="C177" s="4"/>
      <c r="D177" s="4"/>
      <c r="E177" s="4"/>
      <c r="F177" s="4"/>
      <c r="G177" s="4"/>
      <c r="H177" s="4"/>
      <c r="I177" s="4"/>
      <c r="J177" s="4"/>
      <c r="K177" s="4"/>
      <c r="L177" s="4"/>
      <c r="M177" s="4"/>
      <c r="N177" s="4"/>
    </row>
    <row r="178" ht="12.75" customHeight="1">
      <c r="A178" s="4"/>
      <c r="B178" s="4"/>
      <c r="C178" s="4"/>
      <c r="D178" s="4"/>
      <c r="E178" s="4"/>
      <c r="F178" s="4"/>
      <c r="G178" s="4"/>
      <c r="H178" s="4"/>
      <c r="I178" s="4"/>
      <c r="J178" s="4"/>
      <c r="K178" s="4"/>
      <c r="L178" s="4"/>
      <c r="M178" s="4"/>
      <c r="N178" s="4"/>
    </row>
    <row r="179" ht="12.75" customHeight="1">
      <c r="A179" s="4"/>
      <c r="B179" s="4"/>
      <c r="C179" s="4"/>
      <c r="D179" s="4"/>
      <c r="E179" s="4"/>
      <c r="F179" s="4"/>
      <c r="G179" s="4"/>
      <c r="H179" s="4"/>
      <c r="I179" s="4"/>
      <c r="J179" s="4"/>
      <c r="K179" s="4"/>
      <c r="L179" s="4"/>
      <c r="M179" s="4"/>
      <c r="N179" s="4"/>
    </row>
    <row r="180" ht="12.75" customHeight="1">
      <c r="A180" s="4"/>
      <c r="B180" s="4"/>
      <c r="C180" s="4"/>
      <c r="D180" s="4"/>
      <c r="E180" s="4"/>
      <c r="F180" s="4"/>
      <c r="G180" s="4"/>
      <c r="H180" s="4"/>
      <c r="I180" s="4"/>
      <c r="J180" s="4"/>
      <c r="K180" s="4"/>
      <c r="L180" s="4"/>
      <c r="M180" s="4"/>
      <c r="N180" s="4"/>
    </row>
    <row r="181" ht="12.75" customHeight="1">
      <c r="A181" s="4"/>
      <c r="B181" s="4"/>
      <c r="C181" s="4"/>
      <c r="D181" s="4"/>
      <c r="E181" s="4"/>
      <c r="F181" s="4"/>
      <c r="G181" s="4"/>
      <c r="H181" s="4"/>
      <c r="I181" s="4"/>
      <c r="J181" s="4"/>
      <c r="K181" s="4"/>
      <c r="L181" s="4"/>
      <c r="M181" s="4"/>
      <c r="N181" s="4"/>
    </row>
    <row r="182" ht="12.75" customHeight="1">
      <c r="A182" s="4"/>
      <c r="B182" s="4"/>
      <c r="C182" s="4"/>
      <c r="D182" s="4"/>
      <c r="E182" s="4"/>
      <c r="F182" s="4"/>
      <c r="G182" s="4"/>
      <c r="H182" s="4"/>
      <c r="I182" s="4"/>
      <c r="J182" s="4"/>
      <c r="K182" s="4"/>
      <c r="L182" s="4"/>
      <c r="M182" s="4"/>
      <c r="N182" s="4"/>
    </row>
    <row r="183" ht="12.75" customHeight="1">
      <c r="A183" s="4"/>
      <c r="B183" s="4"/>
      <c r="C183" s="4"/>
      <c r="D183" s="4"/>
      <c r="E183" s="4"/>
      <c r="F183" s="4"/>
      <c r="G183" s="4"/>
      <c r="H183" s="4"/>
      <c r="I183" s="4"/>
      <c r="J183" s="4"/>
      <c r="K183" s="4"/>
      <c r="L183" s="4"/>
      <c r="M183" s="4"/>
      <c r="N183" s="4"/>
    </row>
    <row r="184" ht="12.75" customHeight="1">
      <c r="A184" s="4"/>
      <c r="B184" s="4"/>
      <c r="C184" s="4"/>
      <c r="D184" s="4"/>
      <c r="E184" s="4"/>
      <c r="F184" s="4"/>
      <c r="G184" s="4"/>
      <c r="H184" s="4"/>
      <c r="I184" s="4"/>
      <c r="J184" s="4"/>
      <c r="K184" s="4"/>
      <c r="L184" s="4"/>
      <c r="M184" s="4"/>
      <c r="N184" s="4"/>
    </row>
    <row r="185" ht="12.75" customHeight="1">
      <c r="A185" s="4"/>
      <c r="B185" s="4"/>
      <c r="C185" s="4"/>
      <c r="D185" s="4"/>
      <c r="E185" s="4"/>
      <c r="F185" s="4"/>
      <c r="G185" s="4"/>
      <c r="H185" s="4"/>
      <c r="I185" s="4"/>
      <c r="J185" s="4"/>
      <c r="K185" s="4"/>
      <c r="L185" s="4"/>
      <c r="M185" s="4"/>
      <c r="N185" s="4"/>
    </row>
    <row r="186" ht="12.75" customHeight="1">
      <c r="A186" s="4"/>
      <c r="B186" s="4"/>
      <c r="C186" s="4"/>
      <c r="D186" s="4"/>
      <c r="E186" s="4"/>
      <c r="F186" s="4"/>
      <c r="G186" s="4"/>
      <c r="H186" s="4"/>
      <c r="I186" s="4"/>
      <c r="J186" s="4"/>
      <c r="K186" s="4"/>
      <c r="L186" s="4"/>
      <c r="M186" s="4"/>
      <c r="N186" s="4"/>
    </row>
    <row r="187" ht="12.75" customHeight="1">
      <c r="A187" s="4"/>
      <c r="B187" s="4"/>
      <c r="C187" s="4"/>
      <c r="D187" s="4"/>
      <c r="E187" s="4"/>
      <c r="F187" s="4"/>
      <c r="G187" s="4"/>
      <c r="H187" s="4"/>
      <c r="I187" s="4"/>
      <c r="J187" s="4"/>
      <c r="K187" s="4"/>
      <c r="L187" s="4"/>
      <c r="M187" s="4"/>
      <c r="N187" s="4"/>
    </row>
    <row r="188" ht="12.75" customHeight="1">
      <c r="A188" s="4"/>
      <c r="B188" s="4"/>
      <c r="C188" s="4"/>
      <c r="D188" s="4"/>
      <c r="E188" s="4"/>
      <c r="F188" s="4"/>
      <c r="G188" s="4"/>
      <c r="H188" s="4"/>
      <c r="I188" s="4"/>
      <c r="J188" s="4"/>
      <c r="K188" s="4"/>
      <c r="L188" s="4"/>
      <c r="M188" s="4"/>
      <c r="N188" s="4"/>
    </row>
    <row r="189" ht="12.75" customHeight="1">
      <c r="A189" s="4"/>
      <c r="B189" s="4"/>
      <c r="C189" s="4"/>
      <c r="D189" s="4"/>
      <c r="E189" s="4"/>
      <c r="F189" s="4"/>
      <c r="G189" s="4"/>
      <c r="H189" s="4"/>
      <c r="I189" s="4"/>
      <c r="J189" s="4"/>
      <c r="K189" s="4"/>
      <c r="L189" s="4"/>
      <c r="M189" s="4"/>
      <c r="N189" s="4"/>
    </row>
    <row r="190" ht="12.75" customHeight="1">
      <c r="A190" s="4"/>
      <c r="B190" s="4"/>
      <c r="C190" s="4"/>
      <c r="D190" s="4"/>
      <c r="E190" s="4"/>
      <c r="F190" s="4"/>
      <c r="G190" s="4"/>
      <c r="H190" s="4"/>
      <c r="I190" s="4"/>
      <c r="J190" s="4"/>
      <c r="K190" s="4"/>
      <c r="L190" s="4"/>
      <c r="M190" s="4"/>
      <c r="N190" s="4"/>
    </row>
    <row r="191" ht="12.75" customHeight="1">
      <c r="A191" s="4"/>
      <c r="B191" s="4"/>
      <c r="C191" s="4"/>
      <c r="D191" s="4"/>
      <c r="E191" s="4"/>
      <c r="F191" s="4"/>
      <c r="G191" s="4"/>
      <c r="H191" s="4"/>
      <c r="I191" s="4"/>
      <c r="J191" s="4"/>
      <c r="K191" s="4"/>
      <c r="L191" s="4"/>
      <c r="M191" s="4"/>
      <c r="N191" s="4"/>
    </row>
    <row r="192" ht="12.75" customHeight="1">
      <c r="A192" s="4"/>
      <c r="B192" s="4"/>
      <c r="C192" s="4"/>
      <c r="D192" s="4"/>
      <c r="E192" s="4"/>
      <c r="F192" s="4"/>
      <c r="G192" s="4"/>
      <c r="H192" s="4"/>
      <c r="I192" s="4"/>
      <c r="J192" s="4"/>
      <c r="K192" s="4"/>
      <c r="L192" s="4"/>
      <c r="M192" s="4"/>
      <c r="N192" s="4"/>
    </row>
    <row r="193" ht="12.75" customHeight="1">
      <c r="A193" s="4"/>
      <c r="B193" s="4"/>
      <c r="C193" s="4"/>
      <c r="D193" s="4"/>
      <c r="E193" s="4"/>
      <c r="F193" s="4"/>
      <c r="G193" s="4"/>
      <c r="H193" s="4"/>
      <c r="I193" s="4"/>
      <c r="J193" s="4"/>
      <c r="K193" s="4"/>
      <c r="L193" s="4"/>
      <c r="M193" s="4"/>
      <c r="N193" s="4"/>
    </row>
    <row r="194" ht="12.75" customHeight="1">
      <c r="A194" s="4"/>
      <c r="B194" s="4"/>
      <c r="C194" s="4"/>
      <c r="D194" s="4"/>
      <c r="E194" s="4"/>
      <c r="F194" s="4"/>
      <c r="G194" s="4"/>
      <c r="H194" s="4"/>
      <c r="I194" s="4"/>
      <c r="J194" s="4"/>
      <c r="K194" s="4"/>
      <c r="L194" s="4"/>
      <c r="M194" s="4"/>
      <c r="N194" s="4"/>
    </row>
    <row r="195" ht="12.75" customHeight="1">
      <c r="A195" s="4"/>
      <c r="B195" s="4"/>
      <c r="C195" s="4"/>
      <c r="D195" s="4"/>
      <c r="E195" s="4"/>
      <c r="F195" s="4"/>
      <c r="G195" s="4"/>
      <c r="H195" s="4"/>
      <c r="I195" s="4"/>
      <c r="J195" s="4"/>
      <c r="K195" s="4"/>
      <c r="L195" s="4"/>
      <c r="M195" s="4"/>
      <c r="N195" s="4"/>
    </row>
    <row r="196" ht="12.75" customHeight="1">
      <c r="A196" s="4"/>
      <c r="B196" s="4"/>
      <c r="C196" s="4"/>
      <c r="D196" s="4"/>
      <c r="E196" s="4"/>
      <c r="F196" s="4"/>
      <c r="G196" s="4"/>
      <c r="H196" s="4"/>
      <c r="I196" s="4"/>
      <c r="J196" s="4"/>
      <c r="K196" s="4"/>
      <c r="L196" s="4"/>
      <c r="M196" s="4"/>
      <c r="N196" s="4"/>
    </row>
    <row r="197" ht="12.75" customHeight="1">
      <c r="A197" s="4"/>
      <c r="B197" s="4"/>
      <c r="C197" s="4"/>
      <c r="D197" s="4"/>
      <c r="E197" s="4"/>
      <c r="F197" s="4"/>
      <c r="G197" s="4"/>
      <c r="H197" s="4"/>
      <c r="I197" s="4"/>
      <c r="J197" s="4"/>
      <c r="K197" s="4"/>
      <c r="L197" s="4"/>
      <c r="M197" s="4"/>
      <c r="N197" s="4"/>
    </row>
    <row r="198" ht="12.75" customHeight="1">
      <c r="A198" s="4"/>
      <c r="B198" s="4"/>
      <c r="C198" s="4"/>
      <c r="D198" s="4"/>
      <c r="E198" s="4"/>
      <c r="F198" s="4"/>
      <c r="G198" s="4"/>
      <c r="H198" s="4"/>
      <c r="I198" s="4"/>
      <c r="J198" s="4"/>
      <c r="K198" s="4"/>
      <c r="L198" s="4"/>
      <c r="M198" s="4"/>
      <c r="N198" s="4"/>
    </row>
    <row r="199" ht="12.75" customHeight="1">
      <c r="A199" s="4"/>
      <c r="B199" s="4"/>
      <c r="C199" s="4"/>
      <c r="D199" s="4"/>
      <c r="E199" s="4"/>
      <c r="F199" s="4"/>
      <c r="G199" s="4"/>
      <c r="H199" s="4"/>
      <c r="I199" s="4"/>
      <c r="J199" s="4"/>
      <c r="K199" s="4"/>
      <c r="L199" s="4"/>
      <c r="M199" s="4"/>
      <c r="N199" s="4"/>
    </row>
    <row r="200" ht="12.75" customHeight="1">
      <c r="A200" s="4"/>
      <c r="B200" s="4"/>
      <c r="C200" s="4"/>
      <c r="D200" s="4"/>
      <c r="E200" s="4"/>
      <c r="F200" s="4"/>
      <c r="G200" s="4"/>
      <c r="H200" s="4"/>
      <c r="I200" s="4"/>
      <c r="J200" s="4"/>
      <c r="K200" s="4"/>
      <c r="L200" s="4"/>
      <c r="M200" s="4"/>
      <c r="N200" s="4"/>
    </row>
    <row r="201" ht="12.75" customHeight="1">
      <c r="A201" s="4"/>
      <c r="B201" s="4"/>
      <c r="C201" s="4"/>
      <c r="D201" s="4"/>
      <c r="E201" s="4"/>
      <c r="F201" s="4"/>
      <c r="G201" s="4"/>
      <c r="H201" s="4"/>
      <c r="I201" s="4"/>
      <c r="J201" s="4"/>
      <c r="K201" s="4"/>
      <c r="L201" s="4"/>
      <c r="M201" s="4"/>
      <c r="N201" s="4"/>
    </row>
    <row r="202" ht="12.75" customHeight="1">
      <c r="A202" s="4"/>
      <c r="B202" s="4"/>
      <c r="C202" s="4"/>
      <c r="D202" s="4"/>
      <c r="E202" s="4"/>
      <c r="F202" s="4"/>
      <c r="G202" s="4"/>
      <c r="H202" s="4"/>
      <c r="I202" s="4"/>
      <c r="J202" s="4"/>
      <c r="K202" s="4"/>
      <c r="L202" s="4"/>
      <c r="M202" s="4"/>
      <c r="N202" s="4"/>
    </row>
    <row r="203" ht="12.75" customHeight="1">
      <c r="A203" s="4"/>
      <c r="B203" s="4"/>
      <c r="C203" s="4"/>
      <c r="D203" s="4"/>
      <c r="E203" s="4"/>
      <c r="F203" s="4"/>
      <c r="G203" s="4"/>
      <c r="H203" s="4"/>
      <c r="I203" s="4"/>
      <c r="J203" s="4"/>
      <c r="K203" s="4"/>
      <c r="L203" s="4"/>
      <c r="M203" s="4"/>
      <c r="N203" s="4"/>
    </row>
    <row r="204" ht="12.75" customHeight="1">
      <c r="A204" s="4"/>
      <c r="B204" s="4"/>
      <c r="C204" s="4"/>
      <c r="D204" s="4"/>
      <c r="E204" s="4"/>
      <c r="F204" s="4"/>
      <c r="G204" s="4"/>
      <c r="H204" s="4"/>
      <c r="I204" s="4"/>
      <c r="J204" s="4"/>
      <c r="K204" s="4"/>
      <c r="L204" s="4"/>
      <c r="M204" s="4"/>
      <c r="N204" s="4"/>
    </row>
    <row r="205" ht="12.75" customHeight="1">
      <c r="A205" s="4"/>
      <c r="B205" s="4"/>
      <c r="C205" s="4"/>
      <c r="D205" s="4"/>
      <c r="E205" s="4"/>
      <c r="F205" s="4"/>
      <c r="G205" s="4"/>
      <c r="H205" s="4"/>
      <c r="I205" s="4"/>
      <c r="J205" s="4"/>
      <c r="K205" s="4"/>
      <c r="L205" s="4"/>
      <c r="M205" s="4"/>
      <c r="N205" s="4"/>
    </row>
    <row r="206" ht="12.75" customHeight="1">
      <c r="A206" s="4"/>
      <c r="B206" s="4"/>
      <c r="C206" s="4"/>
      <c r="D206" s="4"/>
      <c r="E206" s="4"/>
      <c r="F206" s="4"/>
      <c r="G206" s="4"/>
      <c r="H206" s="4"/>
      <c r="I206" s="4"/>
      <c r="J206" s="4"/>
      <c r="K206" s="4"/>
      <c r="L206" s="4"/>
      <c r="M206" s="4"/>
      <c r="N206" s="4"/>
    </row>
    <row r="207" ht="12.75" customHeight="1">
      <c r="A207" s="4"/>
      <c r="B207" s="4"/>
      <c r="C207" s="4"/>
      <c r="D207" s="4"/>
      <c r="E207" s="4"/>
      <c r="F207" s="4"/>
      <c r="G207" s="4"/>
      <c r="H207" s="4"/>
      <c r="I207" s="4"/>
      <c r="J207" s="4"/>
      <c r="K207" s="4"/>
      <c r="L207" s="4"/>
      <c r="M207" s="4"/>
      <c r="N207" s="4"/>
    </row>
    <row r="208" ht="12.75" customHeight="1">
      <c r="A208" s="4"/>
      <c r="B208" s="4"/>
      <c r="C208" s="4"/>
      <c r="D208" s="4"/>
      <c r="E208" s="4"/>
      <c r="F208" s="4"/>
      <c r="G208" s="4"/>
      <c r="H208" s="4"/>
      <c r="I208" s="4"/>
      <c r="J208" s="4"/>
      <c r="K208" s="4"/>
      <c r="L208" s="4"/>
      <c r="M208" s="4"/>
      <c r="N208" s="4"/>
    </row>
    <row r="209" ht="12.75" customHeight="1">
      <c r="A209" s="4"/>
      <c r="B209" s="4"/>
      <c r="C209" s="4"/>
      <c r="D209" s="4"/>
      <c r="E209" s="4"/>
      <c r="F209" s="4"/>
      <c r="G209" s="4"/>
      <c r="H209" s="4"/>
      <c r="I209" s="4"/>
      <c r="J209" s="4"/>
      <c r="K209" s="4"/>
      <c r="L209" s="4"/>
      <c r="M209" s="4"/>
      <c r="N209" s="4"/>
    </row>
    <row r="210" ht="12.75" customHeight="1">
      <c r="A210" s="4"/>
      <c r="B210" s="4"/>
      <c r="C210" s="4"/>
      <c r="D210" s="4"/>
      <c r="E210" s="4"/>
      <c r="F210" s="4"/>
      <c r="G210" s="4"/>
      <c r="H210" s="4"/>
      <c r="I210" s="4"/>
      <c r="J210" s="4"/>
      <c r="K210" s="4"/>
      <c r="L210" s="4"/>
      <c r="M210" s="4"/>
      <c r="N210" s="4"/>
    </row>
    <row r="211" ht="12.75" customHeight="1">
      <c r="A211" s="4"/>
      <c r="B211" s="4"/>
      <c r="C211" s="4"/>
      <c r="D211" s="4"/>
      <c r="E211" s="4"/>
      <c r="F211" s="4"/>
      <c r="G211" s="4"/>
      <c r="H211" s="4"/>
      <c r="I211" s="4"/>
      <c r="J211" s="4"/>
      <c r="K211" s="4"/>
      <c r="L211" s="4"/>
      <c r="M211" s="4"/>
      <c r="N211" s="4"/>
    </row>
    <row r="212" ht="12.75" customHeight="1">
      <c r="A212" s="4"/>
      <c r="B212" s="4"/>
      <c r="C212" s="4"/>
      <c r="D212" s="4"/>
      <c r="E212" s="4"/>
      <c r="F212" s="4"/>
      <c r="G212" s="4"/>
      <c r="H212" s="4"/>
      <c r="I212" s="4"/>
      <c r="J212" s="4"/>
      <c r="K212" s="4"/>
      <c r="L212" s="4"/>
      <c r="M212" s="4"/>
      <c r="N212" s="4"/>
    </row>
    <row r="213" ht="12.75" customHeight="1">
      <c r="A213" s="4"/>
      <c r="B213" s="4"/>
      <c r="C213" s="4"/>
      <c r="D213" s="4"/>
      <c r="E213" s="4"/>
      <c r="F213" s="4"/>
      <c r="G213" s="4"/>
      <c r="H213" s="4"/>
      <c r="I213" s="4"/>
      <c r="J213" s="4"/>
      <c r="K213" s="4"/>
      <c r="L213" s="4"/>
      <c r="M213" s="4"/>
      <c r="N213" s="4"/>
    </row>
    <row r="214" ht="12.75" customHeight="1">
      <c r="A214" s="4"/>
      <c r="B214" s="4"/>
      <c r="C214" s="4"/>
      <c r="D214" s="4"/>
      <c r="E214" s="4"/>
      <c r="F214" s="4"/>
      <c r="G214" s="4"/>
      <c r="H214" s="4"/>
      <c r="I214" s="4"/>
      <c r="J214" s="4"/>
      <c r="K214" s="4"/>
      <c r="L214" s="4"/>
      <c r="M214" s="4"/>
      <c r="N214" s="4"/>
    </row>
    <row r="215" ht="12.75" customHeight="1">
      <c r="A215" s="4"/>
      <c r="B215" s="4"/>
      <c r="C215" s="4"/>
      <c r="D215" s="4"/>
      <c r="E215" s="4"/>
      <c r="F215" s="4"/>
      <c r="G215" s="4"/>
      <c r="H215" s="4"/>
      <c r="I215" s="4"/>
      <c r="J215" s="4"/>
      <c r="K215" s="4"/>
      <c r="L215" s="4"/>
      <c r="M215" s="4"/>
      <c r="N215" s="4"/>
    </row>
    <row r="216" ht="12.75" customHeight="1">
      <c r="A216" s="4"/>
      <c r="B216" s="4"/>
      <c r="C216" s="4"/>
      <c r="D216" s="4"/>
      <c r="E216" s="4"/>
      <c r="F216" s="4"/>
      <c r="G216" s="4"/>
      <c r="H216" s="4"/>
      <c r="I216" s="4"/>
      <c r="J216" s="4"/>
      <c r="K216" s="4"/>
      <c r="L216" s="4"/>
      <c r="M216" s="4"/>
      <c r="N216" s="4"/>
    </row>
    <row r="217" ht="12.75" customHeight="1">
      <c r="A217" s="4"/>
      <c r="B217" s="4"/>
      <c r="C217" s="4"/>
      <c r="D217" s="4"/>
      <c r="E217" s="4"/>
      <c r="F217" s="4"/>
      <c r="G217" s="4"/>
      <c r="H217" s="4"/>
      <c r="I217" s="4"/>
      <c r="J217" s="4"/>
      <c r="K217" s="4"/>
      <c r="L217" s="4"/>
      <c r="M217" s="4"/>
      <c r="N217" s="4"/>
    </row>
    <row r="218" ht="12.75" customHeight="1">
      <c r="A218" s="4"/>
      <c r="B218" s="4"/>
      <c r="C218" s="4"/>
      <c r="D218" s="4"/>
      <c r="E218" s="4"/>
      <c r="F218" s="4"/>
      <c r="G218" s="4"/>
      <c r="H218" s="4"/>
      <c r="I218" s="4"/>
      <c r="J218" s="4"/>
      <c r="K218" s="4"/>
      <c r="L218" s="4"/>
      <c r="M218" s="4"/>
      <c r="N218" s="4"/>
    </row>
    <row r="219" ht="12.75" customHeight="1">
      <c r="A219" s="4"/>
      <c r="B219" s="4"/>
      <c r="C219" s="4"/>
      <c r="D219" s="4"/>
      <c r="E219" s="4"/>
      <c r="F219" s="4"/>
      <c r="G219" s="4"/>
      <c r="H219" s="4"/>
      <c r="I219" s="4"/>
      <c r="J219" s="4"/>
      <c r="K219" s="4"/>
      <c r="L219" s="4"/>
      <c r="M219" s="4"/>
      <c r="N219" s="4"/>
    </row>
    <row r="220" ht="12.75" customHeight="1">
      <c r="A220" s="4"/>
      <c r="B220" s="4"/>
      <c r="C220" s="4"/>
      <c r="D220" s="4"/>
      <c r="E220" s="4"/>
      <c r="F220" s="4"/>
      <c r="G220" s="4"/>
      <c r="H220" s="4"/>
      <c r="I220" s="4"/>
      <c r="J220" s="4"/>
      <c r="K220" s="4"/>
      <c r="L220" s="4"/>
      <c r="M220" s="4"/>
      <c r="N220" s="4"/>
    </row>
    <row r="221" ht="12.75" customHeight="1">
      <c r="A221" s="4"/>
      <c r="B221" s="4"/>
      <c r="C221" s="4"/>
      <c r="D221" s="4"/>
      <c r="E221" s="4"/>
      <c r="F221" s="4"/>
      <c r="G221" s="4"/>
      <c r="H221" s="4"/>
      <c r="I221" s="4"/>
      <c r="J221" s="4"/>
      <c r="K221" s="4"/>
      <c r="L221" s="4"/>
      <c r="M221" s="4"/>
      <c r="N221" s="4"/>
    </row>
    <row r="222" ht="12.75" customHeight="1">
      <c r="A222" s="4"/>
      <c r="B222" s="4"/>
      <c r="C222" s="4"/>
      <c r="D222" s="4"/>
      <c r="E222" s="4"/>
      <c r="F222" s="4"/>
      <c r="G222" s="4"/>
      <c r="H222" s="4"/>
      <c r="I222" s="4"/>
      <c r="J222" s="4"/>
      <c r="K222" s="4"/>
      <c r="L222" s="4"/>
      <c r="M222" s="4"/>
      <c r="N222" s="4"/>
    </row>
    <row r="223" ht="12.75" customHeight="1">
      <c r="A223" s="4"/>
      <c r="B223" s="4"/>
      <c r="C223" s="4"/>
      <c r="D223" s="4"/>
      <c r="E223" s="4"/>
      <c r="F223" s="4"/>
      <c r="G223" s="4"/>
      <c r="H223" s="4"/>
      <c r="I223" s="4"/>
      <c r="J223" s="4"/>
      <c r="K223" s="4"/>
      <c r="L223" s="4"/>
      <c r="M223" s="4"/>
      <c r="N223" s="4"/>
    </row>
    <row r="224" ht="12.75" customHeight="1">
      <c r="A224" s="4"/>
      <c r="B224" s="4"/>
      <c r="C224" s="4"/>
      <c r="D224" s="4"/>
      <c r="E224" s="4"/>
      <c r="F224" s="4"/>
      <c r="G224" s="4"/>
      <c r="H224" s="4"/>
      <c r="I224" s="4"/>
      <c r="J224" s="4"/>
      <c r="K224" s="4"/>
      <c r="L224" s="4"/>
      <c r="M224" s="4"/>
      <c r="N224" s="4"/>
    </row>
    <row r="225" ht="12.75" customHeight="1">
      <c r="A225" s="4"/>
      <c r="B225" s="4"/>
      <c r="C225" s="4"/>
      <c r="D225" s="4"/>
      <c r="E225" s="4"/>
      <c r="F225" s="4"/>
      <c r="G225" s="4"/>
      <c r="H225" s="4"/>
      <c r="I225" s="4"/>
      <c r="J225" s="4"/>
      <c r="K225" s="4"/>
      <c r="L225" s="4"/>
      <c r="M225" s="4"/>
      <c r="N225" s="4"/>
    </row>
    <row r="226" ht="12.75" customHeight="1">
      <c r="A226" s="4"/>
      <c r="B226" s="4"/>
      <c r="C226" s="4"/>
      <c r="D226" s="4"/>
      <c r="E226" s="4"/>
      <c r="F226" s="4"/>
      <c r="G226" s="4"/>
      <c r="H226" s="4"/>
      <c r="I226" s="4"/>
      <c r="J226" s="4"/>
      <c r="K226" s="4"/>
      <c r="L226" s="4"/>
      <c r="M226" s="4"/>
      <c r="N226" s="4"/>
    </row>
    <row r="227" ht="12.75" customHeight="1">
      <c r="A227" s="4"/>
      <c r="B227" s="4"/>
      <c r="C227" s="4"/>
      <c r="D227" s="4"/>
      <c r="E227" s="4"/>
      <c r="F227" s="4"/>
      <c r="G227" s="4"/>
      <c r="H227" s="4"/>
      <c r="I227" s="4"/>
      <c r="J227" s="4"/>
      <c r="K227" s="4"/>
      <c r="L227" s="4"/>
      <c r="M227" s="4"/>
      <c r="N227" s="4"/>
    </row>
    <row r="228" ht="12.75" customHeight="1">
      <c r="A228" s="4"/>
      <c r="B228" s="4"/>
      <c r="C228" s="4"/>
      <c r="D228" s="4"/>
      <c r="E228" s="4"/>
      <c r="F228" s="4"/>
      <c r="G228" s="4"/>
      <c r="H228" s="4"/>
      <c r="I228" s="4"/>
      <c r="J228" s="4"/>
      <c r="K228" s="4"/>
      <c r="L228" s="4"/>
      <c r="M228" s="4"/>
      <c r="N228" s="4"/>
    </row>
    <row r="229" ht="12.75" customHeight="1">
      <c r="A229" s="4"/>
      <c r="B229" s="4"/>
      <c r="C229" s="4"/>
      <c r="D229" s="4"/>
      <c r="E229" s="4"/>
      <c r="F229" s="4"/>
      <c r="G229" s="4"/>
      <c r="H229" s="4"/>
      <c r="I229" s="4"/>
      <c r="J229" s="4"/>
      <c r="K229" s="4"/>
      <c r="L229" s="4"/>
      <c r="M229" s="4"/>
      <c r="N229" s="4"/>
    </row>
    <row r="230" ht="12.75" customHeight="1">
      <c r="A230" s="4"/>
      <c r="B230" s="4"/>
      <c r="C230" s="4"/>
      <c r="D230" s="4"/>
      <c r="E230" s="4"/>
      <c r="F230" s="4"/>
      <c r="G230" s="4"/>
      <c r="H230" s="4"/>
      <c r="I230" s="4"/>
      <c r="J230" s="4"/>
      <c r="K230" s="4"/>
      <c r="L230" s="4"/>
      <c r="M230" s="4"/>
      <c r="N230" s="4"/>
    </row>
    <row r="231" ht="12.75" customHeight="1">
      <c r="A231" s="4"/>
      <c r="B231" s="4"/>
      <c r="C231" s="4"/>
      <c r="D231" s="4"/>
      <c r="E231" s="4"/>
      <c r="F231" s="4"/>
      <c r="G231" s="4"/>
      <c r="H231" s="4"/>
      <c r="I231" s="4"/>
      <c r="J231" s="4"/>
      <c r="K231" s="4"/>
      <c r="L231" s="4"/>
      <c r="M231" s="4"/>
      <c r="N231" s="4"/>
    </row>
    <row r="232" ht="12.75" customHeight="1">
      <c r="A232" s="4"/>
      <c r="B232" s="4"/>
      <c r="C232" s="4"/>
      <c r="D232" s="4"/>
      <c r="E232" s="4"/>
      <c r="F232" s="4"/>
      <c r="G232" s="4"/>
      <c r="H232" s="4"/>
      <c r="I232" s="4"/>
      <c r="J232" s="4"/>
      <c r="K232" s="4"/>
      <c r="L232" s="4"/>
      <c r="M232" s="4"/>
      <c r="N232" s="4"/>
    </row>
    <row r="233" ht="12.75" customHeight="1">
      <c r="A233" s="4"/>
      <c r="B233" s="4"/>
      <c r="C233" s="4"/>
      <c r="D233" s="4"/>
      <c r="E233" s="4"/>
      <c r="F233" s="4"/>
      <c r="G233" s="4"/>
      <c r="H233" s="4"/>
      <c r="I233" s="4"/>
      <c r="J233" s="4"/>
      <c r="K233" s="4"/>
      <c r="L233" s="4"/>
      <c r="M233" s="4"/>
      <c r="N233" s="4"/>
    </row>
    <row r="234" ht="12.75" customHeight="1">
      <c r="A234" s="4"/>
      <c r="B234" s="4"/>
      <c r="C234" s="4"/>
      <c r="D234" s="4"/>
      <c r="E234" s="4"/>
      <c r="F234" s="4"/>
      <c r="G234" s="4"/>
      <c r="H234" s="4"/>
      <c r="I234" s="4"/>
      <c r="J234" s="4"/>
      <c r="K234" s="4"/>
      <c r="L234" s="4"/>
      <c r="M234" s="4"/>
      <c r="N234" s="4"/>
    </row>
    <row r="235" ht="12.75" customHeight="1">
      <c r="A235" s="4"/>
      <c r="B235" s="4"/>
      <c r="C235" s="4"/>
      <c r="D235" s="4"/>
      <c r="E235" s="4"/>
      <c r="F235" s="4"/>
      <c r="G235" s="4"/>
      <c r="H235" s="4"/>
      <c r="I235" s="4"/>
      <c r="J235" s="4"/>
      <c r="K235" s="4"/>
      <c r="L235" s="4"/>
      <c r="M235" s="4"/>
      <c r="N235" s="4"/>
    </row>
    <row r="236" ht="12.75" customHeight="1">
      <c r="A236" s="4"/>
      <c r="B236" s="4"/>
      <c r="C236" s="4"/>
      <c r="D236" s="4"/>
      <c r="E236" s="4"/>
      <c r="F236" s="4"/>
      <c r="G236" s="4"/>
      <c r="H236" s="4"/>
      <c r="I236" s="4"/>
      <c r="J236" s="4"/>
      <c r="K236" s="4"/>
      <c r="L236" s="4"/>
      <c r="M236" s="4"/>
      <c r="N236" s="4"/>
    </row>
    <row r="237" ht="12.75" customHeight="1">
      <c r="A237" s="4"/>
      <c r="B237" s="4"/>
      <c r="C237" s="4"/>
      <c r="D237" s="4"/>
      <c r="E237" s="4"/>
      <c r="F237" s="4"/>
      <c r="G237" s="4"/>
      <c r="H237" s="4"/>
      <c r="I237" s="4"/>
      <c r="J237" s="4"/>
      <c r="K237" s="4"/>
      <c r="L237" s="4"/>
      <c r="M237" s="4"/>
      <c r="N237" s="4"/>
    </row>
    <row r="238" ht="12.75" customHeight="1">
      <c r="A238" s="4"/>
      <c r="B238" s="4"/>
      <c r="C238" s="4"/>
      <c r="D238" s="4"/>
      <c r="E238" s="4"/>
      <c r="F238" s="4"/>
      <c r="G238" s="4"/>
      <c r="H238" s="4"/>
      <c r="I238" s="4"/>
      <c r="J238" s="4"/>
      <c r="K238" s="4"/>
      <c r="L238" s="4"/>
      <c r="M238" s="4"/>
      <c r="N238" s="4"/>
    </row>
    <row r="239" ht="12.75" customHeight="1">
      <c r="A239" s="4"/>
      <c r="B239" s="4"/>
      <c r="C239" s="4"/>
      <c r="D239" s="4"/>
      <c r="E239" s="4"/>
      <c r="F239" s="4"/>
      <c r="G239" s="4"/>
      <c r="H239" s="4"/>
      <c r="I239" s="4"/>
      <c r="J239" s="4"/>
      <c r="K239" s="4"/>
      <c r="L239" s="4"/>
      <c r="M239" s="4"/>
      <c r="N239" s="4"/>
    </row>
    <row r="240" ht="12.75" customHeight="1">
      <c r="A240" s="4"/>
      <c r="B240" s="4"/>
      <c r="C240" s="4"/>
      <c r="D240" s="4"/>
      <c r="E240" s="4"/>
      <c r="F240" s="4"/>
      <c r="G240" s="4"/>
      <c r="H240" s="4"/>
      <c r="I240" s="4"/>
      <c r="J240" s="4"/>
      <c r="K240" s="4"/>
      <c r="L240" s="4"/>
      <c r="M240" s="4"/>
      <c r="N240" s="4"/>
    </row>
    <row r="241" ht="12.75" customHeight="1">
      <c r="A241" s="4"/>
      <c r="B241" s="4"/>
      <c r="C241" s="4"/>
      <c r="D241" s="4"/>
      <c r="E241" s="4"/>
      <c r="F241" s="4"/>
      <c r="G241" s="4"/>
      <c r="H241" s="4"/>
      <c r="I241" s="4"/>
      <c r="J241" s="4"/>
      <c r="K241" s="4"/>
      <c r="L241" s="4"/>
      <c r="M241" s="4"/>
      <c r="N241" s="4"/>
    </row>
    <row r="242" ht="12.75" customHeight="1">
      <c r="A242" s="4"/>
      <c r="B242" s="4"/>
      <c r="C242" s="4"/>
      <c r="D242" s="4"/>
      <c r="E242" s="4"/>
      <c r="F242" s="4"/>
      <c r="G242" s="4"/>
      <c r="H242" s="4"/>
      <c r="I242" s="4"/>
      <c r="J242" s="4"/>
      <c r="K242" s="4"/>
      <c r="L242" s="4"/>
      <c r="M242" s="4"/>
      <c r="N242" s="4"/>
    </row>
    <row r="243" ht="12.75" customHeight="1">
      <c r="A243" s="4"/>
      <c r="B243" s="4"/>
      <c r="C243" s="4"/>
      <c r="D243" s="4"/>
      <c r="E243" s="4"/>
      <c r="F243" s="4"/>
      <c r="G243" s="4"/>
      <c r="H243" s="4"/>
      <c r="I243" s="4"/>
      <c r="J243" s="4"/>
      <c r="K243" s="4"/>
      <c r="L243" s="4"/>
      <c r="M243" s="4"/>
      <c r="N243" s="4"/>
    </row>
    <row r="244" ht="12.75" customHeight="1">
      <c r="A244" s="4"/>
      <c r="B244" s="4"/>
      <c r="C244" s="4"/>
      <c r="D244" s="4"/>
      <c r="E244" s="4"/>
      <c r="F244" s="4"/>
      <c r="G244" s="4"/>
      <c r="H244" s="4"/>
      <c r="I244" s="4"/>
      <c r="J244" s="4"/>
      <c r="K244" s="4"/>
      <c r="L244" s="4"/>
      <c r="M244" s="4"/>
      <c r="N244" s="4"/>
    </row>
    <row r="245" ht="12.75" customHeight="1">
      <c r="A245" s="4"/>
      <c r="B245" s="4"/>
      <c r="C245" s="4"/>
      <c r="D245" s="4"/>
      <c r="E245" s="4"/>
      <c r="F245" s="4"/>
      <c r="G245" s="4"/>
      <c r="H245" s="4"/>
      <c r="I245" s="4"/>
      <c r="J245" s="4"/>
      <c r="K245" s="4"/>
      <c r="L245" s="4"/>
      <c r="M245" s="4"/>
      <c r="N245" s="4"/>
    </row>
    <row r="246" ht="12.75" customHeight="1">
      <c r="A246" s="4"/>
      <c r="B246" s="4"/>
      <c r="C246" s="4"/>
      <c r="D246" s="4"/>
      <c r="E246" s="4"/>
      <c r="F246" s="4"/>
      <c r="G246" s="4"/>
      <c r="H246" s="4"/>
      <c r="I246" s="4"/>
      <c r="J246" s="4"/>
      <c r="K246" s="4"/>
      <c r="L246" s="4"/>
      <c r="M246" s="4"/>
      <c r="N246" s="4"/>
    </row>
    <row r="247" ht="12.75" customHeight="1">
      <c r="A247" s="4"/>
      <c r="B247" s="4"/>
      <c r="C247" s="4"/>
      <c r="D247" s="4"/>
      <c r="E247" s="4"/>
      <c r="F247" s="4"/>
      <c r="G247" s="4"/>
      <c r="H247" s="4"/>
      <c r="I247" s="4"/>
      <c r="J247" s="4"/>
      <c r="K247" s="4"/>
      <c r="L247" s="4"/>
      <c r="M247" s="4"/>
      <c r="N247" s="4"/>
    </row>
    <row r="248" ht="12.75" customHeight="1">
      <c r="A248" s="4"/>
      <c r="B248" s="4"/>
      <c r="C248" s="4"/>
      <c r="D248" s="4"/>
      <c r="E248" s="4"/>
      <c r="F248" s="4"/>
      <c r="G248" s="4"/>
      <c r="H248" s="4"/>
      <c r="I248" s="4"/>
      <c r="J248" s="4"/>
      <c r="K248" s="4"/>
      <c r="L248" s="4"/>
      <c r="M248" s="4"/>
      <c r="N248" s="4"/>
    </row>
    <row r="249" ht="12.75" customHeight="1">
      <c r="A249" s="4"/>
      <c r="B249" s="4"/>
      <c r="C249" s="4"/>
      <c r="D249" s="4"/>
      <c r="E249" s="4"/>
      <c r="F249" s="4"/>
      <c r="G249" s="4"/>
      <c r="H249" s="4"/>
      <c r="I249" s="4"/>
      <c r="J249" s="4"/>
      <c r="K249" s="4"/>
      <c r="L249" s="4"/>
      <c r="M249" s="4"/>
      <c r="N249" s="4"/>
    </row>
    <row r="250" ht="12.75" customHeight="1">
      <c r="A250" s="4"/>
      <c r="B250" s="4"/>
      <c r="C250" s="4"/>
      <c r="D250" s="4"/>
      <c r="E250" s="4"/>
      <c r="F250" s="4"/>
      <c r="G250" s="4"/>
      <c r="H250" s="4"/>
      <c r="I250" s="4"/>
      <c r="J250" s="4"/>
      <c r="K250" s="4"/>
      <c r="L250" s="4"/>
      <c r="M250" s="4"/>
      <c r="N250" s="4"/>
    </row>
    <row r="251" ht="12.75" customHeight="1">
      <c r="A251" s="4"/>
      <c r="B251" s="4"/>
      <c r="C251" s="4"/>
      <c r="D251" s="4"/>
      <c r="E251" s="4"/>
      <c r="F251" s="4"/>
      <c r="G251" s="4"/>
      <c r="H251" s="4"/>
      <c r="I251" s="4"/>
      <c r="J251" s="4"/>
      <c r="K251" s="4"/>
      <c r="L251" s="4"/>
      <c r="M251" s="4"/>
      <c r="N251" s="4"/>
    </row>
    <row r="252" ht="12.75" customHeight="1">
      <c r="A252" s="4"/>
      <c r="B252" s="4"/>
      <c r="C252" s="4"/>
      <c r="D252" s="4"/>
      <c r="E252" s="4"/>
      <c r="F252" s="4"/>
      <c r="G252" s="4"/>
      <c r="H252" s="4"/>
      <c r="I252" s="4"/>
      <c r="J252" s="4"/>
      <c r="K252" s="4"/>
      <c r="L252" s="4"/>
      <c r="M252" s="4"/>
      <c r="N252" s="4"/>
    </row>
    <row r="253" ht="12.75" customHeight="1">
      <c r="A253" s="4"/>
      <c r="B253" s="4"/>
      <c r="C253" s="4"/>
      <c r="D253" s="4"/>
      <c r="E253" s="4"/>
      <c r="F253" s="4"/>
      <c r="G253" s="4"/>
      <c r="H253" s="4"/>
      <c r="I253" s="4"/>
      <c r="J253" s="4"/>
      <c r="K253" s="4"/>
      <c r="L253" s="4"/>
      <c r="M253" s="4"/>
      <c r="N253" s="4"/>
    </row>
    <row r="254" ht="12.75" customHeight="1">
      <c r="A254" s="4"/>
      <c r="B254" s="4"/>
      <c r="C254" s="4"/>
      <c r="D254" s="4"/>
      <c r="E254" s="4"/>
      <c r="F254" s="4"/>
      <c r="G254" s="4"/>
      <c r="H254" s="4"/>
      <c r="I254" s="4"/>
      <c r="J254" s="4"/>
      <c r="K254" s="4"/>
      <c r="L254" s="4"/>
      <c r="M254" s="4"/>
      <c r="N254" s="4"/>
    </row>
    <row r="255" ht="12.75" customHeight="1">
      <c r="A255" s="4"/>
      <c r="B255" s="4"/>
      <c r="C255" s="4"/>
      <c r="D255" s="4"/>
      <c r="E255" s="4"/>
      <c r="F255" s="4"/>
      <c r="G255" s="4"/>
      <c r="H255" s="4"/>
      <c r="I255" s="4"/>
      <c r="J255" s="4"/>
      <c r="K255" s="4"/>
      <c r="L255" s="4"/>
      <c r="M255" s="4"/>
      <c r="N255" s="4"/>
    </row>
    <row r="256" ht="12.75" customHeight="1">
      <c r="A256" s="4"/>
      <c r="B256" s="4"/>
      <c r="C256" s="4"/>
      <c r="D256" s="4"/>
      <c r="E256" s="4"/>
      <c r="F256" s="4"/>
      <c r="G256" s="4"/>
      <c r="H256" s="4"/>
      <c r="I256" s="4"/>
      <c r="J256" s="4"/>
      <c r="K256" s="4"/>
      <c r="L256" s="4"/>
      <c r="M256" s="4"/>
      <c r="N256" s="4"/>
    </row>
    <row r="257" ht="12.75" customHeight="1">
      <c r="A257" s="4"/>
      <c r="B257" s="4"/>
      <c r="C257" s="4"/>
      <c r="D257" s="4"/>
      <c r="E257" s="4"/>
      <c r="F257" s="4"/>
      <c r="G257" s="4"/>
      <c r="H257" s="4"/>
      <c r="I257" s="4"/>
      <c r="J257" s="4"/>
      <c r="K257" s="4"/>
      <c r="L257" s="4"/>
      <c r="M257" s="4"/>
      <c r="N257" s="4"/>
    </row>
    <row r="258" ht="12.75" customHeight="1">
      <c r="A258" s="4"/>
      <c r="B258" s="4"/>
      <c r="C258" s="4"/>
      <c r="D258" s="4"/>
      <c r="E258" s="4"/>
      <c r="F258" s="4"/>
      <c r="G258" s="4"/>
      <c r="H258" s="4"/>
      <c r="I258" s="4"/>
      <c r="J258" s="4"/>
      <c r="K258" s="4"/>
      <c r="L258" s="4"/>
      <c r="M258" s="4"/>
      <c r="N258" s="4"/>
    </row>
    <row r="259" ht="12.75" customHeight="1">
      <c r="A259" s="4"/>
      <c r="B259" s="4"/>
      <c r="C259" s="4"/>
      <c r="D259" s="4"/>
      <c r="E259" s="4"/>
      <c r="F259" s="4"/>
      <c r="G259" s="4"/>
      <c r="H259" s="4"/>
      <c r="I259" s="4"/>
      <c r="J259" s="4"/>
      <c r="K259" s="4"/>
      <c r="L259" s="4"/>
      <c r="M259" s="4"/>
      <c r="N259" s="4"/>
    </row>
    <row r="260" ht="12.75" customHeight="1">
      <c r="A260" s="4"/>
      <c r="B260" s="4"/>
      <c r="C260" s="4"/>
      <c r="D260" s="4"/>
      <c r="E260" s="4"/>
      <c r="F260" s="4"/>
      <c r="G260" s="4"/>
      <c r="H260" s="4"/>
      <c r="I260" s="4"/>
      <c r="J260" s="4"/>
      <c r="K260" s="4"/>
      <c r="L260" s="4"/>
      <c r="M260" s="4"/>
      <c r="N260" s="4"/>
    </row>
    <row r="261" ht="12.75" customHeight="1">
      <c r="A261" s="4"/>
      <c r="B261" s="4"/>
      <c r="C261" s="4"/>
      <c r="D261" s="4"/>
      <c r="E261" s="4"/>
      <c r="F261" s="4"/>
      <c r="G261" s="4"/>
      <c r="H261" s="4"/>
      <c r="I261" s="4"/>
      <c r="J261" s="4"/>
      <c r="K261" s="4"/>
      <c r="L261" s="4"/>
      <c r="M261" s="4"/>
      <c r="N261" s="4"/>
    </row>
    <row r="262" ht="12.75" customHeight="1">
      <c r="A262" s="4"/>
      <c r="B262" s="4"/>
      <c r="C262" s="4"/>
      <c r="D262" s="4"/>
      <c r="E262" s="4"/>
      <c r="F262" s="4"/>
      <c r="G262" s="4"/>
      <c r="H262" s="4"/>
      <c r="I262" s="4"/>
      <c r="J262" s="4"/>
      <c r="K262" s="4"/>
      <c r="L262" s="4"/>
      <c r="M262" s="4"/>
      <c r="N262" s="4"/>
    </row>
    <row r="263" ht="12.75" customHeight="1">
      <c r="A263" s="4"/>
      <c r="B263" s="4"/>
      <c r="C263" s="4"/>
      <c r="D263" s="4"/>
      <c r="E263" s="4"/>
      <c r="F263" s="4"/>
      <c r="G263" s="4"/>
      <c r="H263" s="4"/>
      <c r="I263" s="4"/>
      <c r="J263" s="4"/>
      <c r="K263" s="4"/>
      <c r="L263" s="4"/>
      <c r="M263" s="4"/>
      <c r="N263" s="4"/>
    </row>
    <row r="264" ht="12.75" customHeight="1">
      <c r="A264" s="4"/>
      <c r="B264" s="4"/>
      <c r="C264" s="4"/>
      <c r="D264" s="4"/>
      <c r="E264" s="4"/>
      <c r="F264" s="4"/>
      <c r="G264" s="4"/>
      <c r="H264" s="4"/>
      <c r="I264" s="4"/>
      <c r="J264" s="4"/>
      <c r="K264" s="4"/>
      <c r="L264" s="4"/>
      <c r="M264" s="4"/>
      <c r="N264" s="4"/>
    </row>
    <row r="265" ht="12.75" customHeight="1">
      <c r="A265" s="4"/>
      <c r="B265" s="4"/>
      <c r="C265" s="4"/>
      <c r="D265" s="4"/>
      <c r="E265" s="4"/>
      <c r="F265" s="4"/>
      <c r="G265" s="4"/>
      <c r="H265" s="4"/>
      <c r="I265" s="4"/>
      <c r="J265" s="4"/>
      <c r="K265" s="4"/>
      <c r="L265" s="4"/>
      <c r="M265" s="4"/>
      <c r="N265" s="4"/>
    </row>
    <row r="266" ht="12.75" customHeight="1">
      <c r="A266" s="4"/>
      <c r="B266" s="4"/>
      <c r="C266" s="4"/>
      <c r="D266" s="4"/>
      <c r="E266" s="4"/>
      <c r="F266" s="4"/>
      <c r="G266" s="4"/>
      <c r="H266" s="4"/>
      <c r="I266" s="4"/>
      <c r="J266" s="4"/>
      <c r="K266" s="4"/>
      <c r="L266" s="4"/>
      <c r="M266" s="4"/>
      <c r="N266" s="4"/>
    </row>
    <row r="267" ht="12.75" customHeight="1">
      <c r="A267" s="4"/>
      <c r="B267" s="4"/>
      <c r="C267" s="4"/>
      <c r="D267" s="4"/>
      <c r="E267" s="4"/>
      <c r="F267" s="4"/>
      <c r="G267" s="4"/>
      <c r="H267" s="4"/>
      <c r="I267" s="4"/>
      <c r="J267" s="4"/>
      <c r="K267" s="4"/>
      <c r="L267" s="4"/>
      <c r="M267" s="4"/>
      <c r="N267" s="4"/>
    </row>
    <row r="268" ht="12.75" customHeight="1">
      <c r="A268" s="4"/>
      <c r="B268" s="4"/>
      <c r="C268" s="4"/>
      <c r="D268" s="4"/>
      <c r="E268" s="4"/>
      <c r="F268" s="4"/>
      <c r="G268" s="4"/>
      <c r="H268" s="4"/>
      <c r="I268" s="4"/>
      <c r="J268" s="4"/>
      <c r="K268" s="4"/>
      <c r="L268" s="4"/>
      <c r="M268" s="4"/>
      <c r="N268" s="4"/>
    </row>
    <row r="269" ht="12.75" customHeight="1">
      <c r="A269" s="4"/>
      <c r="B269" s="4"/>
      <c r="C269" s="4"/>
      <c r="D269" s="4"/>
      <c r="E269" s="4"/>
      <c r="F269" s="4"/>
      <c r="G269" s="4"/>
      <c r="H269" s="4"/>
      <c r="I269" s="4"/>
      <c r="J269" s="4"/>
      <c r="K269" s="4"/>
      <c r="L269" s="4"/>
      <c r="M269" s="4"/>
      <c r="N269" s="4"/>
    </row>
    <row r="270" ht="12.75" customHeight="1">
      <c r="A270" s="4"/>
      <c r="B270" s="4"/>
      <c r="C270" s="4"/>
      <c r="D270" s="4"/>
      <c r="E270" s="4"/>
      <c r="F270" s="4"/>
      <c r="G270" s="4"/>
      <c r="H270" s="4"/>
      <c r="I270" s="4"/>
      <c r="J270" s="4"/>
      <c r="K270" s="4"/>
      <c r="L270" s="4"/>
      <c r="M270" s="4"/>
      <c r="N270" s="4"/>
    </row>
    <row r="271" ht="12.75" customHeight="1">
      <c r="A271" s="4"/>
      <c r="B271" s="4"/>
      <c r="C271" s="4"/>
      <c r="D271" s="4"/>
      <c r="E271" s="4"/>
      <c r="F271" s="4"/>
      <c r="G271" s="4"/>
      <c r="H271" s="4"/>
      <c r="I271" s="4"/>
      <c r="J271" s="4"/>
      <c r="K271" s="4"/>
      <c r="L271" s="4"/>
      <c r="M271" s="4"/>
      <c r="N271" s="4"/>
    </row>
    <row r="272" ht="12.75" customHeight="1">
      <c r="A272" s="4"/>
      <c r="B272" s="4"/>
      <c r="C272" s="4"/>
      <c r="D272" s="4"/>
      <c r="E272" s="4"/>
      <c r="F272" s="4"/>
      <c r="G272" s="4"/>
      <c r="H272" s="4"/>
      <c r="I272" s="4"/>
      <c r="J272" s="4"/>
      <c r="K272" s="4"/>
      <c r="L272" s="4"/>
      <c r="M272" s="4"/>
      <c r="N272" s="4"/>
    </row>
    <row r="273" ht="12.75" customHeight="1">
      <c r="A273" s="4"/>
      <c r="B273" s="4"/>
      <c r="C273" s="4"/>
      <c r="D273" s="4"/>
      <c r="E273" s="4"/>
      <c r="F273" s="4"/>
      <c r="G273" s="4"/>
      <c r="H273" s="4"/>
      <c r="I273" s="4"/>
      <c r="J273" s="4"/>
      <c r="K273" s="4"/>
      <c r="L273" s="4"/>
      <c r="M273" s="4"/>
      <c r="N273" s="4"/>
    </row>
    <row r="274" ht="12.75" customHeight="1">
      <c r="A274" s="4"/>
      <c r="B274" s="4"/>
      <c r="C274" s="4"/>
      <c r="D274" s="4"/>
      <c r="E274" s="4"/>
      <c r="F274" s="4"/>
      <c r="G274" s="4"/>
      <c r="H274" s="4"/>
      <c r="I274" s="4"/>
      <c r="J274" s="4"/>
      <c r="K274" s="4"/>
      <c r="L274" s="4"/>
      <c r="M274" s="4"/>
      <c r="N274" s="4"/>
    </row>
    <row r="275" ht="12.75" customHeight="1">
      <c r="A275" s="4"/>
      <c r="B275" s="4"/>
      <c r="C275" s="4"/>
      <c r="D275" s="4"/>
      <c r="E275" s="4"/>
      <c r="F275" s="4"/>
      <c r="G275" s="4"/>
      <c r="H275" s="4"/>
      <c r="I275" s="4"/>
      <c r="J275" s="4"/>
      <c r="K275" s="4"/>
      <c r="L275" s="4"/>
      <c r="M275" s="4"/>
      <c r="N275" s="4"/>
    </row>
    <row r="276" ht="12.75" customHeight="1">
      <c r="A276" s="4"/>
      <c r="B276" s="4"/>
      <c r="C276" s="4"/>
      <c r="D276" s="4"/>
      <c r="E276" s="4"/>
      <c r="F276" s="4"/>
      <c r="G276" s="4"/>
      <c r="H276" s="4"/>
      <c r="I276" s="4"/>
      <c r="J276" s="4"/>
      <c r="K276" s="4"/>
      <c r="L276" s="4"/>
      <c r="M276" s="4"/>
      <c r="N276" s="4"/>
    </row>
    <row r="277" ht="12.75" customHeight="1">
      <c r="A277" s="4"/>
      <c r="B277" s="4"/>
      <c r="C277" s="4"/>
      <c r="D277" s="4"/>
      <c r="E277" s="4"/>
      <c r="F277" s="4"/>
      <c r="G277" s="4"/>
      <c r="H277" s="4"/>
      <c r="I277" s="4"/>
      <c r="J277" s="4"/>
      <c r="K277" s="4"/>
      <c r="L277" s="4"/>
      <c r="M277" s="4"/>
      <c r="N277" s="4"/>
    </row>
    <row r="278" ht="12.75" customHeight="1">
      <c r="A278" s="4"/>
      <c r="B278" s="4"/>
      <c r="C278" s="4"/>
      <c r="D278" s="4"/>
      <c r="E278" s="4"/>
      <c r="F278" s="4"/>
      <c r="G278" s="4"/>
      <c r="H278" s="4"/>
      <c r="I278" s="4"/>
      <c r="J278" s="4"/>
      <c r="K278" s="4"/>
      <c r="L278" s="4"/>
      <c r="M278" s="4"/>
      <c r="N278" s="4"/>
    </row>
    <row r="279" ht="12.75" customHeight="1">
      <c r="A279" s="4"/>
      <c r="B279" s="4"/>
      <c r="C279" s="4"/>
      <c r="D279" s="4"/>
      <c r="E279" s="4"/>
      <c r="F279" s="4"/>
      <c r="G279" s="4"/>
      <c r="H279" s="4"/>
      <c r="I279" s="4"/>
      <c r="J279" s="4"/>
      <c r="K279" s="4"/>
      <c r="L279" s="4"/>
      <c r="M279" s="4"/>
      <c r="N279" s="4"/>
    </row>
    <row r="280" ht="12.75" customHeight="1">
      <c r="A280" s="4"/>
      <c r="B280" s="4"/>
      <c r="C280" s="4"/>
      <c r="D280" s="4"/>
      <c r="E280" s="4"/>
      <c r="F280" s="4"/>
      <c r="G280" s="4"/>
      <c r="H280" s="4"/>
      <c r="I280" s="4"/>
      <c r="J280" s="4"/>
      <c r="K280" s="4"/>
      <c r="L280" s="4"/>
      <c r="M280" s="4"/>
      <c r="N280" s="4"/>
    </row>
    <row r="281" ht="12.75" customHeight="1">
      <c r="A281" s="4"/>
      <c r="B281" s="4"/>
      <c r="C281" s="4"/>
      <c r="D281" s="4"/>
      <c r="E281" s="4"/>
      <c r="F281" s="4"/>
      <c r="G281" s="4"/>
      <c r="H281" s="4"/>
      <c r="I281" s="4"/>
      <c r="J281" s="4"/>
      <c r="K281" s="4"/>
      <c r="L281" s="4"/>
      <c r="M281" s="4"/>
      <c r="N281" s="4"/>
    </row>
    <row r="282" ht="12.75" customHeight="1">
      <c r="A282" s="4"/>
      <c r="B282" s="4"/>
      <c r="C282" s="4"/>
      <c r="D282" s="4"/>
      <c r="E282" s="4"/>
      <c r="F282" s="4"/>
      <c r="G282" s="4"/>
      <c r="H282" s="4"/>
      <c r="I282" s="4"/>
      <c r="J282" s="4"/>
      <c r="K282" s="4"/>
      <c r="L282" s="4"/>
      <c r="M282" s="4"/>
      <c r="N282" s="4"/>
    </row>
    <row r="283" ht="12.75" customHeight="1">
      <c r="A283" s="4"/>
      <c r="B283" s="4"/>
      <c r="C283" s="4"/>
      <c r="D283" s="4"/>
      <c r="E283" s="4"/>
      <c r="F283" s="4"/>
      <c r="G283" s="4"/>
      <c r="H283" s="4"/>
      <c r="I283" s="4"/>
      <c r="J283" s="4"/>
      <c r="K283" s="4"/>
      <c r="L283" s="4"/>
      <c r="M283" s="4"/>
      <c r="N283" s="4"/>
    </row>
    <row r="284" ht="12.75" customHeight="1">
      <c r="A284" s="4"/>
      <c r="B284" s="4"/>
      <c r="C284" s="4"/>
      <c r="D284" s="4"/>
      <c r="E284" s="4"/>
      <c r="F284" s="4"/>
      <c r="G284" s="4"/>
      <c r="H284" s="4"/>
      <c r="I284" s="4"/>
      <c r="J284" s="4"/>
      <c r="K284" s="4"/>
      <c r="L284" s="4"/>
      <c r="M284" s="4"/>
      <c r="N284" s="4"/>
    </row>
    <row r="285" ht="12.75" customHeight="1">
      <c r="A285" s="4"/>
      <c r="B285" s="4"/>
      <c r="C285" s="4"/>
      <c r="D285" s="4"/>
      <c r="E285" s="4"/>
      <c r="F285" s="4"/>
      <c r="G285" s="4"/>
      <c r="H285" s="4"/>
      <c r="I285" s="4"/>
      <c r="J285" s="4"/>
      <c r="K285" s="4"/>
      <c r="L285" s="4"/>
      <c r="M285" s="4"/>
      <c r="N285" s="4"/>
    </row>
    <row r="286" ht="12.75" customHeight="1">
      <c r="A286" s="4"/>
      <c r="B286" s="4"/>
      <c r="C286" s="4"/>
      <c r="D286" s="4"/>
      <c r="E286" s="4"/>
      <c r="F286" s="4"/>
      <c r="G286" s="4"/>
      <c r="H286" s="4"/>
      <c r="I286" s="4"/>
      <c r="J286" s="4"/>
      <c r="K286" s="4"/>
      <c r="L286" s="4"/>
      <c r="M286" s="4"/>
      <c r="N286" s="4"/>
    </row>
    <row r="287" ht="12.75" customHeight="1">
      <c r="A287" s="4"/>
      <c r="B287" s="4"/>
      <c r="C287" s="4"/>
      <c r="D287" s="4"/>
      <c r="E287" s="4"/>
      <c r="F287" s="4"/>
      <c r="G287" s="4"/>
      <c r="H287" s="4"/>
      <c r="I287" s="4"/>
      <c r="J287" s="4"/>
      <c r="K287" s="4"/>
      <c r="L287" s="4"/>
      <c r="M287" s="4"/>
      <c r="N287" s="4"/>
    </row>
    <row r="288" ht="12.75" customHeight="1">
      <c r="A288" s="4"/>
      <c r="B288" s="4"/>
      <c r="C288" s="4"/>
      <c r="D288" s="4"/>
      <c r="E288" s="4"/>
      <c r="F288" s="4"/>
      <c r="G288" s="4"/>
      <c r="H288" s="4"/>
      <c r="I288" s="4"/>
      <c r="J288" s="4"/>
      <c r="K288" s="4"/>
      <c r="L288" s="4"/>
      <c r="M288" s="4"/>
      <c r="N288" s="4"/>
    </row>
    <row r="289" ht="12.75" customHeight="1">
      <c r="A289" s="4"/>
      <c r="B289" s="4"/>
      <c r="C289" s="4"/>
      <c r="D289" s="4"/>
      <c r="E289" s="4"/>
      <c r="F289" s="4"/>
      <c r="G289" s="4"/>
      <c r="H289" s="4"/>
      <c r="I289" s="4"/>
      <c r="J289" s="4"/>
      <c r="K289" s="4"/>
      <c r="L289" s="4"/>
      <c r="M289" s="4"/>
      <c r="N289" s="4"/>
    </row>
    <row r="290" ht="12.75" customHeight="1">
      <c r="A290" s="4"/>
      <c r="B290" s="4"/>
      <c r="C290" s="4"/>
      <c r="D290" s="4"/>
      <c r="E290" s="4"/>
      <c r="F290" s="4"/>
      <c r="G290" s="4"/>
      <c r="H290" s="4"/>
      <c r="I290" s="4"/>
      <c r="J290" s="4"/>
      <c r="K290" s="4"/>
      <c r="L290" s="4"/>
      <c r="M290" s="4"/>
      <c r="N290" s="4"/>
    </row>
    <row r="291" ht="12.75" customHeight="1">
      <c r="A291" s="4"/>
      <c r="B291" s="4"/>
      <c r="C291" s="4"/>
      <c r="D291" s="4"/>
      <c r="E291" s="4"/>
      <c r="F291" s="4"/>
      <c r="G291" s="4"/>
      <c r="H291" s="4"/>
      <c r="I291" s="4"/>
      <c r="J291" s="4"/>
      <c r="K291" s="4"/>
      <c r="L291" s="4"/>
      <c r="M291" s="4"/>
      <c r="N291" s="4"/>
    </row>
    <row r="292" ht="12.75" customHeight="1">
      <c r="A292" s="4"/>
      <c r="B292" s="4"/>
      <c r="C292" s="4"/>
      <c r="D292" s="4"/>
      <c r="E292" s="4"/>
      <c r="F292" s="4"/>
      <c r="G292" s="4"/>
      <c r="H292" s="4"/>
      <c r="I292" s="4"/>
      <c r="J292" s="4"/>
      <c r="K292" s="4"/>
      <c r="L292" s="4"/>
      <c r="M292" s="4"/>
      <c r="N292" s="4"/>
    </row>
    <row r="293" ht="12.75" customHeight="1">
      <c r="A293" s="4"/>
      <c r="B293" s="4"/>
      <c r="C293" s="4"/>
      <c r="D293" s="4"/>
      <c r="E293" s="4"/>
      <c r="F293" s="4"/>
      <c r="G293" s="4"/>
      <c r="H293" s="4"/>
      <c r="I293" s="4"/>
      <c r="J293" s="4"/>
      <c r="K293" s="4"/>
      <c r="L293" s="4"/>
      <c r="M293" s="4"/>
      <c r="N293" s="4"/>
    </row>
    <row r="294" ht="12.75" customHeight="1">
      <c r="A294" s="4"/>
      <c r="B294" s="4"/>
      <c r="C294" s="4"/>
      <c r="D294" s="4"/>
      <c r="E294" s="4"/>
      <c r="F294" s="4"/>
      <c r="G294" s="4"/>
      <c r="H294" s="4"/>
      <c r="I294" s="4"/>
      <c r="J294" s="4"/>
      <c r="K294" s="4"/>
      <c r="L294" s="4"/>
      <c r="M294" s="4"/>
      <c r="N294" s="4"/>
    </row>
    <row r="295" ht="12.75" customHeight="1">
      <c r="A295" s="4"/>
      <c r="B295" s="4"/>
      <c r="C295" s="4"/>
      <c r="D295" s="4"/>
      <c r="E295" s="4"/>
      <c r="F295" s="4"/>
      <c r="G295" s="4"/>
      <c r="H295" s="4"/>
      <c r="I295" s="4"/>
      <c r="J295" s="4"/>
      <c r="K295" s="4"/>
      <c r="L295" s="4"/>
      <c r="M295" s="4"/>
      <c r="N295" s="4"/>
    </row>
    <row r="296" ht="12.75" customHeight="1">
      <c r="A296" s="4"/>
      <c r="B296" s="4"/>
      <c r="C296" s="4"/>
      <c r="D296" s="4"/>
      <c r="E296" s="4"/>
      <c r="F296" s="4"/>
      <c r="G296" s="4"/>
      <c r="H296" s="4"/>
      <c r="I296" s="4"/>
      <c r="J296" s="4"/>
      <c r="K296" s="4"/>
      <c r="L296" s="4"/>
      <c r="M296" s="4"/>
      <c r="N296" s="4"/>
    </row>
    <row r="297" ht="12.75" customHeight="1">
      <c r="A297" s="4"/>
      <c r="B297" s="4"/>
      <c r="C297" s="4"/>
      <c r="D297" s="4"/>
      <c r="E297" s="4"/>
      <c r="F297" s="4"/>
      <c r="G297" s="4"/>
      <c r="H297" s="4"/>
      <c r="I297" s="4"/>
      <c r="J297" s="4"/>
      <c r="K297" s="4"/>
      <c r="L297" s="4"/>
      <c r="M297" s="4"/>
      <c r="N297" s="4"/>
    </row>
    <row r="298" ht="12.75" customHeight="1">
      <c r="A298" s="4"/>
      <c r="B298" s="4"/>
      <c r="C298" s="4"/>
      <c r="D298" s="4"/>
      <c r="E298" s="4"/>
      <c r="F298" s="4"/>
      <c r="G298" s="4"/>
      <c r="H298" s="4"/>
      <c r="I298" s="4"/>
      <c r="J298" s="4"/>
      <c r="K298" s="4"/>
      <c r="L298" s="4"/>
      <c r="M298" s="4"/>
      <c r="N298" s="4"/>
    </row>
    <row r="299" ht="12.75" customHeight="1">
      <c r="A299" s="4"/>
      <c r="B299" s="4"/>
      <c r="C299" s="4"/>
      <c r="D299" s="4"/>
      <c r="E299" s="4"/>
      <c r="F299" s="4"/>
      <c r="G299" s="4"/>
      <c r="H299" s="4"/>
      <c r="I299" s="4"/>
      <c r="J299" s="4"/>
      <c r="K299" s="4"/>
      <c r="L299" s="4"/>
      <c r="M299" s="4"/>
      <c r="N299" s="4"/>
    </row>
    <row r="300" ht="12.75" customHeight="1">
      <c r="A300" s="4"/>
      <c r="B300" s="4"/>
      <c r="C300" s="4"/>
      <c r="D300" s="4"/>
      <c r="E300" s="4"/>
      <c r="F300" s="4"/>
      <c r="G300" s="4"/>
      <c r="H300" s="4"/>
      <c r="I300" s="4"/>
      <c r="J300" s="4"/>
      <c r="K300" s="4"/>
      <c r="L300" s="4"/>
      <c r="M300" s="4"/>
      <c r="N300" s="4"/>
    </row>
    <row r="301" ht="12.75" customHeight="1">
      <c r="A301" s="4"/>
      <c r="B301" s="4"/>
      <c r="C301" s="4"/>
      <c r="D301" s="4"/>
      <c r="E301" s="4"/>
      <c r="F301" s="4"/>
      <c r="G301" s="4"/>
      <c r="H301" s="4"/>
      <c r="I301" s="4"/>
      <c r="J301" s="4"/>
      <c r="K301" s="4"/>
      <c r="L301" s="4"/>
      <c r="M301" s="4"/>
      <c r="N301" s="4"/>
    </row>
    <row r="302" ht="12.75" customHeight="1">
      <c r="A302" s="4"/>
      <c r="B302" s="4"/>
      <c r="C302" s="4"/>
      <c r="D302" s="4"/>
      <c r="E302" s="4"/>
      <c r="F302" s="4"/>
      <c r="G302" s="4"/>
      <c r="H302" s="4"/>
      <c r="I302" s="4"/>
      <c r="J302" s="4"/>
      <c r="K302" s="4"/>
      <c r="L302" s="4"/>
      <c r="M302" s="4"/>
      <c r="N302" s="4"/>
    </row>
    <row r="303" ht="12.75" customHeight="1">
      <c r="A303" s="4"/>
      <c r="B303" s="4"/>
      <c r="C303" s="4"/>
      <c r="D303" s="4"/>
      <c r="E303" s="4"/>
      <c r="F303" s="4"/>
      <c r="G303" s="4"/>
      <c r="H303" s="4"/>
      <c r="I303" s="4"/>
      <c r="J303" s="4"/>
      <c r="K303" s="4"/>
      <c r="L303" s="4"/>
      <c r="M303" s="4"/>
      <c r="N303" s="4"/>
    </row>
    <row r="304" ht="12.75" customHeight="1">
      <c r="A304" s="4"/>
      <c r="B304" s="4"/>
      <c r="C304" s="4"/>
      <c r="D304" s="4"/>
      <c r="E304" s="4"/>
      <c r="F304" s="4"/>
      <c r="G304" s="4"/>
      <c r="H304" s="4"/>
      <c r="I304" s="4"/>
      <c r="J304" s="4"/>
      <c r="K304" s="4"/>
      <c r="L304" s="4"/>
      <c r="M304" s="4"/>
      <c r="N304" s="4"/>
    </row>
    <row r="305" ht="12.75" customHeight="1">
      <c r="A305" s="4"/>
      <c r="B305" s="4"/>
      <c r="C305" s="4"/>
      <c r="D305" s="4"/>
      <c r="E305" s="4"/>
      <c r="F305" s="4"/>
      <c r="G305" s="4"/>
      <c r="H305" s="4"/>
      <c r="I305" s="4"/>
      <c r="J305" s="4"/>
      <c r="K305" s="4"/>
      <c r="L305" s="4"/>
      <c r="M305" s="4"/>
      <c r="N305" s="4"/>
    </row>
    <row r="306" ht="12.75" customHeight="1">
      <c r="A306" s="4"/>
      <c r="B306" s="4"/>
      <c r="C306" s="4"/>
      <c r="D306" s="4"/>
      <c r="E306" s="4"/>
      <c r="F306" s="4"/>
      <c r="G306" s="4"/>
      <c r="H306" s="4"/>
      <c r="I306" s="4"/>
      <c r="J306" s="4"/>
      <c r="K306" s="4"/>
      <c r="L306" s="4"/>
      <c r="M306" s="4"/>
      <c r="N306" s="4"/>
    </row>
    <row r="307" ht="12.75" customHeight="1">
      <c r="A307" s="4"/>
      <c r="B307" s="4"/>
      <c r="C307" s="4"/>
      <c r="D307" s="4"/>
      <c r="E307" s="4"/>
      <c r="F307" s="4"/>
      <c r="G307" s="4"/>
      <c r="H307" s="4"/>
      <c r="I307" s="4"/>
      <c r="J307" s="4"/>
      <c r="K307" s="4"/>
      <c r="L307" s="4"/>
      <c r="M307" s="4"/>
      <c r="N307" s="4"/>
    </row>
    <row r="308" ht="12.75" customHeight="1">
      <c r="A308" s="4"/>
      <c r="B308" s="4"/>
      <c r="C308" s="4"/>
      <c r="D308" s="4"/>
      <c r="E308" s="4"/>
      <c r="F308" s="4"/>
      <c r="G308" s="4"/>
      <c r="H308" s="4"/>
      <c r="I308" s="4"/>
      <c r="J308" s="4"/>
      <c r="K308" s="4"/>
      <c r="L308" s="4"/>
      <c r="M308" s="4"/>
      <c r="N308" s="4"/>
    </row>
    <row r="309" ht="12.75" customHeight="1">
      <c r="A309" s="4"/>
      <c r="B309" s="4"/>
      <c r="C309" s="4"/>
      <c r="D309" s="4"/>
      <c r="E309" s="4"/>
      <c r="F309" s="4"/>
      <c r="G309" s="4"/>
      <c r="H309" s="4"/>
      <c r="I309" s="4"/>
      <c r="J309" s="4"/>
      <c r="K309" s="4"/>
      <c r="L309" s="4"/>
      <c r="M309" s="4"/>
      <c r="N309" s="4"/>
    </row>
    <row r="310" ht="12.75" customHeight="1">
      <c r="A310" s="4"/>
      <c r="B310" s="4"/>
      <c r="C310" s="4"/>
      <c r="D310" s="4"/>
      <c r="E310" s="4"/>
      <c r="F310" s="4"/>
      <c r="G310" s="4"/>
      <c r="H310" s="4"/>
      <c r="I310" s="4"/>
      <c r="J310" s="4"/>
      <c r="K310" s="4"/>
      <c r="L310" s="4"/>
      <c r="M310" s="4"/>
      <c r="N310" s="4"/>
    </row>
    <row r="311" ht="12.75" customHeight="1">
      <c r="A311" s="4"/>
      <c r="B311" s="4"/>
      <c r="C311" s="4"/>
      <c r="D311" s="4"/>
      <c r="E311" s="4"/>
      <c r="F311" s="4"/>
      <c r="G311" s="4"/>
      <c r="H311" s="4"/>
      <c r="I311" s="4"/>
      <c r="J311" s="4"/>
      <c r="K311" s="4"/>
      <c r="L311" s="4"/>
      <c r="M311" s="4"/>
      <c r="N311" s="4"/>
    </row>
    <row r="312" ht="12.75" customHeight="1">
      <c r="A312" s="4"/>
      <c r="B312" s="4"/>
      <c r="C312" s="4"/>
      <c r="D312" s="4"/>
      <c r="E312" s="4"/>
      <c r="F312" s="4"/>
      <c r="G312" s="4"/>
      <c r="H312" s="4"/>
      <c r="I312" s="4"/>
      <c r="J312" s="4"/>
      <c r="K312" s="4"/>
      <c r="L312" s="4"/>
      <c r="M312" s="4"/>
      <c r="N312" s="4"/>
    </row>
    <row r="313" ht="12.75" customHeight="1">
      <c r="A313" s="4"/>
      <c r="B313" s="4"/>
      <c r="C313" s="4"/>
      <c r="D313" s="4"/>
      <c r="E313" s="4"/>
      <c r="F313" s="4"/>
      <c r="G313" s="4"/>
      <c r="H313" s="4"/>
      <c r="I313" s="4"/>
      <c r="J313" s="4"/>
      <c r="K313" s="4"/>
      <c r="L313" s="4"/>
      <c r="M313" s="4"/>
      <c r="N313" s="4"/>
    </row>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2.0" topLeftCell="F13" activePane="bottomRight" state="frozen"/>
      <selection activeCell="F1" sqref="F1" pane="topRight"/>
      <selection activeCell="A13" sqref="A13" pane="bottomLeft"/>
      <selection activeCell="F13" sqref="F13" pane="bottomRight"/>
    </sheetView>
  </sheetViews>
  <sheetFormatPr customHeight="1" defaultColWidth="12.63" defaultRowHeight="15.0" outlineLevelRow="1"/>
  <cols>
    <col customWidth="1" min="1" max="1" width="13.88"/>
    <col customWidth="1" min="2" max="2" width="12.5"/>
    <col customWidth="1" min="3" max="3" width="10.5"/>
    <col customWidth="1" min="4" max="4" width="12.13"/>
    <col customWidth="1" min="5" max="5" width="3.38"/>
    <col customWidth="1" min="6" max="15" width="10.63"/>
    <col customWidth="1" min="16" max="22" width="10.38"/>
    <col customWidth="1" min="23" max="35" width="9.13"/>
  </cols>
  <sheetData>
    <row r="1" ht="11.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row>
    <row r="2" ht="15.0" customHeight="1">
      <c r="A2" s="115" t="s">
        <v>200</v>
      </c>
      <c r="B2" s="115"/>
      <c r="C2" s="115"/>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c r="A3" s="161"/>
      <c r="B3" s="161"/>
      <c r="C3" s="161"/>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row>
    <row r="4" ht="12.75" customHeight="1">
      <c r="A4" s="153" t="s">
        <v>201</v>
      </c>
      <c r="B4" s="161"/>
      <c r="C4" s="161"/>
      <c r="D4" s="4"/>
      <c r="E4" s="4"/>
      <c r="F4" s="20" t="str">
        <f>Bal_Sheet!A24</f>
        <v>Gross PP&amp;E</v>
      </c>
      <c r="G4" s="21"/>
      <c r="H4" s="162">
        <f>Bal_Sheet!C24</f>
        <v>500000</v>
      </c>
      <c r="I4" s="4"/>
      <c r="J4" s="163" t="s">
        <v>202</v>
      </c>
      <c r="K4" s="164"/>
      <c r="L4" s="165"/>
      <c r="M4" s="4"/>
      <c r="N4" s="163" t="s">
        <v>203</v>
      </c>
      <c r="O4" s="164"/>
      <c r="P4" s="165"/>
      <c r="Q4" s="4"/>
      <c r="R4" s="4"/>
      <c r="S4" s="4"/>
      <c r="T4" s="4"/>
      <c r="U4" s="4"/>
      <c r="V4" s="4"/>
      <c r="W4" s="4"/>
      <c r="X4" s="4"/>
      <c r="Y4" s="4"/>
      <c r="Z4" s="4"/>
      <c r="AA4" s="4"/>
      <c r="AB4" s="4"/>
      <c r="AC4" s="4"/>
      <c r="AD4" s="4"/>
      <c r="AE4" s="4"/>
      <c r="AF4" s="4"/>
      <c r="AG4" s="4"/>
      <c r="AH4" s="4"/>
      <c r="AI4" s="4"/>
    </row>
    <row r="5" ht="12.75" customHeight="1">
      <c r="A5" s="161"/>
      <c r="B5" s="161"/>
      <c r="C5" s="161"/>
      <c r="D5" s="4"/>
      <c r="E5" s="4"/>
      <c r="F5" s="20" t="s">
        <v>204</v>
      </c>
      <c r="G5" s="21"/>
      <c r="H5" s="162">
        <f>Input!C49</f>
        <v>2450</v>
      </c>
      <c r="I5" s="4"/>
      <c r="J5" s="166">
        <v>0.0</v>
      </c>
      <c r="K5" s="26" t="s">
        <v>205</v>
      </c>
      <c r="L5" s="18"/>
      <c r="M5" s="4"/>
      <c r="N5" s="167" t="s">
        <v>206</v>
      </c>
      <c r="O5" s="164"/>
      <c r="P5" s="165"/>
      <c r="Q5" s="4"/>
      <c r="R5" s="4"/>
      <c r="S5" s="4"/>
      <c r="T5" s="4"/>
      <c r="U5" s="4"/>
      <c r="V5" s="4"/>
      <c r="W5" s="4"/>
      <c r="X5" s="4"/>
      <c r="Y5" s="4"/>
      <c r="Z5" s="4"/>
      <c r="AA5" s="4"/>
      <c r="AB5" s="4"/>
      <c r="AC5" s="4"/>
      <c r="AD5" s="4"/>
      <c r="AE5" s="4"/>
      <c r="AF5" s="4"/>
      <c r="AG5" s="4"/>
      <c r="AH5" s="4"/>
      <c r="AI5" s="4"/>
    </row>
    <row r="6" ht="12.75" customHeight="1">
      <c r="A6" s="161"/>
      <c r="B6" s="161"/>
      <c r="C6" s="161"/>
      <c r="D6" s="4"/>
      <c r="E6" s="4"/>
      <c r="F6" s="20" t="s">
        <v>207</v>
      </c>
      <c r="G6" s="21"/>
      <c r="H6" s="162">
        <f>SUM(H4:H5)</f>
        <v>502450</v>
      </c>
      <c r="I6" s="4"/>
      <c r="J6" s="4"/>
      <c r="K6" s="4"/>
      <c r="L6" s="4"/>
      <c r="M6" s="4"/>
      <c r="N6" s="166">
        <v>1.0</v>
      </c>
      <c r="O6" s="168" t="str">
        <f>IF(N6=1,"Tax Deductible","Not Deductible")</f>
        <v>Tax Deductible</v>
      </c>
      <c r="P6" s="165"/>
      <c r="Q6" s="4"/>
      <c r="R6" s="4"/>
      <c r="S6" s="4"/>
      <c r="T6" s="4"/>
      <c r="U6" s="4"/>
      <c r="V6" s="4"/>
      <c r="W6" s="4"/>
      <c r="X6" s="4"/>
      <c r="Y6" s="4"/>
      <c r="Z6" s="4"/>
      <c r="AA6" s="4"/>
      <c r="AB6" s="4"/>
      <c r="AC6" s="4"/>
      <c r="AD6" s="4"/>
      <c r="AE6" s="4"/>
      <c r="AF6" s="4"/>
      <c r="AG6" s="4"/>
      <c r="AH6" s="4"/>
      <c r="AI6" s="4"/>
    </row>
    <row r="7" ht="12.75" customHeight="1">
      <c r="A7" s="161"/>
      <c r="B7" s="161"/>
      <c r="C7" s="161"/>
      <c r="D7" s="4"/>
      <c r="E7" s="4"/>
      <c r="F7" s="20" t="s">
        <v>139</v>
      </c>
      <c r="G7" s="21"/>
      <c r="H7" s="169">
        <f>Bal_Sheet!C27</f>
        <v>25000</v>
      </c>
      <c r="I7" s="4"/>
      <c r="J7" s="163" t="s">
        <v>208</v>
      </c>
      <c r="K7" s="164"/>
      <c r="L7" s="165"/>
      <c r="M7" s="4"/>
      <c r="N7" s="4"/>
      <c r="O7" s="4"/>
      <c r="P7" s="4"/>
      <c r="Q7" s="4"/>
      <c r="R7" s="4"/>
      <c r="S7" s="4"/>
      <c r="T7" s="4"/>
      <c r="U7" s="4"/>
      <c r="V7" s="4"/>
      <c r="W7" s="4"/>
      <c r="X7" s="4"/>
      <c r="Y7" s="4"/>
      <c r="Z7" s="4"/>
      <c r="AA7" s="4"/>
      <c r="AB7" s="4"/>
      <c r="AC7" s="4"/>
      <c r="AD7" s="4"/>
      <c r="AE7" s="4"/>
      <c r="AF7" s="4"/>
      <c r="AG7" s="4"/>
      <c r="AH7" s="4"/>
      <c r="AI7" s="4"/>
    </row>
    <row r="8" ht="12.75" customHeight="1">
      <c r="A8" s="161"/>
      <c r="B8" s="161"/>
      <c r="C8" s="161"/>
      <c r="D8" s="4"/>
      <c r="E8" s="4"/>
      <c r="F8" s="20" t="s">
        <v>140</v>
      </c>
      <c r="G8" s="21"/>
      <c r="H8" s="162">
        <f>H6-H7</f>
        <v>477450</v>
      </c>
      <c r="I8" s="4"/>
      <c r="J8" s="166">
        <v>1.0</v>
      </c>
      <c r="K8" s="26" t="s">
        <v>209</v>
      </c>
      <c r="L8" s="18"/>
      <c r="M8" s="4"/>
      <c r="N8" s="4"/>
      <c r="O8" s="4"/>
      <c r="P8" s="4"/>
      <c r="Q8" s="4"/>
      <c r="R8" s="4"/>
      <c r="S8" s="4"/>
      <c r="T8" s="4"/>
      <c r="U8" s="4"/>
      <c r="V8" s="4"/>
      <c r="W8" s="4"/>
      <c r="X8" s="4"/>
      <c r="Y8" s="4"/>
      <c r="Z8" s="4"/>
      <c r="AA8" s="4"/>
      <c r="AB8" s="4"/>
      <c r="AC8" s="4"/>
      <c r="AD8" s="4"/>
      <c r="AE8" s="4"/>
      <c r="AF8" s="4"/>
      <c r="AG8" s="4"/>
      <c r="AH8" s="4"/>
      <c r="AI8" s="4"/>
    </row>
    <row r="9" ht="12.75" customHeight="1">
      <c r="A9" s="161"/>
      <c r="B9" s="161"/>
      <c r="C9" s="161"/>
      <c r="D9" s="4"/>
      <c r="E9" s="4"/>
      <c r="F9" s="4"/>
      <c r="G9" s="4"/>
      <c r="H9" s="41"/>
      <c r="I9" s="4"/>
      <c r="J9" s="170"/>
      <c r="K9" s="4"/>
      <c r="L9" s="4"/>
      <c r="M9" s="4"/>
      <c r="N9" s="4"/>
      <c r="O9" s="4"/>
      <c r="P9" s="4"/>
      <c r="Q9" s="4"/>
      <c r="R9" s="4"/>
      <c r="S9" s="4"/>
      <c r="T9" s="4"/>
      <c r="U9" s="4"/>
      <c r="V9" s="4"/>
      <c r="W9" s="4"/>
      <c r="X9" s="4"/>
      <c r="Y9" s="4"/>
      <c r="Z9" s="4"/>
      <c r="AA9" s="4"/>
      <c r="AB9" s="4"/>
      <c r="AC9" s="4"/>
      <c r="AD9" s="4"/>
      <c r="AE9" s="4"/>
      <c r="AF9" s="4"/>
      <c r="AG9" s="4"/>
      <c r="AH9" s="4"/>
      <c r="AI9" s="4"/>
    </row>
    <row r="10" ht="12.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11.25" customHeight="1">
      <c r="A11" s="4" t="s">
        <v>105</v>
      </c>
      <c r="B11" s="4"/>
      <c r="C11" s="4"/>
      <c r="D11" s="4"/>
      <c r="E11" s="171"/>
      <c r="F11" s="172">
        <v>2016.0</v>
      </c>
      <c r="G11" s="173">
        <f t="shared" ref="G11:O11" si="1">F11+1</f>
        <v>2017</v>
      </c>
      <c r="H11" s="173">
        <f t="shared" si="1"/>
        <v>2018</v>
      </c>
      <c r="I11" s="173">
        <f t="shared" si="1"/>
        <v>2019</v>
      </c>
      <c r="J11" s="173">
        <f t="shared" si="1"/>
        <v>2020</v>
      </c>
      <c r="K11" s="173">
        <f t="shared" si="1"/>
        <v>2021</v>
      </c>
      <c r="L11" s="173">
        <f t="shared" si="1"/>
        <v>2022</v>
      </c>
      <c r="M11" s="173">
        <f t="shared" si="1"/>
        <v>2023</v>
      </c>
      <c r="N11" s="173">
        <f t="shared" si="1"/>
        <v>2024</v>
      </c>
      <c r="O11" s="173">
        <f t="shared" si="1"/>
        <v>2025</v>
      </c>
      <c r="P11" s="4"/>
      <c r="Q11" s="4"/>
      <c r="R11" s="4"/>
      <c r="S11" s="4"/>
      <c r="T11" s="4"/>
      <c r="U11" s="4"/>
      <c r="V11" s="4"/>
      <c r="W11" s="4"/>
      <c r="X11" s="4"/>
      <c r="Y11" s="4"/>
      <c r="Z11" s="4"/>
      <c r="AA11" s="4"/>
      <c r="AB11" s="4"/>
      <c r="AC11" s="4"/>
      <c r="AD11" s="4"/>
      <c r="AE11" s="4"/>
      <c r="AF11" s="4"/>
      <c r="AG11" s="4"/>
      <c r="AH11" s="4"/>
      <c r="AI11" s="4"/>
    </row>
    <row r="12" ht="11.25" customHeight="1">
      <c r="A12" s="4" t="s">
        <v>106</v>
      </c>
      <c r="B12" s="4"/>
      <c r="C12" s="4"/>
      <c r="D12" s="4"/>
      <c r="E12" s="171"/>
      <c r="F12" s="174">
        <v>1.0</v>
      </c>
      <c r="G12" s="175">
        <f t="shared" ref="G12:O12" si="2">F12+1</f>
        <v>2</v>
      </c>
      <c r="H12" s="175">
        <f t="shared" si="2"/>
        <v>3</v>
      </c>
      <c r="I12" s="175">
        <f t="shared" si="2"/>
        <v>4</v>
      </c>
      <c r="J12" s="175">
        <f t="shared" si="2"/>
        <v>5</v>
      </c>
      <c r="K12" s="175">
        <f t="shared" si="2"/>
        <v>6</v>
      </c>
      <c r="L12" s="175">
        <f t="shared" si="2"/>
        <v>7</v>
      </c>
      <c r="M12" s="175">
        <f t="shared" si="2"/>
        <v>8</v>
      </c>
      <c r="N12" s="175">
        <f t="shared" si="2"/>
        <v>9</v>
      </c>
      <c r="O12" s="175">
        <f t="shared" si="2"/>
        <v>10</v>
      </c>
      <c r="P12" s="170"/>
      <c r="Q12" s="170"/>
      <c r="R12" s="170"/>
      <c r="S12" s="170"/>
      <c r="T12" s="170"/>
      <c r="U12" s="170"/>
      <c r="V12" s="170"/>
      <c r="W12" s="170"/>
      <c r="X12" s="170"/>
      <c r="Y12" s="170"/>
      <c r="Z12" s="170"/>
      <c r="AA12" s="170"/>
      <c r="AB12" s="170"/>
      <c r="AC12" s="170"/>
      <c r="AD12" s="170"/>
      <c r="AE12" s="170"/>
      <c r="AF12" s="170"/>
      <c r="AG12" s="170"/>
      <c r="AH12" s="170"/>
      <c r="AI12" s="170"/>
    </row>
    <row r="13" ht="11.25" customHeight="1">
      <c r="A13" s="4"/>
      <c r="B13" s="4"/>
      <c r="C13" s="4"/>
      <c r="D13" s="4"/>
      <c r="E13" s="4"/>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row>
    <row r="14" ht="12.0" customHeight="1">
      <c r="A14" s="149" t="s">
        <v>210</v>
      </c>
      <c r="B14" s="149"/>
      <c r="C14" s="149"/>
      <c r="D14" s="4"/>
      <c r="E14" s="4"/>
      <c r="F14" s="145"/>
      <c r="G14" s="145"/>
      <c r="H14" s="145"/>
      <c r="I14" s="145"/>
      <c r="J14" s="145"/>
      <c r="K14" s="145"/>
      <c r="L14" s="145"/>
      <c r="M14" s="145"/>
      <c r="N14" s="145"/>
      <c r="O14" s="145"/>
      <c r="P14" s="145"/>
      <c r="Q14" s="145"/>
      <c r="R14" s="170"/>
      <c r="S14" s="170"/>
      <c r="T14" s="170"/>
      <c r="U14" s="170"/>
      <c r="V14" s="170"/>
      <c r="W14" s="170"/>
      <c r="X14" s="170"/>
      <c r="Y14" s="170"/>
      <c r="Z14" s="170"/>
      <c r="AA14" s="170"/>
      <c r="AB14" s="170"/>
      <c r="AC14" s="170"/>
      <c r="AD14" s="170"/>
      <c r="AE14" s="170"/>
      <c r="AF14" s="170"/>
      <c r="AG14" s="170"/>
      <c r="AH14" s="170"/>
      <c r="AI14" s="170"/>
    </row>
    <row r="15" ht="11.25" customHeight="1">
      <c r="A15" s="150"/>
      <c r="B15" s="176" t="s">
        <v>211</v>
      </c>
      <c r="C15" s="177" t="s">
        <v>212</v>
      </c>
      <c r="D15" s="176" t="s">
        <v>213</v>
      </c>
      <c r="E15" s="4"/>
      <c r="F15" s="145"/>
      <c r="G15" s="145"/>
      <c r="H15" s="145"/>
      <c r="I15" s="145"/>
      <c r="J15" s="145"/>
      <c r="K15" s="145"/>
      <c r="L15" s="145"/>
      <c r="M15" s="145"/>
      <c r="N15" s="145"/>
      <c r="O15" s="145"/>
      <c r="P15" s="145"/>
      <c r="Q15" s="145"/>
      <c r="R15" s="170"/>
      <c r="S15" s="170"/>
      <c r="T15" s="170"/>
      <c r="U15" s="170"/>
      <c r="V15" s="170"/>
      <c r="W15" s="170"/>
      <c r="X15" s="170"/>
      <c r="Y15" s="170"/>
      <c r="Z15" s="170"/>
      <c r="AA15" s="170"/>
      <c r="AB15" s="170"/>
      <c r="AC15" s="170"/>
      <c r="AD15" s="170"/>
      <c r="AE15" s="170"/>
      <c r="AF15" s="170"/>
      <c r="AG15" s="170"/>
      <c r="AH15" s="170"/>
      <c r="AI15" s="170"/>
    </row>
    <row r="16" ht="11.25" customHeight="1">
      <c r="A16" s="150" t="s">
        <v>214</v>
      </c>
      <c r="B16" s="178">
        <v>90000.0</v>
      </c>
      <c r="C16" s="179">
        <v>12.0</v>
      </c>
      <c r="D16" s="178">
        <v>900.0</v>
      </c>
      <c r="E16" s="58"/>
      <c r="F16" s="58">
        <f t="shared" ref="F16:O16" si="3">IF(F$12&gt;$C16,0,IF($J$5=1,SYD($B16,$D16,$C16,F$12),SLN($B16,$D16,$C16)))</f>
        <v>7425</v>
      </c>
      <c r="G16" s="58">
        <f t="shared" si="3"/>
        <v>7425</v>
      </c>
      <c r="H16" s="58">
        <f t="shared" si="3"/>
        <v>7425</v>
      </c>
      <c r="I16" s="58">
        <f t="shared" si="3"/>
        <v>7425</v>
      </c>
      <c r="J16" s="58">
        <f t="shared" si="3"/>
        <v>7425</v>
      </c>
      <c r="K16" s="58">
        <f t="shared" si="3"/>
        <v>7425</v>
      </c>
      <c r="L16" s="58">
        <f t="shared" si="3"/>
        <v>7425</v>
      </c>
      <c r="M16" s="58">
        <f t="shared" si="3"/>
        <v>7425</v>
      </c>
      <c r="N16" s="58">
        <f t="shared" si="3"/>
        <v>7425</v>
      </c>
      <c r="O16" s="58">
        <f t="shared" si="3"/>
        <v>7425</v>
      </c>
      <c r="P16" s="58"/>
      <c r="Q16" s="58"/>
      <c r="R16" s="4"/>
      <c r="S16" s="4"/>
      <c r="T16" s="4"/>
      <c r="U16" s="4"/>
      <c r="V16" s="4"/>
      <c r="W16" s="4"/>
      <c r="X16" s="4"/>
      <c r="Y16" s="4"/>
      <c r="Z16" s="4"/>
      <c r="AA16" s="4"/>
      <c r="AB16" s="4"/>
      <c r="AC16" s="4"/>
      <c r="AD16" s="4"/>
      <c r="AE16" s="4"/>
      <c r="AF16" s="4"/>
      <c r="AG16" s="4"/>
      <c r="AH16" s="4"/>
      <c r="AI16" s="4"/>
    </row>
    <row r="17" ht="11.25" customHeight="1">
      <c r="A17" s="150" t="s">
        <v>215</v>
      </c>
      <c r="B17" s="179">
        <v>85000.0</v>
      </c>
      <c r="C17" s="179">
        <v>10.0</v>
      </c>
      <c r="D17" s="179">
        <v>800.0</v>
      </c>
      <c r="E17" s="58"/>
      <c r="F17" s="58">
        <f t="shared" ref="F17:O17" si="4">IF(F$12&gt;$C17,0,IF($J$5=1,SYD($B17,$D17,$C17,F$12),SLN($B17,$D17,$C17)))</f>
        <v>8420</v>
      </c>
      <c r="G17" s="58">
        <f t="shared" si="4"/>
        <v>8420</v>
      </c>
      <c r="H17" s="58">
        <f t="shared" si="4"/>
        <v>8420</v>
      </c>
      <c r="I17" s="58">
        <f t="shared" si="4"/>
        <v>8420</v>
      </c>
      <c r="J17" s="58">
        <f t="shared" si="4"/>
        <v>8420</v>
      </c>
      <c r="K17" s="58">
        <f t="shared" si="4"/>
        <v>8420</v>
      </c>
      <c r="L17" s="58">
        <f t="shared" si="4"/>
        <v>8420</v>
      </c>
      <c r="M17" s="58">
        <f t="shared" si="4"/>
        <v>8420</v>
      </c>
      <c r="N17" s="58">
        <f t="shared" si="4"/>
        <v>8420</v>
      </c>
      <c r="O17" s="58">
        <f t="shared" si="4"/>
        <v>8420</v>
      </c>
      <c r="P17" s="58"/>
      <c r="Q17" s="58"/>
      <c r="R17" s="4"/>
      <c r="S17" s="4"/>
      <c r="T17" s="4"/>
      <c r="U17" s="4"/>
      <c r="V17" s="4"/>
      <c r="W17" s="4"/>
      <c r="X17" s="4"/>
      <c r="Y17" s="4"/>
      <c r="Z17" s="4"/>
      <c r="AA17" s="4"/>
      <c r="AB17" s="4"/>
      <c r="AC17" s="4"/>
      <c r="AD17" s="4"/>
      <c r="AE17" s="4"/>
      <c r="AF17" s="4"/>
      <c r="AG17" s="4"/>
      <c r="AH17" s="4"/>
      <c r="AI17" s="4"/>
    </row>
    <row r="18" ht="11.25" customHeight="1">
      <c r="A18" s="150" t="s">
        <v>216</v>
      </c>
      <c r="B18" s="179">
        <v>60000.0</v>
      </c>
      <c r="C18" s="179">
        <v>8.0</v>
      </c>
      <c r="D18" s="179">
        <v>600.0</v>
      </c>
      <c r="E18" s="58"/>
      <c r="F18" s="58">
        <f t="shared" ref="F18:O18" si="5">IF(F$12&gt;$C18,0,IF($J$5=1,SYD($B18,$D18,$C18,F$12),SLN($B18,$D18,$C18)))</f>
        <v>7425</v>
      </c>
      <c r="G18" s="58">
        <f t="shared" si="5"/>
        <v>7425</v>
      </c>
      <c r="H18" s="58">
        <f t="shared" si="5"/>
        <v>7425</v>
      </c>
      <c r="I18" s="58">
        <f t="shared" si="5"/>
        <v>7425</v>
      </c>
      <c r="J18" s="58">
        <f t="shared" si="5"/>
        <v>7425</v>
      </c>
      <c r="K18" s="58">
        <f t="shared" si="5"/>
        <v>7425</v>
      </c>
      <c r="L18" s="58">
        <f t="shared" si="5"/>
        <v>7425</v>
      </c>
      <c r="M18" s="58">
        <f t="shared" si="5"/>
        <v>7425</v>
      </c>
      <c r="N18" s="58">
        <f t="shared" si="5"/>
        <v>0</v>
      </c>
      <c r="O18" s="58">
        <f t="shared" si="5"/>
        <v>0</v>
      </c>
      <c r="P18" s="58"/>
      <c r="Q18" s="58"/>
      <c r="R18" s="4"/>
      <c r="S18" s="4"/>
      <c r="T18" s="4"/>
      <c r="U18" s="4"/>
      <c r="V18" s="4"/>
      <c r="W18" s="4"/>
      <c r="X18" s="4"/>
      <c r="Y18" s="4"/>
      <c r="Z18" s="4"/>
      <c r="AA18" s="4"/>
      <c r="AB18" s="4"/>
      <c r="AC18" s="4"/>
      <c r="AD18" s="4"/>
      <c r="AE18" s="4"/>
      <c r="AF18" s="4"/>
      <c r="AG18" s="4"/>
      <c r="AH18" s="4"/>
      <c r="AI18" s="4"/>
    </row>
    <row r="19" ht="11.25" customHeight="1">
      <c r="A19" s="150" t="s">
        <v>217</v>
      </c>
      <c r="B19" s="145">
        <f>H8-SUM(B16:B18)</f>
        <v>242450</v>
      </c>
      <c r="C19" s="179">
        <v>6.0</v>
      </c>
      <c r="D19" s="179">
        <v>600.0</v>
      </c>
      <c r="E19" s="58"/>
      <c r="F19" s="58">
        <f t="shared" ref="F19:O19" si="6">IF(F$12&gt;$C19,0,IF($J$5=1,SYD($B19,$D19,$C19,F$12),SLN($B19,$D19,$C19)))</f>
        <v>40308.33333</v>
      </c>
      <c r="G19" s="58">
        <f t="shared" si="6"/>
        <v>40308.33333</v>
      </c>
      <c r="H19" s="58">
        <f t="shared" si="6"/>
        <v>40308.33333</v>
      </c>
      <c r="I19" s="58">
        <f t="shared" si="6"/>
        <v>40308.33333</v>
      </c>
      <c r="J19" s="58">
        <f t="shared" si="6"/>
        <v>40308.33333</v>
      </c>
      <c r="K19" s="58">
        <f t="shared" si="6"/>
        <v>40308.33333</v>
      </c>
      <c r="L19" s="58">
        <f t="shared" si="6"/>
        <v>0</v>
      </c>
      <c r="M19" s="58">
        <f t="shared" si="6"/>
        <v>0</v>
      </c>
      <c r="N19" s="58">
        <f t="shared" si="6"/>
        <v>0</v>
      </c>
      <c r="O19" s="58">
        <f t="shared" si="6"/>
        <v>0</v>
      </c>
      <c r="P19" s="58"/>
      <c r="Q19" s="58"/>
      <c r="R19" s="4"/>
      <c r="S19" s="4"/>
      <c r="T19" s="4"/>
      <c r="U19" s="4"/>
      <c r="V19" s="4"/>
      <c r="W19" s="4"/>
      <c r="X19" s="4"/>
      <c r="Y19" s="4"/>
      <c r="Z19" s="4"/>
      <c r="AA19" s="4"/>
      <c r="AB19" s="4"/>
      <c r="AC19" s="4"/>
      <c r="AD19" s="4"/>
      <c r="AE19" s="4"/>
      <c r="AF19" s="4"/>
      <c r="AG19" s="4"/>
      <c r="AH19" s="4"/>
      <c r="AI19" s="4"/>
    </row>
    <row r="20" ht="11.25" customHeight="1">
      <c r="A20" s="150"/>
      <c r="B20" s="180">
        <f>SUM(B16:B19)</f>
        <v>477450</v>
      </c>
      <c r="C20" s="145"/>
      <c r="D20" s="180">
        <f>SUM(D16:D19)</f>
        <v>2900</v>
      </c>
      <c r="E20" s="145"/>
      <c r="F20" s="181">
        <f t="shared" ref="F20:O20" si="7">SUM(F16:F19)</f>
        <v>63578.33333</v>
      </c>
      <c r="G20" s="181">
        <f t="shared" si="7"/>
        <v>63578.33333</v>
      </c>
      <c r="H20" s="181">
        <f t="shared" si="7"/>
        <v>63578.33333</v>
      </c>
      <c r="I20" s="181">
        <f t="shared" si="7"/>
        <v>63578.33333</v>
      </c>
      <c r="J20" s="181">
        <f t="shared" si="7"/>
        <v>63578.33333</v>
      </c>
      <c r="K20" s="181">
        <f t="shared" si="7"/>
        <v>63578.33333</v>
      </c>
      <c r="L20" s="181">
        <f t="shared" si="7"/>
        <v>23270</v>
      </c>
      <c r="M20" s="181">
        <f t="shared" si="7"/>
        <v>23270</v>
      </c>
      <c r="N20" s="181">
        <f t="shared" si="7"/>
        <v>15845</v>
      </c>
      <c r="O20" s="181">
        <f t="shared" si="7"/>
        <v>15845</v>
      </c>
      <c r="P20" s="58"/>
      <c r="Q20" s="58"/>
      <c r="R20" s="4"/>
      <c r="S20" s="4"/>
      <c r="T20" s="4"/>
      <c r="U20" s="4"/>
      <c r="V20" s="4"/>
      <c r="W20" s="4"/>
      <c r="X20" s="4"/>
      <c r="Y20" s="4"/>
      <c r="Z20" s="4"/>
      <c r="AA20" s="4"/>
      <c r="AB20" s="4"/>
      <c r="AC20" s="4"/>
      <c r="AD20" s="4"/>
      <c r="AE20" s="4"/>
      <c r="AF20" s="4"/>
      <c r="AG20" s="4"/>
      <c r="AH20" s="4"/>
      <c r="AI20" s="4"/>
    </row>
    <row r="21" ht="11.25" customHeight="1">
      <c r="A21" s="150"/>
      <c r="B21" s="182"/>
      <c r="C21" s="182"/>
      <c r="D21" s="58"/>
      <c r="E21" s="58"/>
      <c r="F21" s="58"/>
      <c r="G21" s="58"/>
      <c r="H21" s="58"/>
      <c r="I21" s="58"/>
      <c r="J21" s="58"/>
      <c r="K21" s="58"/>
      <c r="L21" s="58"/>
      <c r="M21" s="58"/>
      <c r="N21" s="58"/>
      <c r="O21" s="58"/>
      <c r="P21" s="58"/>
      <c r="Q21" s="58"/>
      <c r="R21" s="4"/>
      <c r="S21" s="4"/>
      <c r="T21" s="4"/>
      <c r="U21" s="4"/>
      <c r="V21" s="4"/>
      <c r="W21" s="4"/>
      <c r="X21" s="4"/>
      <c r="Y21" s="4"/>
      <c r="Z21" s="4"/>
      <c r="AA21" s="4"/>
      <c r="AB21" s="4"/>
      <c r="AC21" s="4"/>
      <c r="AD21" s="4"/>
      <c r="AE21" s="4"/>
      <c r="AF21" s="4"/>
      <c r="AG21" s="4"/>
      <c r="AH21" s="4"/>
      <c r="AI21" s="4"/>
    </row>
    <row r="22" ht="12.0" customHeight="1">
      <c r="A22" s="183" t="s">
        <v>67</v>
      </c>
      <c r="B22" s="182"/>
      <c r="C22" s="182"/>
      <c r="D22" s="58"/>
      <c r="E22" s="58"/>
      <c r="F22" s="58"/>
      <c r="G22" s="58"/>
      <c r="H22" s="58"/>
      <c r="I22" s="58"/>
      <c r="J22" s="58"/>
      <c r="K22" s="58"/>
      <c r="L22" s="58"/>
      <c r="M22" s="58"/>
      <c r="N22" s="58"/>
      <c r="O22" s="58"/>
      <c r="P22" s="58"/>
      <c r="Q22" s="58"/>
      <c r="R22" s="4"/>
      <c r="S22" s="4"/>
      <c r="T22" s="4"/>
      <c r="U22" s="4"/>
      <c r="V22" s="4"/>
      <c r="W22" s="4"/>
      <c r="X22" s="4"/>
      <c r="Y22" s="4"/>
      <c r="Z22" s="4"/>
      <c r="AA22" s="4"/>
      <c r="AB22" s="4"/>
      <c r="AC22" s="4"/>
      <c r="AD22" s="4"/>
      <c r="AE22" s="4"/>
      <c r="AF22" s="4"/>
      <c r="AG22" s="4"/>
      <c r="AH22" s="4"/>
      <c r="AI22" s="4"/>
    </row>
    <row r="23" ht="11.25" customHeight="1">
      <c r="A23" s="176" t="s">
        <v>105</v>
      </c>
      <c r="B23" s="184" t="s">
        <v>67</v>
      </c>
      <c r="C23" s="184" t="s">
        <v>218</v>
      </c>
      <c r="D23" s="184" t="s">
        <v>213</v>
      </c>
      <c r="E23" s="58"/>
      <c r="F23" s="58"/>
      <c r="G23" s="58"/>
      <c r="H23" s="58"/>
      <c r="I23" s="58"/>
      <c r="J23" s="58"/>
      <c r="K23" s="58"/>
      <c r="L23" s="58"/>
      <c r="M23" s="58"/>
      <c r="N23" s="58"/>
      <c r="O23" s="58"/>
      <c r="P23" s="58"/>
      <c r="Q23" s="58"/>
      <c r="R23" s="4"/>
      <c r="S23" s="4"/>
      <c r="T23" s="4"/>
      <c r="U23" s="4"/>
      <c r="V23" s="4"/>
      <c r="W23" s="4"/>
      <c r="X23" s="4"/>
      <c r="Y23" s="4"/>
      <c r="Z23" s="4"/>
      <c r="AA23" s="4"/>
      <c r="AB23" s="4"/>
      <c r="AC23" s="4"/>
      <c r="AD23" s="4"/>
      <c r="AE23" s="4"/>
      <c r="AF23" s="4"/>
      <c r="AG23" s="4"/>
      <c r="AH23" s="4"/>
      <c r="AI23" s="4"/>
    </row>
    <row r="24" ht="11.25" customHeight="1">
      <c r="A24" s="170">
        <f>F12</f>
        <v>1</v>
      </c>
      <c r="B24" s="185">
        <f>IF(capex_interval="",0,IF(capex_start_year="",0,IF($A24&lt;capex_start_year,0,IF(MOD($A24-capex_start_year,capex_interval)=0,Inc_St!$D$8*capex,0))))</f>
        <v>110000</v>
      </c>
      <c r="C24" s="179">
        <v>12.0</v>
      </c>
      <c r="D24" s="178"/>
      <c r="E24" s="58"/>
      <c r="F24" s="58">
        <f t="shared" ref="F24:O24" si="8">IF($A24&gt;F$12,0,IF(F$12&gt;$C24+$A24-1,0,IF($J$5=1,SYD($B24,$D24,$C24,F$12),SLN($B24,$D24,$C24))))</f>
        <v>9166.666667</v>
      </c>
      <c r="G24" s="58">
        <f t="shared" si="8"/>
        <v>9166.666667</v>
      </c>
      <c r="H24" s="58">
        <f t="shared" si="8"/>
        <v>9166.666667</v>
      </c>
      <c r="I24" s="58">
        <f t="shared" si="8"/>
        <v>9166.666667</v>
      </c>
      <c r="J24" s="58">
        <f t="shared" si="8"/>
        <v>9166.666667</v>
      </c>
      <c r="K24" s="58">
        <f t="shared" si="8"/>
        <v>9166.666667</v>
      </c>
      <c r="L24" s="58">
        <f t="shared" si="8"/>
        <v>9166.666667</v>
      </c>
      <c r="M24" s="58">
        <f t="shared" si="8"/>
        <v>9166.666667</v>
      </c>
      <c r="N24" s="58">
        <f t="shared" si="8"/>
        <v>9166.666667</v>
      </c>
      <c r="O24" s="58">
        <f t="shared" si="8"/>
        <v>9166.666667</v>
      </c>
      <c r="P24" s="58"/>
      <c r="Q24" s="58"/>
      <c r="R24" s="4"/>
      <c r="S24" s="4"/>
      <c r="T24" s="4"/>
      <c r="U24" s="4"/>
      <c r="V24" s="4"/>
      <c r="W24" s="4"/>
      <c r="X24" s="4"/>
      <c r="Y24" s="4"/>
      <c r="Z24" s="4"/>
      <c r="AA24" s="4"/>
      <c r="AB24" s="4"/>
      <c r="AC24" s="4"/>
      <c r="AD24" s="4"/>
      <c r="AE24" s="4"/>
      <c r="AF24" s="4"/>
      <c r="AG24" s="4"/>
      <c r="AH24" s="4"/>
      <c r="AI24" s="4"/>
    </row>
    <row r="25" ht="11.25" customHeight="1">
      <c r="A25" s="170">
        <f>G12</f>
        <v>2</v>
      </c>
      <c r="B25" s="145">
        <f>IF(capex_interval="",0,IF(capex_start_year="",0,IF($A25&lt;capex_start_year,0,IF(MOD($A25-capex_start_year,capex_interval)=0,Inc_St!$E$8*capex,0))))</f>
        <v>121000</v>
      </c>
      <c r="C25" s="179">
        <v>10.0</v>
      </c>
      <c r="D25" s="179"/>
      <c r="E25" s="58"/>
      <c r="F25" s="58">
        <f t="shared" ref="F25:O25" si="9">IF($A25&gt;F$12,0,IF(F$12&gt;$C25+$A25-1,0,IF($J$5=1,SYD($B25,$D25,$C25,F$12),SLN($B25,$D25,$C25))))</f>
        <v>0</v>
      </c>
      <c r="G25" s="58">
        <f t="shared" si="9"/>
        <v>12100</v>
      </c>
      <c r="H25" s="58">
        <f t="shared" si="9"/>
        <v>12100</v>
      </c>
      <c r="I25" s="58">
        <f t="shared" si="9"/>
        <v>12100</v>
      </c>
      <c r="J25" s="58">
        <f t="shared" si="9"/>
        <v>12100</v>
      </c>
      <c r="K25" s="58">
        <f t="shared" si="9"/>
        <v>12100</v>
      </c>
      <c r="L25" s="58">
        <f t="shared" si="9"/>
        <v>12100</v>
      </c>
      <c r="M25" s="58">
        <f t="shared" si="9"/>
        <v>12100</v>
      </c>
      <c r="N25" s="58">
        <f t="shared" si="9"/>
        <v>12100</v>
      </c>
      <c r="O25" s="58">
        <f t="shared" si="9"/>
        <v>12100</v>
      </c>
      <c r="P25" s="58"/>
      <c r="Q25" s="58"/>
      <c r="R25" s="4"/>
      <c r="S25" s="4"/>
      <c r="T25" s="4"/>
      <c r="U25" s="4"/>
      <c r="V25" s="4"/>
      <c r="W25" s="4"/>
      <c r="X25" s="4"/>
      <c r="Y25" s="4"/>
      <c r="Z25" s="4"/>
      <c r="AA25" s="4"/>
      <c r="AB25" s="4"/>
      <c r="AC25" s="4"/>
      <c r="AD25" s="4"/>
      <c r="AE25" s="4"/>
      <c r="AF25" s="4"/>
      <c r="AG25" s="4"/>
      <c r="AH25" s="4"/>
      <c r="AI25" s="4"/>
    </row>
    <row r="26" ht="11.25" customHeight="1">
      <c r="A26" s="170">
        <f>H12</f>
        <v>3</v>
      </c>
      <c r="B26" s="145">
        <f>IF(capex_interval="",0,IF(capex_start_year="",0,IF($A26&lt;capex_start_year,0,IF(MOD($A26-capex_start_year,capex_interval)=0,Inc_St!$F$8*capex,0))))</f>
        <v>133100</v>
      </c>
      <c r="C26" s="179">
        <v>15.0</v>
      </c>
      <c r="D26" s="179"/>
      <c r="E26" s="58"/>
      <c r="F26" s="58">
        <f t="shared" ref="F26:O26" si="10">IF($A26&gt;F$12,0,IF(F$12&gt;$C26+$A26-1,0,IF($J$5=1,SYD($B26,$D26,$C26,F$12),SLN($B26,$D26,$C26))))</f>
        <v>0</v>
      </c>
      <c r="G26" s="58">
        <f t="shared" si="10"/>
        <v>0</v>
      </c>
      <c r="H26" s="58">
        <f t="shared" si="10"/>
        <v>8873.333333</v>
      </c>
      <c r="I26" s="58">
        <f t="shared" si="10"/>
        <v>8873.333333</v>
      </c>
      <c r="J26" s="58">
        <f t="shared" si="10"/>
        <v>8873.333333</v>
      </c>
      <c r="K26" s="58">
        <f t="shared" si="10"/>
        <v>8873.333333</v>
      </c>
      <c r="L26" s="58">
        <f t="shared" si="10"/>
        <v>8873.333333</v>
      </c>
      <c r="M26" s="58">
        <f t="shared" si="10"/>
        <v>8873.333333</v>
      </c>
      <c r="N26" s="58">
        <f t="shared" si="10"/>
        <v>8873.333333</v>
      </c>
      <c r="O26" s="58">
        <f t="shared" si="10"/>
        <v>8873.333333</v>
      </c>
      <c r="P26" s="58"/>
      <c r="Q26" s="58"/>
      <c r="R26" s="4"/>
      <c r="S26" s="4"/>
      <c r="T26" s="4"/>
      <c r="U26" s="4"/>
      <c r="V26" s="4"/>
      <c r="W26" s="4"/>
      <c r="X26" s="4"/>
      <c r="Y26" s="4"/>
      <c r="Z26" s="4"/>
      <c r="AA26" s="4"/>
      <c r="AB26" s="4"/>
      <c r="AC26" s="4"/>
      <c r="AD26" s="4"/>
      <c r="AE26" s="4"/>
      <c r="AF26" s="4"/>
      <c r="AG26" s="4"/>
      <c r="AH26" s="4"/>
      <c r="AI26" s="4"/>
    </row>
    <row r="27" ht="11.25" customHeight="1">
      <c r="A27" s="170">
        <f>I12</f>
        <v>4</v>
      </c>
      <c r="B27" s="145">
        <f>IF(capex_interval="",0,IF(capex_start_year="",0,IF($A27&lt;capex_start_year,0,IF(MOD($A27-capex_start_year,capex_interval)=0,Inc_St!$G$8*capex,0))))</f>
        <v>146410</v>
      </c>
      <c r="C27" s="179">
        <v>14.0</v>
      </c>
      <c r="D27" s="179"/>
      <c r="E27" s="58"/>
      <c r="F27" s="58">
        <f t="shared" ref="F27:O27" si="11">IF($A27&gt;F$12,0,IF(F$12&gt;$C27+$A27-1,0,IF($J$5=1,SYD($B27,$D27,$C27,F$12),SLN($B27,$D27,$C27))))</f>
        <v>0</v>
      </c>
      <c r="G27" s="58">
        <f t="shared" si="11"/>
        <v>0</v>
      </c>
      <c r="H27" s="58">
        <f t="shared" si="11"/>
        <v>0</v>
      </c>
      <c r="I27" s="58">
        <f t="shared" si="11"/>
        <v>10457.85714</v>
      </c>
      <c r="J27" s="58">
        <f t="shared" si="11"/>
        <v>10457.85714</v>
      </c>
      <c r="K27" s="58">
        <f t="shared" si="11"/>
        <v>10457.85714</v>
      </c>
      <c r="L27" s="58">
        <f t="shared" si="11"/>
        <v>10457.85714</v>
      </c>
      <c r="M27" s="58">
        <f t="shared" si="11"/>
        <v>10457.85714</v>
      </c>
      <c r="N27" s="58">
        <f t="shared" si="11"/>
        <v>10457.85714</v>
      </c>
      <c r="O27" s="58">
        <f t="shared" si="11"/>
        <v>10457.85714</v>
      </c>
      <c r="P27" s="58"/>
      <c r="Q27" s="58"/>
      <c r="R27" s="4"/>
      <c r="S27" s="4"/>
      <c r="T27" s="4"/>
      <c r="U27" s="4"/>
      <c r="V27" s="4"/>
      <c r="W27" s="4"/>
      <c r="X27" s="4"/>
      <c r="Y27" s="4"/>
      <c r="Z27" s="4"/>
      <c r="AA27" s="4"/>
      <c r="AB27" s="4"/>
      <c r="AC27" s="4"/>
      <c r="AD27" s="4"/>
      <c r="AE27" s="4"/>
      <c r="AF27" s="4"/>
      <c r="AG27" s="4"/>
      <c r="AH27" s="4"/>
      <c r="AI27" s="4"/>
    </row>
    <row r="28" ht="11.25" customHeight="1">
      <c r="A28" s="170">
        <f>J12</f>
        <v>5</v>
      </c>
      <c r="B28" s="145">
        <f>IF(capex_interval="",0,IF(capex_start_year="",0,IF($A28&lt;capex_start_year,0,IF(MOD($A28-capex_start_year,capex_interval)=0,Inc_St!$H$8*capex,0))))</f>
        <v>161051</v>
      </c>
      <c r="C28" s="179">
        <v>12.0</v>
      </c>
      <c r="D28" s="179"/>
      <c r="E28" s="58"/>
      <c r="F28" s="58">
        <f t="shared" ref="F28:O28" si="12">IF($A28&gt;F$12,0,IF(F$12&gt;$C28+$A28-1,0,IF($J$5=1,SYD($B28,$D28,$C28,F$12),SLN($B28,$D28,$C28))))</f>
        <v>0</v>
      </c>
      <c r="G28" s="58">
        <f t="shared" si="12"/>
        <v>0</v>
      </c>
      <c r="H28" s="58">
        <f t="shared" si="12"/>
        <v>0</v>
      </c>
      <c r="I28" s="58">
        <f t="shared" si="12"/>
        <v>0</v>
      </c>
      <c r="J28" s="58">
        <f t="shared" si="12"/>
        <v>13420.91667</v>
      </c>
      <c r="K28" s="58">
        <f t="shared" si="12"/>
        <v>13420.91667</v>
      </c>
      <c r="L28" s="58">
        <f t="shared" si="12"/>
        <v>13420.91667</v>
      </c>
      <c r="M28" s="58">
        <f t="shared" si="12"/>
        <v>13420.91667</v>
      </c>
      <c r="N28" s="58">
        <f t="shared" si="12"/>
        <v>13420.91667</v>
      </c>
      <c r="O28" s="58">
        <f t="shared" si="12"/>
        <v>13420.91667</v>
      </c>
      <c r="P28" s="58"/>
      <c r="Q28" s="58"/>
      <c r="R28" s="4"/>
      <c r="S28" s="4"/>
      <c r="T28" s="4"/>
      <c r="U28" s="4"/>
      <c r="V28" s="4"/>
      <c r="W28" s="4"/>
      <c r="X28" s="4"/>
      <c r="Y28" s="4"/>
      <c r="Z28" s="4"/>
      <c r="AA28" s="4"/>
      <c r="AB28" s="4"/>
      <c r="AC28" s="4"/>
      <c r="AD28" s="4"/>
      <c r="AE28" s="4"/>
      <c r="AF28" s="4"/>
      <c r="AG28" s="4"/>
      <c r="AH28" s="4"/>
      <c r="AI28" s="4"/>
    </row>
    <row r="29" ht="11.25" customHeight="1">
      <c r="A29" s="170">
        <f>K12</f>
        <v>6</v>
      </c>
      <c r="B29" s="145">
        <f>IF(capex_interval="",0,IF(capex_start_year="",0,IF($A29&lt;capex_start_year,0,IF(MOD($A29-capex_start_year,capex_interval)=0,Inc_St!$I$8*capex,0))))</f>
        <v>177156.1</v>
      </c>
      <c r="C29" s="179">
        <v>16.0</v>
      </c>
      <c r="D29" s="179"/>
      <c r="E29" s="58"/>
      <c r="F29" s="58">
        <f t="shared" ref="F29:O29" si="13">IF($A29&gt;F$12,0,IF(F$12&gt;$C29+$A29-1,0,IF($J$5=1,SYD($B29,$D29,$C29,F$12),SLN($B29,$D29,$C29))))</f>
        <v>0</v>
      </c>
      <c r="G29" s="58">
        <f t="shared" si="13"/>
        <v>0</v>
      </c>
      <c r="H29" s="58">
        <f t="shared" si="13"/>
        <v>0</v>
      </c>
      <c r="I29" s="58">
        <f t="shared" si="13"/>
        <v>0</v>
      </c>
      <c r="J29" s="58">
        <f t="shared" si="13"/>
        <v>0</v>
      </c>
      <c r="K29" s="58">
        <f t="shared" si="13"/>
        <v>11072.25625</v>
      </c>
      <c r="L29" s="58">
        <f t="shared" si="13"/>
        <v>11072.25625</v>
      </c>
      <c r="M29" s="58">
        <f t="shared" si="13"/>
        <v>11072.25625</v>
      </c>
      <c r="N29" s="58">
        <f t="shared" si="13"/>
        <v>11072.25625</v>
      </c>
      <c r="O29" s="58">
        <f t="shared" si="13"/>
        <v>11072.25625</v>
      </c>
      <c r="P29" s="58"/>
      <c r="Q29" s="58"/>
      <c r="R29" s="4"/>
      <c r="S29" s="4"/>
      <c r="T29" s="4"/>
      <c r="U29" s="4"/>
      <c r="V29" s="4"/>
      <c r="W29" s="4"/>
      <c r="X29" s="4"/>
      <c r="Y29" s="4"/>
      <c r="Z29" s="4"/>
      <c r="AA29" s="4"/>
      <c r="AB29" s="4"/>
      <c r="AC29" s="4"/>
      <c r="AD29" s="4"/>
      <c r="AE29" s="4"/>
      <c r="AF29" s="4"/>
      <c r="AG29" s="4"/>
      <c r="AH29" s="4"/>
      <c r="AI29" s="4"/>
    </row>
    <row r="30" ht="11.25" customHeight="1">
      <c r="A30" s="170">
        <f>L12</f>
        <v>7</v>
      </c>
      <c r="B30" s="145">
        <f>IF(capex_interval="",0,IF(capex_start_year="",0,IF($A30&lt;capex_start_year,0,IF(MOD($A30-capex_start_year,capex_interval)=0,Inc_St!$J$8*capex,0))))</f>
        <v>194871.71</v>
      </c>
      <c r="C30" s="179">
        <v>15.0</v>
      </c>
      <c r="D30" s="179"/>
      <c r="E30" s="58"/>
      <c r="F30" s="58">
        <f t="shared" ref="F30:O30" si="14">IF($A30&gt;F$12,0,IF(F$12&gt;$C30+$A30-1,0,IF($J$5=1,SYD($B30,$D30,$C30,F$12),SLN($B30,$D30,$C30))))</f>
        <v>0</v>
      </c>
      <c r="G30" s="58">
        <f t="shared" si="14"/>
        <v>0</v>
      </c>
      <c r="H30" s="58">
        <f t="shared" si="14"/>
        <v>0</v>
      </c>
      <c r="I30" s="58">
        <f t="shared" si="14"/>
        <v>0</v>
      </c>
      <c r="J30" s="58">
        <f t="shared" si="14"/>
        <v>0</v>
      </c>
      <c r="K30" s="58">
        <f t="shared" si="14"/>
        <v>0</v>
      </c>
      <c r="L30" s="58">
        <f t="shared" si="14"/>
        <v>12991.44733</v>
      </c>
      <c r="M30" s="58">
        <f t="shared" si="14"/>
        <v>12991.44733</v>
      </c>
      <c r="N30" s="58">
        <f t="shared" si="14"/>
        <v>12991.44733</v>
      </c>
      <c r="O30" s="58">
        <f t="shared" si="14"/>
        <v>12991.44733</v>
      </c>
      <c r="P30" s="58"/>
      <c r="Q30" s="58"/>
      <c r="R30" s="4"/>
      <c r="S30" s="4"/>
      <c r="T30" s="4"/>
      <c r="U30" s="4"/>
      <c r="V30" s="4"/>
      <c r="W30" s="4"/>
      <c r="X30" s="4"/>
      <c r="Y30" s="4"/>
      <c r="Z30" s="4"/>
      <c r="AA30" s="4"/>
      <c r="AB30" s="4"/>
      <c r="AC30" s="4"/>
      <c r="AD30" s="4"/>
      <c r="AE30" s="4"/>
      <c r="AF30" s="4"/>
      <c r="AG30" s="4"/>
      <c r="AH30" s="4"/>
      <c r="AI30" s="4"/>
    </row>
    <row r="31" ht="11.25" customHeight="1">
      <c r="A31" s="170">
        <f>M12</f>
        <v>8</v>
      </c>
      <c r="B31" s="145">
        <f>IF(capex_interval="",0,IF(capex_start_year="",0,IF($A31&lt;capex_start_year,0,IF(MOD($A31-capex_start_year,capex_interval)=0,Inc_St!$K$8*capex,0))))</f>
        <v>214358.881</v>
      </c>
      <c r="C31" s="179">
        <v>15.0</v>
      </c>
      <c r="D31" s="179"/>
      <c r="E31" s="58"/>
      <c r="F31" s="58">
        <f t="shared" ref="F31:O31" si="15">IF($A31&gt;F$12,0,IF(F$12&gt;$C31+$A31-1,0,IF($J$5=1,SYD($B31,$D31,$C31,F$12),SLN($B31,$D31,$C31))))</f>
        <v>0</v>
      </c>
      <c r="G31" s="58">
        <f t="shared" si="15"/>
        <v>0</v>
      </c>
      <c r="H31" s="58">
        <f t="shared" si="15"/>
        <v>0</v>
      </c>
      <c r="I31" s="58">
        <f t="shared" si="15"/>
        <v>0</v>
      </c>
      <c r="J31" s="58">
        <f t="shared" si="15"/>
        <v>0</v>
      </c>
      <c r="K31" s="58">
        <f t="shared" si="15"/>
        <v>0</v>
      </c>
      <c r="L31" s="58">
        <f t="shared" si="15"/>
        <v>0</v>
      </c>
      <c r="M31" s="58">
        <f t="shared" si="15"/>
        <v>14290.59207</v>
      </c>
      <c r="N31" s="58">
        <f t="shared" si="15"/>
        <v>14290.59207</v>
      </c>
      <c r="O31" s="58">
        <f t="shared" si="15"/>
        <v>14290.59207</v>
      </c>
      <c r="P31" s="58"/>
      <c r="Q31" s="58"/>
      <c r="R31" s="4"/>
      <c r="S31" s="4"/>
      <c r="T31" s="4"/>
      <c r="U31" s="4"/>
      <c r="V31" s="4"/>
      <c r="W31" s="4"/>
      <c r="X31" s="4"/>
      <c r="Y31" s="4"/>
      <c r="Z31" s="4"/>
      <c r="AA31" s="4"/>
      <c r="AB31" s="4"/>
      <c r="AC31" s="4"/>
      <c r="AD31" s="4"/>
      <c r="AE31" s="4"/>
      <c r="AF31" s="4"/>
      <c r="AG31" s="4"/>
      <c r="AH31" s="4"/>
      <c r="AI31" s="4"/>
    </row>
    <row r="32" ht="11.25" customHeight="1">
      <c r="A32" s="170">
        <f>N12</f>
        <v>9</v>
      </c>
      <c r="B32" s="145">
        <f>IF(capex_interval="",0,IF(capex_start_year="",0,IF($A32&lt;capex_start_year,0,IF(MOD($A32-capex_start_year,capex_interval)=0,Inc_St!$L$8*capex,0))))</f>
        <v>235794.7691</v>
      </c>
      <c r="C32" s="179">
        <v>12.0</v>
      </c>
      <c r="D32" s="179"/>
      <c r="E32" s="58"/>
      <c r="F32" s="58">
        <f t="shared" ref="F32:O32" si="16">IF($A32&gt;F$12,0,IF(F$12&gt;$C32+$A32-1,0,IF($J$5=1,SYD($B32,$D32,$C32,F$12),SLN($B32,$D32,$C32))))</f>
        <v>0</v>
      </c>
      <c r="G32" s="58">
        <f t="shared" si="16"/>
        <v>0</v>
      </c>
      <c r="H32" s="58">
        <f t="shared" si="16"/>
        <v>0</v>
      </c>
      <c r="I32" s="58">
        <f t="shared" si="16"/>
        <v>0</v>
      </c>
      <c r="J32" s="58">
        <f t="shared" si="16"/>
        <v>0</v>
      </c>
      <c r="K32" s="58">
        <f t="shared" si="16"/>
        <v>0</v>
      </c>
      <c r="L32" s="58">
        <f t="shared" si="16"/>
        <v>0</v>
      </c>
      <c r="M32" s="58">
        <f t="shared" si="16"/>
        <v>0</v>
      </c>
      <c r="N32" s="58">
        <f t="shared" si="16"/>
        <v>19649.56409</v>
      </c>
      <c r="O32" s="58">
        <f t="shared" si="16"/>
        <v>19649.56409</v>
      </c>
      <c r="P32" s="58"/>
      <c r="Q32" s="58"/>
      <c r="R32" s="4"/>
      <c r="S32" s="4"/>
      <c r="T32" s="4"/>
      <c r="U32" s="4"/>
      <c r="V32" s="4"/>
      <c r="W32" s="4"/>
      <c r="X32" s="4"/>
      <c r="Y32" s="4"/>
      <c r="Z32" s="4"/>
      <c r="AA32" s="4"/>
      <c r="AB32" s="4"/>
      <c r="AC32" s="4"/>
      <c r="AD32" s="4"/>
      <c r="AE32" s="4"/>
      <c r="AF32" s="4"/>
      <c r="AG32" s="4"/>
      <c r="AH32" s="4"/>
      <c r="AI32" s="4"/>
    </row>
    <row r="33" ht="11.25" customHeight="1">
      <c r="A33" s="170">
        <f>O12</f>
        <v>10</v>
      </c>
      <c r="B33" s="145">
        <f>IF(capex_interval="",0,IF(capex_start_year="",0,IF($A33&lt;capex_start_year,0,IF(MOD($A33-capex_start_year,capex_interval)=0,Inc_St!$M$8*capex,0))))</f>
        <v>259374.246</v>
      </c>
      <c r="C33" s="179">
        <v>12.0</v>
      </c>
      <c r="D33" s="179"/>
      <c r="E33" s="58"/>
      <c r="F33" s="58">
        <f t="shared" ref="F33:O33" si="17">IF($A33&gt;F$12,0,IF(F$12&gt;$C33+$A33-1,0,IF($J$5=1,SYD($B33,$D33,$C33,F$12),SLN($B33,$D33,$C33))))</f>
        <v>0</v>
      </c>
      <c r="G33" s="58">
        <f t="shared" si="17"/>
        <v>0</v>
      </c>
      <c r="H33" s="58">
        <f t="shared" si="17"/>
        <v>0</v>
      </c>
      <c r="I33" s="58">
        <f t="shared" si="17"/>
        <v>0</v>
      </c>
      <c r="J33" s="58">
        <f t="shared" si="17"/>
        <v>0</v>
      </c>
      <c r="K33" s="58">
        <f t="shared" si="17"/>
        <v>0</v>
      </c>
      <c r="L33" s="58">
        <f t="shared" si="17"/>
        <v>0</v>
      </c>
      <c r="M33" s="58">
        <f t="shared" si="17"/>
        <v>0</v>
      </c>
      <c r="N33" s="58">
        <f t="shared" si="17"/>
        <v>0</v>
      </c>
      <c r="O33" s="58">
        <f t="shared" si="17"/>
        <v>21614.5205</v>
      </c>
      <c r="P33" s="58"/>
      <c r="Q33" s="58"/>
      <c r="R33" s="4"/>
      <c r="S33" s="4"/>
      <c r="T33" s="4"/>
      <c r="U33" s="4"/>
      <c r="V33" s="4"/>
      <c r="W33" s="4"/>
      <c r="X33" s="4"/>
      <c r="Y33" s="4"/>
      <c r="Z33" s="4"/>
      <c r="AA33" s="4"/>
      <c r="AB33" s="4"/>
      <c r="AC33" s="4"/>
      <c r="AD33" s="4"/>
      <c r="AE33" s="4"/>
      <c r="AF33" s="4"/>
      <c r="AG33" s="4"/>
      <c r="AH33" s="4"/>
      <c r="AI33" s="4"/>
    </row>
    <row r="34" ht="11.25" customHeight="1">
      <c r="A34" s="150"/>
      <c r="B34" s="180">
        <f>SUM(B24:B33)</f>
        <v>1753116.706</v>
      </c>
      <c r="C34" s="182"/>
      <c r="D34" s="180">
        <f>SUM(D24:D33)</f>
        <v>0</v>
      </c>
      <c r="E34" s="58"/>
      <c r="F34" s="73">
        <f t="shared" ref="F34:O34" si="18">SUM(F24:F33)</f>
        <v>9166.666667</v>
      </c>
      <c r="G34" s="73">
        <f t="shared" si="18"/>
        <v>21266.66667</v>
      </c>
      <c r="H34" s="73">
        <f t="shared" si="18"/>
        <v>30140</v>
      </c>
      <c r="I34" s="73">
        <f t="shared" si="18"/>
        <v>40597.85714</v>
      </c>
      <c r="J34" s="73">
        <f t="shared" si="18"/>
        <v>54018.77381</v>
      </c>
      <c r="K34" s="73">
        <f t="shared" si="18"/>
        <v>65091.03006</v>
      </c>
      <c r="L34" s="73">
        <f t="shared" si="18"/>
        <v>78082.47739</v>
      </c>
      <c r="M34" s="73">
        <f t="shared" si="18"/>
        <v>92373.06946</v>
      </c>
      <c r="N34" s="73">
        <f t="shared" si="18"/>
        <v>112022.6336</v>
      </c>
      <c r="O34" s="73">
        <f t="shared" si="18"/>
        <v>133637.1541</v>
      </c>
      <c r="P34" s="58"/>
      <c r="Q34" s="58"/>
      <c r="R34" s="4"/>
      <c r="S34" s="4"/>
      <c r="T34" s="4"/>
      <c r="U34" s="4"/>
      <c r="V34" s="4"/>
      <c r="W34" s="4"/>
      <c r="X34" s="4"/>
      <c r="Y34" s="4"/>
      <c r="Z34" s="4"/>
      <c r="AA34" s="4"/>
      <c r="AB34" s="4"/>
      <c r="AC34" s="4"/>
      <c r="AD34" s="4"/>
      <c r="AE34" s="4"/>
      <c r="AF34" s="4"/>
      <c r="AG34" s="4"/>
      <c r="AH34" s="4"/>
      <c r="AI34" s="4"/>
    </row>
    <row r="35" ht="11.25" customHeight="1">
      <c r="A35" s="150"/>
      <c r="B35" s="182"/>
      <c r="C35" s="182"/>
      <c r="D35" s="58"/>
      <c r="E35" s="58"/>
      <c r="F35" s="58"/>
      <c r="G35" s="58"/>
      <c r="H35" s="58"/>
      <c r="I35" s="58"/>
      <c r="J35" s="58"/>
      <c r="K35" s="58"/>
      <c r="L35" s="58"/>
      <c r="M35" s="58"/>
      <c r="N35" s="58"/>
      <c r="O35" s="58"/>
      <c r="P35" s="58"/>
      <c r="Q35" s="58"/>
      <c r="R35" s="4"/>
      <c r="S35" s="4"/>
      <c r="T35" s="4"/>
      <c r="U35" s="4"/>
      <c r="V35" s="4"/>
      <c r="W35" s="4"/>
      <c r="X35" s="4"/>
      <c r="Y35" s="4"/>
      <c r="Z35" s="4"/>
      <c r="AA35" s="4"/>
      <c r="AB35" s="4"/>
      <c r="AC35" s="4"/>
      <c r="AD35" s="4"/>
      <c r="AE35" s="4"/>
      <c r="AF35" s="4"/>
      <c r="AG35" s="4"/>
      <c r="AH35" s="4"/>
      <c r="AI35" s="4"/>
    </row>
    <row r="36" ht="12.0" customHeight="1">
      <c r="A36" s="183" t="s">
        <v>219</v>
      </c>
      <c r="B36" s="182"/>
      <c r="C36" s="182"/>
      <c r="D36" s="58"/>
      <c r="E36" s="58"/>
      <c r="F36" s="58">
        <f t="shared" ref="F36:O36" si="19">SUM(F20,F34)</f>
        <v>72745</v>
      </c>
      <c r="G36" s="58">
        <f t="shared" si="19"/>
        <v>84845</v>
      </c>
      <c r="H36" s="58">
        <f t="shared" si="19"/>
        <v>93718.33333</v>
      </c>
      <c r="I36" s="58">
        <f t="shared" si="19"/>
        <v>104176.1905</v>
      </c>
      <c r="J36" s="58">
        <f t="shared" si="19"/>
        <v>117597.1071</v>
      </c>
      <c r="K36" s="58">
        <f t="shared" si="19"/>
        <v>128669.3634</v>
      </c>
      <c r="L36" s="58">
        <f t="shared" si="19"/>
        <v>101352.4774</v>
      </c>
      <c r="M36" s="58">
        <f t="shared" si="19"/>
        <v>115643.0695</v>
      </c>
      <c r="N36" s="58">
        <f t="shared" si="19"/>
        <v>127867.6336</v>
      </c>
      <c r="O36" s="58">
        <f t="shared" si="19"/>
        <v>149482.1541</v>
      </c>
      <c r="P36" s="58"/>
      <c r="Q36" s="58"/>
      <c r="R36" s="4"/>
      <c r="S36" s="4"/>
      <c r="T36" s="4"/>
      <c r="U36" s="4"/>
      <c r="V36" s="4"/>
      <c r="W36" s="4"/>
      <c r="X36" s="4"/>
      <c r="Y36" s="4"/>
      <c r="Z36" s="4"/>
      <c r="AA36" s="4"/>
      <c r="AB36" s="4"/>
      <c r="AC36" s="4"/>
      <c r="AD36" s="4"/>
      <c r="AE36" s="4"/>
      <c r="AF36" s="4"/>
      <c r="AG36" s="4"/>
      <c r="AH36" s="4"/>
      <c r="AI36" s="4"/>
    </row>
    <row r="37" ht="12.0" customHeight="1">
      <c r="A37" s="183" t="s">
        <v>220</v>
      </c>
      <c r="B37" s="182"/>
      <c r="C37" s="182"/>
      <c r="D37" s="58"/>
      <c r="E37" s="58"/>
      <c r="F37" s="141">
        <v>40000.0</v>
      </c>
      <c r="G37" s="141">
        <v>40000.0</v>
      </c>
      <c r="H37" s="141">
        <v>40000.0</v>
      </c>
      <c r="I37" s="141">
        <v>40000.0</v>
      </c>
      <c r="J37" s="141">
        <v>40000.0</v>
      </c>
      <c r="K37" s="141">
        <v>40000.0</v>
      </c>
      <c r="L37" s="141">
        <v>40000.0</v>
      </c>
      <c r="M37" s="141">
        <v>40000.0</v>
      </c>
      <c r="N37" s="141">
        <v>40000.0</v>
      </c>
      <c r="O37" s="141">
        <v>40000.0</v>
      </c>
      <c r="P37" s="58"/>
      <c r="Q37" s="58"/>
      <c r="R37" s="4"/>
      <c r="S37" s="4"/>
      <c r="T37" s="4"/>
      <c r="U37" s="4"/>
      <c r="V37" s="4"/>
      <c r="W37" s="4"/>
      <c r="X37" s="4"/>
      <c r="Y37" s="4"/>
      <c r="Z37" s="4"/>
      <c r="AA37" s="4"/>
      <c r="AB37" s="4"/>
      <c r="AC37" s="4"/>
      <c r="AD37" s="4"/>
      <c r="AE37" s="4"/>
      <c r="AF37" s="4"/>
      <c r="AG37" s="4"/>
      <c r="AH37" s="4"/>
      <c r="AI37" s="4"/>
    </row>
    <row r="38" ht="11.25" customHeight="1">
      <c r="A38" s="150"/>
      <c r="B38" s="182"/>
      <c r="C38" s="182"/>
      <c r="D38" s="58"/>
      <c r="E38" s="58"/>
      <c r="F38" s="58"/>
      <c r="G38" s="58"/>
      <c r="H38" s="58"/>
      <c r="I38" s="58"/>
      <c r="J38" s="58"/>
      <c r="K38" s="58"/>
      <c r="L38" s="58"/>
      <c r="M38" s="58"/>
      <c r="N38" s="58"/>
      <c r="O38" s="58"/>
      <c r="P38" s="58"/>
      <c r="Q38" s="58"/>
      <c r="R38" s="4"/>
      <c r="S38" s="4"/>
      <c r="T38" s="4"/>
      <c r="U38" s="4"/>
      <c r="V38" s="4"/>
      <c r="W38" s="4"/>
      <c r="X38" s="4"/>
      <c r="Y38" s="4"/>
      <c r="Z38" s="4"/>
      <c r="AA38" s="4"/>
      <c r="AB38" s="4"/>
      <c r="AC38" s="4"/>
      <c r="AD38" s="4"/>
      <c r="AE38" s="4"/>
      <c r="AF38" s="4"/>
      <c r="AG38" s="4"/>
      <c r="AH38" s="4"/>
      <c r="AI38" s="4"/>
    </row>
    <row r="39" ht="12.0" customHeight="1">
      <c r="A39" s="183" t="s">
        <v>221</v>
      </c>
      <c r="B39" s="182"/>
      <c r="C39" s="182"/>
      <c r="D39" s="58"/>
      <c r="E39" s="58"/>
      <c r="F39" s="58">
        <f t="shared" ref="F39:O39" si="20">IF($J$8=1,F36,F37)</f>
        <v>72745</v>
      </c>
      <c r="G39" s="58">
        <f t="shared" si="20"/>
        <v>84845</v>
      </c>
      <c r="H39" s="58">
        <f t="shared" si="20"/>
        <v>93718.33333</v>
      </c>
      <c r="I39" s="58">
        <f t="shared" si="20"/>
        <v>104176.1905</v>
      </c>
      <c r="J39" s="58">
        <f t="shared" si="20"/>
        <v>117597.1071</v>
      </c>
      <c r="K39" s="58">
        <f t="shared" si="20"/>
        <v>128669.3634</v>
      </c>
      <c r="L39" s="58">
        <f t="shared" si="20"/>
        <v>101352.4774</v>
      </c>
      <c r="M39" s="58">
        <f t="shared" si="20"/>
        <v>115643.0695</v>
      </c>
      <c r="N39" s="58">
        <f t="shared" si="20"/>
        <v>127867.6336</v>
      </c>
      <c r="O39" s="58">
        <f t="shared" si="20"/>
        <v>149482.1541</v>
      </c>
      <c r="P39" s="58"/>
      <c r="Q39" s="58"/>
      <c r="R39" s="4"/>
      <c r="S39" s="4"/>
      <c r="T39" s="4"/>
      <c r="U39" s="4"/>
      <c r="V39" s="4"/>
      <c r="W39" s="4"/>
      <c r="X39" s="4"/>
      <c r="Y39" s="4"/>
      <c r="Z39" s="4"/>
      <c r="AA39" s="4"/>
      <c r="AB39" s="4"/>
      <c r="AC39" s="4"/>
      <c r="AD39" s="4"/>
      <c r="AE39" s="4"/>
      <c r="AF39" s="4"/>
      <c r="AG39" s="4"/>
      <c r="AH39" s="4"/>
      <c r="AI39" s="4"/>
    </row>
    <row r="40" ht="11.25" customHeight="1">
      <c r="A40" s="150"/>
      <c r="B40" s="182"/>
      <c r="C40" s="182"/>
      <c r="D40" s="58"/>
      <c r="E40" s="58"/>
      <c r="F40" s="58"/>
      <c r="G40" s="58"/>
      <c r="H40" s="58"/>
      <c r="I40" s="58"/>
      <c r="J40" s="58"/>
      <c r="K40" s="58"/>
      <c r="L40" s="58"/>
      <c r="M40" s="58"/>
      <c r="N40" s="58"/>
      <c r="O40" s="58"/>
      <c r="P40" s="58"/>
      <c r="Q40" s="58"/>
      <c r="R40" s="4"/>
      <c r="S40" s="4"/>
      <c r="T40" s="4"/>
      <c r="U40" s="4"/>
      <c r="V40" s="4"/>
      <c r="W40" s="4"/>
      <c r="X40" s="4"/>
      <c r="Y40" s="4"/>
      <c r="Z40" s="4"/>
      <c r="AA40" s="4"/>
      <c r="AB40" s="4"/>
      <c r="AC40" s="4"/>
      <c r="AD40" s="4"/>
      <c r="AE40" s="4"/>
      <c r="AF40" s="4"/>
      <c r="AG40" s="4"/>
      <c r="AH40" s="4"/>
      <c r="AI40" s="4"/>
    </row>
    <row r="41" ht="11.25" customHeight="1">
      <c r="A41" s="150"/>
      <c r="B41" s="182"/>
      <c r="C41" s="182"/>
      <c r="D41" s="184" t="s">
        <v>50</v>
      </c>
      <c r="E41" s="58"/>
      <c r="F41" s="58"/>
      <c r="G41" s="58"/>
      <c r="H41" s="58"/>
      <c r="I41" s="58"/>
      <c r="J41" s="58"/>
      <c r="K41" s="58"/>
      <c r="L41" s="58"/>
      <c r="M41" s="58"/>
      <c r="N41" s="58"/>
      <c r="O41" s="58"/>
      <c r="P41" s="58"/>
      <c r="Q41" s="58"/>
      <c r="R41" s="4"/>
      <c r="S41" s="4"/>
      <c r="T41" s="4"/>
      <c r="U41" s="4"/>
      <c r="V41" s="4"/>
      <c r="W41" s="4"/>
      <c r="X41" s="4"/>
      <c r="Y41" s="4"/>
      <c r="Z41" s="4"/>
      <c r="AA41" s="4"/>
      <c r="AB41" s="4"/>
      <c r="AC41" s="4"/>
      <c r="AD41" s="4"/>
      <c r="AE41" s="4"/>
      <c r="AF41" s="4"/>
      <c r="AG41" s="4"/>
      <c r="AH41" s="4"/>
      <c r="AI41" s="4"/>
    </row>
    <row r="42" ht="12.0" customHeight="1">
      <c r="A42" s="183" t="s">
        <v>222</v>
      </c>
      <c r="B42" s="182"/>
      <c r="C42" s="182"/>
      <c r="D42" s="179">
        <v>12.0</v>
      </c>
      <c r="E42" s="58"/>
      <c r="F42" s="58">
        <f>IF(F$12&gt;$D$42,0,Bal_Sheet!$E$20/$D$42)</f>
        <v>179.1666667</v>
      </c>
      <c r="G42" s="58">
        <f>IF(G$12&gt;$D$42,0,Bal_Sheet!$E$20/$D$42)</f>
        <v>179.1666667</v>
      </c>
      <c r="H42" s="58">
        <f>IF(H$12&gt;$D$42,0,Bal_Sheet!$E$20/$D$42)</f>
        <v>179.1666667</v>
      </c>
      <c r="I42" s="58">
        <f>IF(I$12&gt;$D$42,0,Bal_Sheet!$E$20/$D$42)</f>
        <v>179.1666667</v>
      </c>
      <c r="J42" s="58">
        <f>IF(J$12&gt;$D$42,0,Bal_Sheet!$E$20/$D$42)</f>
        <v>179.1666667</v>
      </c>
      <c r="K42" s="58">
        <f>IF(K$12&gt;$D$42,0,Bal_Sheet!$E$20/$D$42)</f>
        <v>179.1666667</v>
      </c>
      <c r="L42" s="58">
        <f>IF(L$12&gt;$D$42,0,Bal_Sheet!$E$20/$D$42)</f>
        <v>179.1666667</v>
      </c>
      <c r="M42" s="58">
        <f>IF(M$12&gt;$D$42,0,Bal_Sheet!$E$20/$D$42)</f>
        <v>179.1666667</v>
      </c>
      <c r="N42" s="58">
        <f>IF(N$12&gt;$D$42,0,Bal_Sheet!$E$20/$D$42)</f>
        <v>179.1666667</v>
      </c>
      <c r="O42" s="58">
        <f>IF(O$12&gt;$D$42,0,Bal_Sheet!$E$20/$D$42)</f>
        <v>179.1666667</v>
      </c>
      <c r="P42" s="58"/>
      <c r="Q42" s="58"/>
      <c r="R42" s="4"/>
      <c r="S42" s="4"/>
      <c r="T42" s="4"/>
      <c r="U42" s="4"/>
      <c r="V42" s="4"/>
      <c r="W42" s="4"/>
      <c r="X42" s="4"/>
      <c r="Y42" s="4"/>
      <c r="Z42" s="4"/>
      <c r="AA42" s="4"/>
      <c r="AB42" s="4"/>
      <c r="AC42" s="4"/>
      <c r="AD42" s="4"/>
      <c r="AE42" s="4"/>
      <c r="AF42" s="4"/>
      <c r="AG42" s="4"/>
      <c r="AH42" s="4"/>
      <c r="AI42" s="4"/>
    </row>
    <row r="43" ht="12.0" customHeight="1">
      <c r="A43" s="183" t="s">
        <v>223</v>
      </c>
      <c r="B43" s="182"/>
      <c r="C43" s="182"/>
      <c r="D43" s="58"/>
      <c r="E43" s="58"/>
      <c r="F43" s="141">
        <v>0.0</v>
      </c>
      <c r="G43" s="141">
        <v>0.0</v>
      </c>
      <c r="H43" s="141">
        <v>0.0</v>
      </c>
      <c r="I43" s="141">
        <v>0.0</v>
      </c>
      <c r="J43" s="141">
        <v>0.0</v>
      </c>
      <c r="K43" s="141">
        <v>0.0</v>
      </c>
      <c r="L43" s="141">
        <v>0.0</v>
      </c>
      <c r="M43" s="141">
        <v>0.0</v>
      </c>
      <c r="N43" s="141">
        <v>0.0</v>
      </c>
      <c r="O43" s="141">
        <v>0.0</v>
      </c>
      <c r="P43" s="58"/>
      <c r="Q43" s="58"/>
      <c r="R43" s="4"/>
      <c r="S43" s="4"/>
      <c r="T43" s="4"/>
      <c r="U43" s="4"/>
      <c r="V43" s="4"/>
      <c r="W43" s="4"/>
      <c r="X43" s="4"/>
      <c r="Y43" s="4"/>
      <c r="Z43" s="4"/>
      <c r="AA43" s="4"/>
      <c r="AB43" s="4"/>
      <c r="AC43" s="4"/>
      <c r="AD43" s="4"/>
      <c r="AE43" s="4"/>
      <c r="AF43" s="4"/>
      <c r="AG43" s="4"/>
      <c r="AH43" s="4"/>
      <c r="AI43" s="4"/>
    </row>
    <row r="44" ht="11.25" customHeight="1">
      <c r="A44" s="150"/>
      <c r="B44" s="182"/>
      <c r="C44" s="182"/>
      <c r="D44" s="184" t="s">
        <v>224</v>
      </c>
      <c r="E44" s="58"/>
      <c r="F44" s="58"/>
      <c r="G44" s="58"/>
      <c r="H44" s="58"/>
      <c r="I44" s="58"/>
      <c r="J44" s="58"/>
      <c r="K44" s="58"/>
      <c r="L44" s="58"/>
      <c r="M44" s="58"/>
      <c r="N44" s="58"/>
      <c r="O44" s="58"/>
      <c r="P44" s="58"/>
      <c r="Q44" s="58"/>
      <c r="R44" s="58"/>
      <c r="S44" s="58"/>
      <c r="T44" s="58"/>
      <c r="U44" s="58"/>
      <c r="V44" s="4"/>
      <c r="W44" s="4"/>
      <c r="X44" s="4"/>
      <c r="Y44" s="4"/>
      <c r="Z44" s="4"/>
      <c r="AA44" s="4"/>
      <c r="AB44" s="4"/>
      <c r="AC44" s="4"/>
      <c r="AD44" s="4"/>
      <c r="AE44" s="4"/>
      <c r="AF44" s="4"/>
      <c r="AG44" s="4"/>
      <c r="AH44" s="4"/>
      <c r="AI44" s="4"/>
    </row>
    <row r="45" ht="12.0" customHeight="1">
      <c r="A45" s="183" t="s">
        <v>162</v>
      </c>
      <c r="B45" s="182"/>
      <c r="C45" s="182"/>
      <c r="D45" s="145">
        <f>Input!Q34</f>
        <v>10887.5</v>
      </c>
      <c r="E45" s="58"/>
      <c r="F45" s="58" t="str">
        <f t="shared" ref="F45:O45" si="21">SUM(F46:F52)</f>
        <v>#REF!</v>
      </c>
      <c r="G45" s="58" t="str">
        <f t="shared" si="21"/>
        <v>#REF!</v>
      </c>
      <c r="H45" s="58" t="str">
        <f t="shared" si="21"/>
        <v>#REF!</v>
      </c>
      <c r="I45" s="58" t="str">
        <f t="shared" si="21"/>
        <v>#REF!</v>
      </c>
      <c r="J45" s="58" t="str">
        <f t="shared" si="21"/>
        <v>#REF!</v>
      </c>
      <c r="K45" s="58" t="str">
        <f t="shared" si="21"/>
        <v>#REF!</v>
      </c>
      <c r="L45" s="58" t="str">
        <f t="shared" si="21"/>
        <v>#REF!</v>
      </c>
      <c r="M45" s="58" t="str">
        <f t="shared" si="21"/>
        <v>#REF!</v>
      </c>
      <c r="N45" s="58" t="str">
        <f t="shared" si="21"/>
        <v>#REF!</v>
      </c>
      <c r="O45" s="58" t="str">
        <f t="shared" si="21"/>
        <v>#REF!</v>
      </c>
      <c r="P45" s="58"/>
      <c r="Q45" s="58"/>
      <c r="R45" s="4"/>
      <c r="S45" s="4"/>
      <c r="T45" s="4"/>
      <c r="U45" s="4"/>
      <c r="V45" s="4"/>
      <c r="W45" s="4"/>
      <c r="X45" s="4"/>
      <c r="Y45" s="4"/>
      <c r="Z45" s="4"/>
      <c r="AA45" s="4"/>
      <c r="AB45" s="4"/>
      <c r="AC45" s="4"/>
      <c r="AD45" s="4"/>
      <c r="AE45" s="4"/>
      <c r="AF45" s="4"/>
      <c r="AG45" s="4"/>
      <c r="AH45" s="4"/>
      <c r="AI45" s="4"/>
    </row>
    <row r="46" ht="11.25" customHeight="1" outlineLevel="1">
      <c r="A46" s="186" t="str">
        <f>Input!A27</f>
        <v>Bank Revolver</v>
      </c>
      <c r="B46" s="187"/>
      <c r="C46" s="187"/>
      <c r="D46" s="136"/>
      <c r="E46" s="136"/>
      <c r="F46" s="136">
        <f>IF(F$12&gt;Input!$S$27,0,Input!$R$27)</f>
        <v>450</v>
      </c>
      <c r="G46" s="136">
        <f>IF(G$12&gt;Input!$S$27,0,Input!$R$27)</f>
        <v>450</v>
      </c>
      <c r="H46" s="136">
        <f>IF(H$12&gt;Input!$S$27,0,Input!$R$27)</f>
        <v>450</v>
      </c>
      <c r="I46" s="136">
        <f>IF(I$12&gt;Input!$S$27,0,Input!$R$27)</f>
        <v>450</v>
      </c>
      <c r="J46" s="136">
        <f>IF(J$12&gt;Input!$S$27,0,Input!$R$27)</f>
        <v>450</v>
      </c>
      <c r="K46" s="136">
        <f>IF(K$12&gt;Input!$S$27,0,Input!$R$27)</f>
        <v>450</v>
      </c>
      <c r="L46" s="136">
        <f>IF(L$12&gt;Input!$S$27,0,Input!$R$27)</f>
        <v>450</v>
      </c>
      <c r="M46" s="136">
        <f>IF(M$12&gt;Input!$S$27,0,Input!$R$27)</f>
        <v>450</v>
      </c>
      <c r="N46" s="136">
        <f>IF(N$12&gt;Input!$S$27,0,Input!$R$27)</f>
        <v>450</v>
      </c>
      <c r="O46" s="136">
        <f>IF(O$12&gt;Input!$S$27,0,Input!$R$27)</f>
        <v>450</v>
      </c>
      <c r="P46" s="58"/>
      <c r="Q46" s="58"/>
      <c r="R46" s="4"/>
      <c r="S46" s="4"/>
      <c r="T46" s="4"/>
      <c r="U46" s="4"/>
      <c r="V46" s="4"/>
      <c r="W46" s="4"/>
      <c r="X46" s="4"/>
      <c r="Y46" s="4"/>
      <c r="Z46" s="4"/>
      <c r="AA46" s="4"/>
      <c r="AB46" s="4"/>
      <c r="AC46" s="4"/>
      <c r="AD46" s="4"/>
      <c r="AE46" s="4"/>
      <c r="AF46" s="4"/>
      <c r="AG46" s="4"/>
      <c r="AH46" s="4"/>
      <c r="AI46" s="4"/>
    </row>
    <row r="47" ht="11.25" customHeight="1" outlineLevel="1">
      <c r="A47" s="186" t="str">
        <f>Input!A28</f>
        <v>Term Loan "A"</v>
      </c>
      <c r="B47" s="187"/>
      <c r="C47" s="187"/>
      <c r="D47" s="136"/>
      <c r="E47" s="136"/>
      <c r="F47" s="136" t="str">
        <f>IF(AND(ROUND(Bal_Sheet!F48,2)=0,ROUND(Bal_Sheet!E48,2)&gt;0),Input!$Q28-SUM($E47:E47),(MIN(Input!$Q28-SUM($E47:E47),Input!$R28)))</f>
        <v>#REF!</v>
      </c>
      <c r="G47" s="136" t="str">
        <f>IF(AND(ROUND(Bal_Sheet!G48,2)=0,ROUND(Bal_Sheet!F48,2)&gt;0),Input!$Q28-SUM($E47:F47),(MIN(Input!$Q28-SUM($E47:F47),Input!$R28)))</f>
        <v>#REF!</v>
      </c>
      <c r="H47" s="136" t="str">
        <f>IF(AND(ROUND(Bal_Sheet!H48,2)=0,ROUND(Bal_Sheet!G48,2)&gt;0),Input!$Q28-SUM($E47:G47),(MIN(Input!$Q28-SUM($E47:G47),Input!$R28)))</f>
        <v>#REF!</v>
      </c>
      <c r="I47" s="136" t="str">
        <f>IF(AND(ROUND(Bal_Sheet!I48,2)=0,ROUND(Bal_Sheet!H48,2)&gt;0),Input!$Q28-SUM($E47:H47),(MIN(Input!$Q28-SUM($E47:H47),Input!$R28)))</f>
        <v>#REF!</v>
      </c>
      <c r="J47" s="136" t="str">
        <f>IF(AND(ROUND(Bal_Sheet!J48,2)=0,ROUND(Bal_Sheet!I48,2)&gt;0),Input!$Q28-SUM($E47:I47),(MIN(Input!$Q28-SUM($E47:I47),Input!$R28)))</f>
        <v>#REF!</v>
      </c>
      <c r="K47" s="136" t="str">
        <f>IF(AND(ROUND(Bal_Sheet!K48,2)=0,ROUND(Bal_Sheet!J48,2)&gt;0),Input!$Q28-SUM($E47:J47),(MIN(Input!$Q28-SUM($E47:J47),Input!$R28)))</f>
        <v>#REF!</v>
      </c>
      <c r="L47" s="136" t="str">
        <f>IF(AND(ROUND(Bal_Sheet!L48,2)=0,ROUND(Bal_Sheet!K48,2)&gt;0),Input!$Q28-SUM($E47:K47),(MIN(Input!$Q28-SUM($E47:K47),Input!$R28)))</f>
        <v>#REF!</v>
      </c>
      <c r="M47" s="136" t="str">
        <f>IF(AND(ROUND(Bal_Sheet!M48,2)=0,ROUND(Bal_Sheet!L48,2)&gt;0),Input!$Q28-SUM($E47:L47),(MIN(Input!$Q28-SUM($E47:L47),Input!$R28)))</f>
        <v>#REF!</v>
      </c>
      <c r="N47" s="136" t="str">
        <f>IF(AND(ROUND(Bal_Sheet!N48,2)=0,ROUND(Bal_Sheet!M48,2)&gt;0),Input!$Q28-SUM($E47:M47),(MIN(Input!$Q28-SUM($E47:M47),Input!$R28)))</f>
        <v>#REF!</v>
      </c>
      <c r="O47" s="136" t="str">
        <f>IF(AND(ROUND(Bal_Sheet!O48,2)=0,ROUND(Bal_Sheet!N48,2)&gt;0),Input!$Q28-SUM($E47:N47),(MIN(Input!$Q28-SUM($E47:N47),Input!$R28)))</f>
        <v>#REF!</v>
      </c>
      <c r="P47" s="58"/>
      <c r="Q47" s="58"/>
      <c r="R47" s="4"/>
      <c r="S47" s="4"/>
      <c r="T47" s="4"/>
      <c r="U47" s="4"/>
      <c r="V47" s="4"/>
      <c r="W47" s="4"/>
      <c r="X47" s="4"/>
      <c r="Y47" s="4"/>
      <c r="Z47" s="4"/>
      <c r="AA47" s="4"/>
      <c r="AB47" s="4"/>
      <c r="AC47" s="4"/>
      <c r="AD47" s="4"/>
      <c r="AE47" s="4"/>
      <c r="AF47" s="4"/>
      <c r="AG47" s="4"/>
      <c r="AH47" s="4"/>
      <c r="AI47" s="4"/>
    </row>
    <row r="48" ht="11.25" customHeight="1" outlineLevel="1">
      <c r="A48" s="186" t="str">
        <f>Input!A29</f>
        <v>Term Loan "B"</v>
      </c>
      <c r="B48" s="187"/>
      <c r="C48" s="187"/>
      <c r="D48" s="136"/>
      <c r="E48" s="136"/>
      <c r="F48" s="136" t="str">
        <f>IF(AND(ROUND(Bal_Sheet!F49,2)=0,ROUND(Bal_Sheet!E49,2)&gt;0),Input!$Q29-SUM($E48:E48),(MIN(Input!$Q29-SUM($E48:E48),Input!$R29)))</f>
        <v>#REF!</v>
      </c>
      <c r="G48" s="136" t="str">
        <f>IF(AND(ROUND(Bal_Sheet!G49,2)=0,ROUND(Bal_Sheet!F49,2)&gt;0),Input!$Q29-SUM($E48:F48),(MIN(Input!$Q29-SUM($E48:F48),Input!$R29)))</f>
        <v>#REF!</v>
      </c>
      <c r="H48" s="136" t="str">
        <f>IF(AND(ROUND(Bal_Sheet!H49,2)=0,ROUND(Bal_Sheet!G49,2)&gt;0),Input!$Q29-SUM($E48:G48),(MIN(Input!$Q29-SUM($E48:G48),Input!$R29)))</f>
        <v>#REF!</v>
      </c>
      <c r="I48" s="136" t="str">
        <f>IF(AND(ROUND(Bal_Sheet!I49,2)=0,ROUND(Bal_Sheet!H49,2)&gt;0),Input!$Q29-SUM($E48:H48),(MIN(Input!$Q29-SUM($E48:H48),Input!$R29)))</f>
        <v>#REF!</v>
      </c>
      <c r="J48" s="136" t="str">
        <f>IF(AND(ROUND(Bal_Sheet!J49,2)=0,ROUND(Bal_Sheet!I49,2)&gt;0),Input!$Q29-SUM($E48:I48),(MIN(Input!$Q29-SUM($E48:I48),Input!$R29)))</f>
        <v>#REF!</v>
      </c>
      <c r="K48" s="136" t="str">
        <f>IF(AND(ROUND(Bal_Sheet!K49,2)=0,ROUND(Bal_Sheet!J49,2)&gt;0),Input!$Q29-SUM($E48:J48),(MIN(Input!$Q29-SUM($E48:J48),Input!$R29)))</f>
        <v>#REF!</v>
      </c>
      <c r="L48" s="136" t="str">
        <f>IF(AND(ROUND(Bal_Sheet!L49,2)=0,ROUND(Bal_Sheet!K49,2)&gt;0),Input!$Q29-SUM($E48:K48),(MIN(Input!$Q29-SUM($E48:K48),Input!$R29)))</f>
        <v>#REF!</v>
      </c>
      <c r="M48" s="136" t="str">
        <f>IF(AND(ROUND(Bal_Sheet!M49,2)=0,ROUND(Bal_Sheet!L49,2)&gt;0),Input!$Q29-SUM($E48:L48),(MIN(Input!$Q29-SUM($E48:L48),Input!$R29)))</f>
        <v>#REF!</v>
      </c>
      <c r="N48" s="136" t="str">
        <f>IF(AND(ROUND(Bal_Sheet!N49,2)=0,ROUND(Bal_Sheet!M49,2)&gt;0),Input!$Q29-SUM($E48:M48),(MIN(Input!$Q29-SUM($E48:M48),Input!$R29)))</f>
        <v>#REF!</v>
      </c>
      <c r="O48" s="136" t="str">
        <f>IF(AND(ROUND(Bal_Sheet!O49,2)=0,ROUND(Bal_Sheet!N49,2)&gt;0),Input!$Q29-SUM($E48:N48),(MIN(Input!$Q29-SUM($E48:N48),Input!$R29)))</f>
        <v>#REF!</v>
      </c>
      <c r="P48" s="58"/>
      <c r="Q48" s="58"/>
      <c r="R48" s="4"/>
      <c r="S48" s="4"/>
      <c r="T48" s="4"/>
      <c r="U48" s="4"/>
      <c r="V48" s="4"/>
      <c r="W48" s="4"/>
      <c r="X48" s="4"/>
      <c r="Y48" s="4"/>
      <c r="Z48" s="4"/>
      <c r="AA48" s="4"/>
      <c r="AB48" s="4"/>
      <c r="AC48" s="4"/>
      <c r="AD48" s="4"/>
      <c r="AE48" s="4"/>
      <c r="AF48" s="4"/>
      <c r="AG48" s="4"/>
      <c r="AH48" s="4"/>
      <c r="AI48" s="4"/>
    </row>
    <row r="49" ht="11.25" customHeight="1" outlineLevel="1">
      <c r="A49" s="186" t="str">
        <f>Input!A30</f>
        <v>Senior Notes</v>
      </c>
      <c r="B49" s="187"/>
      <c r="C49" s="187"/>
      <c r="D49" s="136"/>
      <c r="E49" s="136"/>
      <c r="F49" s="136" t="str">
        <f>IF(AND(ROUND(Bal_Sheet!F50,2)=0,ROUND(Bal_Sheet!E50,2)&gt;0),Input!$Q30-SUM($E49:E49),(MIN(Input!$Q30-SUM($E49:E49),Input!$R30)))</f>
        <v>#REF!</v>
      </c>
      <c r="G49" s="136" t="str">
        <f>IF(AND(ROUND(Bal_Sheet!G50,2)=0,ROUND(Bal_Sheet!F50,2)&gt;0),Input!$Q30-SUM($E49:F49),(MIN(Input!$Q30-SUM($E49:F49),Input!$R30)))</f>
        <v>#REF!</v>
      </c>
      <c r="H49" s="136" t="str">
        <f>IF(AND(ROUND(Bal_Sheet!H50,2)=0,ROUND(Bal_Sheet!G50,2)&gt;0),Input!$Q30-SUM($E49:G49),(MIN(Input!$Q30-SUM($E49:G49),Input!$R30)))</f>
        <v>#REF!</v>
      </c>
      <c r="I49" s="136" t="str">
        <f>IF(AND(ROUND(Bal_Sheet!I50,2)=0,ROUND(Bal_Sheet!H50,2)&gt;0),Input!$Q30-SUM($E49:H49),(MIN(Input!$Q30-SUM($E49:H49),Input!$R30)))</f>
        <v>#REF!</v>
      </c>
      <c r="J49" s="136" t="str">
        <f>IF(AND(ROUND(Bal_Sheet!J50,2)=0,ROUND(Bal_Sheet!I50,2)&gt;0),Input!$Q30-SUM($E49:I49),(MIN(Input!$Q30-SUM($E49:I49),Input!$R30)))</f>
        <v>#REF!</v>
      </c>
      <c r="K49" s="136" t="str">
        <f>IF(AND(ROUND(Bal_Sheet!K50,2)=0,ROUND(Bal_Sheet!J50,2)&gt;0),Input!$Q30-SUM($E49:J49),(MIN(Input!$Q30-SUM($E49:J49),Input!$R30)))</f>
        <v>#REF!</v>
      </c>
      <c r="L49" s="136" t="str">
        <f>IF(AND(ROUND(Bal_Sheet!L50,2)=0,ROUND(Bal_Sheet!K50,2)&gt;0),Input!$Q30-SUM($E49:K49),(MIN(Input!$Q30-SUM($E49:K49),Input!$R30)))</f>
        <v>#REF!</v>
      </c>
      <c r="M49" s="136" t="str">
        <f>IF(AND(ROUND(Bal_Sheet!M50,2)=0,ROUND(Bal_Sheet!L50,2)&gt;0),Input!$Q30-SUM($E49:L49),(MIN(Input!$Q30-SUM($E49:L49),Input!$R30)))</f>
        <v>#REF!</v>
      </c>
      <c r="N49" s="136" t="str">
        <f>IF(AND(ROUND(Bal_Sheet!N50,2)=0,ROUND(Bal_Sheet!M50,2)&gt;0),Input!$Q30-SUM($E49:M49),(MIN(Input!$Q30-SUM($E49:M49),Input!$R30)))</f>
        <v>#REF!</v>
      </c>
      <c r="O49" s="136" t="str">
        <f>IF(AND(ROUND(Bal_Sheet!O50,2)=0,ROUND(Bal_Sheet!N50,2)&gt;0),Input!$Q30-SUM($E49:N49),(MIN(Input!$Q30-SUM($E49:N49),Input!$R30)))</f>
        <v>#REF!</v>
      </c>
      <c r="P49" s="58"/>
      <c r="Q49" s="58"/>
      <c r="R49" s="4"/>
      <c r="S49" s="4"/>
      <c r="T49" s="4"/>
      <c r="U49" s="4"/>
      <c r="V49" s="4"/>
      <c r="W49" s="4"/>
      <c r="X49" s="4"/>
      <c r="Y49" s="4"/>
      <c r="Z49" s="4"/>
      <c r="AA49" s="4"/>
      <c r="AB49" s="4"/>
      <c r="AC49" s="4"/>
      <c r="AD49" s="4"/>
      <c r="AE49" s="4"/>
      <c r="AF49" s="4"/>
      <c r="AG49" s="4"/>
      <c r="AH49" s="4"/>
      <c r="AI49" s="4"/>
    </row>
    <row r="50" ht="11.25" customHeight="1" outlineLevel="1">
      <c r="A50" s="186" t="str">
        <f>Input!A31</f>
        <v>Subordinated Notes</v>
      </c>
      <c r="B50" s="187"/>
      <c r="C50" s="187"/>
      <c r="D50" s="136"/>
      <c r="E50" s="136"/>
      <c r="F50" s="136" t="str">
        <f>IF(AND(ROUND(Bal_Sheet!F51,2)=0,ROUND(Bal_Sheet!E51,2)&gt;0),Input!$Q31-SUM($E50:E50),(MIN(Input!$Q31-SUM($E50:E50),Input!$R31)))</f>
        <v>#REF!</v>
      </c>
      <c r="G50" s="136" t="str">
        <f>IF(AND(ROUND(Bal_Sheet!G51,2)=0,ROUND(Bal_Sheet!F51,2)&gt;0),Input!$Q31-SUM($E50:F50),(MIN(Input!$Q31-SUM($E50:F50),Input!$R31)))</f>
        <v>#REF!</v>
      </c>
      <c r="H50" s="136" t="str">
        <f>IF(AND(ROUND(Bal_Sheet!H51,2)=0,ROUND(Bal_Sheet!G51,2)&gt;0),Input!$Q31-SUM($E50:G50),(MIN(Input!$Q31-SUM($E50:G50),Input!$R31)))</f>
        <v>#REF!</v>
      </c>
      <c r="I50" s="136" t="str">
        <f>IF(AND(ROUND(Bal_Sheet!I51,2)=0,ROUND(Bal_Sheet!H51,2)&gt;0),Input!$Q31-SUM($E50:H50),(MIN(Input!$Q31-SUM($E50:H50),Input!$R31)))</f>
        <v>#REF!</v>
      </c>
      <c r="J50" s="136" t="str">
        <f>IF(AND(ROUND(Bal_Sheet!J51,2)=0,ROUND(Bal_Sheet!I51,2)&gt;0),Input!$Q31-SUM($E50:I50),(MIN(Input!$Q31-SUM($E50:I50),Input!$R31)))</f>
        <v>#REF!</v>
      </c>
      <c r="K50" s="136" t="str">
        <f>IF(AND(ROUND(Bal_Sheet!K51,2)=0,ROUND(Bal_Sheet!J51,2)&gt;0),Input!$Q31-SUM($E50:J50),(MIN(Input!$Q31-SUM($E50:J50),Input!$R31)))</f>
        <v>#REF!</v>
      </c>
      <c r="L50" s="136" t="str">
        <f>IF(AND(ROUND(Bal_Sheet!L51,2)=0,ROUND(Bal_Sheet!K51,2)&gt;0),Input!$Q31-SUM($E50:K50),(MIN(Input!$Q31-SUM($E50:K50),Input!$R31)))</f>
        <v>#REF!</v>
      </c>
      <c r="M50" s="136" t="str">
        <f>IF(AND(ROUND(Bal_Sheet!M51,2)=0,ROUND(Bal_Sheet!L51,2)&gt;0),Input!$Q31-SUM($E50:L50),(MIN(Input!$Q31-SUM($E50:L50),Input!$R31)))</f>
        <v>#REF!</v>
      </c>
      <c r="N50" s="136" t="str">
        <f>IF(AND(ROUND(Bal_Sheet!N51,2)=0,ROUND(Bal_Sheet!M51,2)&gt;0),Input!$Q31-SUM($E50:M50),(MIN(Input!$Q31-SUM($E50:M50),Input!$R31)))</f>
        <v>#REF!</v>
      </c>
      <c r="O50" s="136" t="str">
        <f>IF(AND(ROUND(Bal_Sheet!O51,2)=0,ROUND(Bal_Sheet!N51,2)&gt;0),Input!$Q31-SUM($E50:N50),(MIN(Input!$Q31-SUM($E50:N50),Input!$R31)))</f>
        <v>#REF!</v>
      </c>
      <c r="P50" s="58"/>
      <c r="Q50" s="58"/>
      <c r="R50" s="4"/>
      <c r="S50" s="4"/>
      <c r="T50" s="4"/>
      <c r="U50" s="4"/>
      <c r="V50" s="4"/>
      <c r="W50" s="4"/>
      <c r="X50" s="4"/>
      <c r="Y50" s="4"/>
      <c r="Z50" s="4"/>
      <c r="AA50" s="4"/>
      <c r="AB50" s="4"/>
      <c r="AC50" s="4"/>
      <c r="AD50" s="4"/>
      <c r="AE50" s="4"/>
      <c r="AF50" s="4"/>
      <c r="AG50" s="4"/>
      <c r="AH50" s="4"/>
      <c r="AI50" s="4"/>
    </row>
    <row r="51" ht="11.25" customHeight="1" outlineLevel="1">
      <c r="A51" s="186" t="str">
        <f>Input!A32</f>
        <v>Mezzanine Debt</v>
      </c>
      <c r="B51" s="187"/>
      <c r="C51" s="187"/>
      <c r="D51" s="136"/>
      <c r="E51" s="136"/>
      <c r="F51" s="136" t="str">
        <f>IF(AND(ROUND(Bal_Sheet!F52,2)=0,ROUND(Bal_Sheet!E52,2)&gt;0),Input!$Q32-SUM($E51:E51),(MIN(Input!$Q32-SUM($E51:E51),Input!$R32)))</f>
        <v>#REF!</v>
      </c>
      <c r="G51" s="136" t="str">
        <f>IF(AND(ROUND(Bal_Sheet!G52,2)=0,ROUND(Bal_Sheet!F52,2)&gt;0),Input!$Q32-SUM($E51:F51),(MIN(Input!$Q32-SUM($E51:F51),Input!$R32)))</f>
        <v>#REF!</v>
      </c>
      <c r="H51" s="136" t="str">
        <f>IF(AND(ROUND(Bal_Sheet!H52,2)=0,ROUND(Bal_Sheet!G52,2)&gt;0),Input!$Q32-SUM($E51:G51),(MIN(Input!$Q32-SUM($E51:G51),Input!$R32)))</f>
        <v>#REF!</v>
      </c>
      <c r="I51" s="136" t="str">
        <f>IF(AND(ROUND(Bal_Sheet!I52,2)=0,ROUND(Bal_Sheet!H52,2)&gt;0),Input!$Q32-SUM($E51:H51),(MIN(Input!$Q32-SUM($E51:H51),Input!$R32)))</f>
        <v>#REF!</v>
      </c>
      <c r="J51" s="136" t="str">
        <f>IF(AND(ROUND(Bal_Sheet!J52,2)=0,ROUND(Bal_Sheet!I52,2)&gt;0),Input!$Q32-SUM($E51:I51),(MIN(Input!$Q32-SUM($E51:I51),Input!$R32)))</f>
        <v>#REF!</v>
      </c>
      <c r="K51" s="136" t="str">
        <f>IF(AND(ROUND(Bal_Sheet!K52,2)=0,ROUND(Bal_Sheet!J52,2)&gt;0),Input!$Q32-SUM($E51:J51),(MIN(Input!$Q32-SUM($E51:J51),Input!$R32)))</f>
        <v>#REF!</v>
      </c>
      <c r="L51" s="136" t="str">
        <f>IF(AND(ROUND(Bal_Sheet!L52,2)=0,ROUND(Bal_Sheet!K52,2)&gt;0),Input!$Q32-SUM($E51:K51),(MIN(Input!$Q32-SUM($E51:K51),Input!$R32)))</f>
        <v>#REF!</v>
      </c>
      <c r="M51" s="136" t="str">
        <f>IF(AND(ROUND(Bal_Sheet!M52,2)=0,ROUND(Bal_Sheet!L52,2)&gt;0),Input!$Q32-SUM($E51:L51),(MIN(Input!$Q32-SUM($E51:L51),Input!$R32)))</f>
        <v>#REF!</v>
      </c>
      <c r="N51" s="136" t="str">
        <f>IF(AND(ROUND(Bal_Sheet!N52,2)=0,ROUND(Bal_Sheet!M52,2)&gt;0),Input!$Q32-SUM($E51:M51),(MIN(Input!$Q32-SUM($E51:M51),Input!$R32)))</f>
        <v>#REF!</v>
      </c>
      <c r="O51" s="136" t="str">
        <f>IF(AND(ROUND(Bal_Sheet!O52,2)=0,ROUND(Bal_Sheet!N52,2)&gt;0),Input!$Q32-SUM($E51:N51),(MIN(Input!$Q32-SUM($E51:N51),Input!$R32)))</f>
        <v>#REF!</v>
      </c>
      <c r="P51" s="58"/>
      <c r="Q51" s="58"/>
      <c r="R51" s="4"/>
      <c r="S51" s="4"/>
      <c r="T51" s="4"/>
      <c r="U51" s="4"/>
      <c r="V51" s="4"/>
      <c r="W51" s="4"/>
      <c r="X51" s="4"/>
      <c r="Y51" s="4"/>
      <c r="Z51" s="4"/>
      <c r="AA51" s="4"/>
      <c r="AB51" s="4"/>
      <c r="AC51" s="4"/>
      <c r="AD51" s="4"/>
      <c r="AE51" s="4"/>
      <c r="AF51" s="4"/>
      <c r="AG51" s="4"/>
      <c r="AH51" s="4"/>
      <c r="AI51" s="4"/>
    </row>
    <row r="52" ht="11.25" customHeight="1" outlineLevel="1">
      <c r="A52" s="186" t="str">
        <f>Input!A33</f>
        <v>Seller Notes</v>
      </c>
      <c r="B52" s="187"/>
      <c r="C52" s="187"/>
      <c r="D52" s="136"/>
      <c r="E52" s="136"/>
      <c r="F52" s="136" t="str">
        <f>IF(AND(ROUND(Bal_Sheet!F53,2)=0,ROUND(Bal_Sheet!E53,2)&gt;0),Input!$Q33-SUM($E52:E52),(MIN(Input!$Q33-SUM($E52:E52),Input!$R33)))</f>
        <v>#REF!</v>
      </c>
      <c r="G52" s="136" t="str">
        <f>IF(AND(ROUND(Bal_Sheet!G53,2)=0,ROUND(Bal_Sheet!F53,2)&gt;0),Input!$Q33-SUM($E52:F52),(MIN(Input!$Q33-SUM($E52:F52),Input!$R33)))</f>
        <v>#REF!</v>
      </c>
      <c r="H52" s="136" t="str">
        <f>IF(AND(ROUND(Bal_Sheet!H53,2)=0,ROUND(Bal_Sheet!G53,2)&gt;0),Input!$Q33-SUM($E52:G52),(MIN(Input!$Q33-SUM($E52:G52),Input!$R33)))</f>
        <v>#REF!</v>
      </c>
      <c r="I52" s="136" t="str">
        <f>IF(AND(ROUND(Bal_Sheet!I53,2)=0,ROUND(Bal_Sheet!H53,2)&gt;0),Input!$Q33-SUM($E52:H52),(MIN(Input!$Q33-SUM($E52:H52),Input!$R33)))</f>
        <v>#REF!</v>
      </c>
      <c r="J52" s="136" t="str">
        <f>IF(AND(ROUND(Bal_Sheet!J53,2)=0,ROUND(Bal_Sheet!I53,2)&gt;0),Input!$Q33-SUM($E52:I52),(MIN(Input!$Q33-SUM($E52:I52),Input!$R33)))</f>
        <v>#REF!</v>
      </c>
      <c r="K52" s="136" t="str">
        <f>IF(AND(ROUND(Bal_Sheet!K53,2)=0,ROUND(Bal_Sheet!J53,2)&gt;0),Input!$Q33-SUM($E52:J52),(MIN(Input!$Q33-SUM($E52:J52),Input!$R33)))</f>
        <v>#REF!</v>
      </c>
      <c r="L52" s="136" t="str">
        <f>IF(AND(ROUND(Bal_Sheet!L53,2)=0,ROUND(Bal_Sheet!K53,2)&gt;0),Input!$Q33-SUM($E52:K52),(MIN(Input!$Q33-SUM($E52:K52),Input!$R33)))</f>
        <v>#REF!</v>
      </c>
      <c r="M52" s="136" t="str">
        <f>IF(AND(ROUND(Bal_Sheet!M53,2)=0,ROUND(Bal_Sheet!L53,2)&gt;0),Input!$Q33-SUM($E52:L52),(MIN(Input!$Q33-SUM($E52:L52),Input!$R33)))</f>
        <v>#REF!</v>
      </c>
      <c r="N52" s="136" t="str">
        <f>IF(AND(ROUND(Bal_Sheet!N53,2)=0,ROUND(Bal_Sheet!M53,2)&gt;0),Input!$Q33-SUM($E52:M52),(MIN(Input!$Q33-SUM($E52:M52),Input!$R33)))</f>
        <v>#REF!</v>
      </c>
      <c r="O52" s="136" t="str">
        <f>IF(AND(ROUND(Bal_Sheet!O53,2)=0,ROUND(Bal_Sheet!N53,2)&gt;0),Input!$Q33-SUM($E52:N52),(MIN(Input!$Q33-SUM($E52:N52),Input!$R33)))</f>
        <v>#REF!</v>
      </c>
      <c r="P52" s="58"/>
      <c r="Q52" s="58"/>
      <c r="R52" s="4"/>
      <c r="S52" s="4"/>
      <c r="T52" s="4"/>
      <c r="U52" s="4"/>
      <c r="V52" s="4"/>
      <c r="W52" s="4"/>
      <c r="X52" s="4"/>
      <c r="Y52" s="4"/>
      <c r="Z52" s="4"/>
      <c r="AA52" s="4"/>
      <c r="AB52" s="4"/>
      <c r="AC52" s="4"/>
      <c r="AD52" s="4"/>
      <c r="AE52" s="4"/>
      <c r="AF52" s="4"/>
      <c r="AG52" s="4"/>
      <c r="AH52" s="4"/>
      <c r="AI52" s="4"/>
    </row>
    <row r="53" ht="11.25" customHeight="1">
      <c r="A53" s="150"/>
      <c r="B53" s="182"/>
      <c r="C53" s="182"/>
      <c r="D53" s="58"/>
      <c r="E53" s="58"/>
      <c r="F53" s="58"/>
      <c r="G53" s="58"/>
      <c r="H53" s="58"/>
      <c r="I53" s="58"/>
      <c r="J53" s="58"/>
      <c r="K53" s="58"/>
      <c r="L53" s="58"/>
      <c r="M53" s="58"/>
      <c r="N53" s="58"/>
      <c r="O53" s="58"/>
      <c r="P53" s="58"/>
      <c r="Q53" s="58"/>
      <c r="R53" s="4"/>
      <c r="S53" s="4"/>
      <c r="T53" s="4"/>
      <c r="U53" s="4"/>
      <c r="V53" s="4"/>
      <c r="W53" s="4"/>
      <c r="X53" s="4"/>
      <c r="Y53" s="4"/>
      <c r="Z53" s="4"/>
      <c r="AA53" s="4"/>
      <c r="AB53" s="4"/>
      <c r="AC53" s="4"/>
      <c r="AD53" s="4"/>
      <c r="AE53" s="4"/>
      <c r="AF53" s="4"/>
      <c r="AG53" s="4"/>
      <c r="AH53" s="4"/>
      <c r="AI53" s="4"/>
    </row>
    <row r="54" ht="11.25" customHeight="1">
      <c r="A54" s="150"/>
      <c r="B54" s="182"/>
      <c r="C54" s="182"/>
      <c r="D54" s="58"/>
      <c r="E54" s="58"/>
      <c r="F54" s="58"/>
      <c r="G54" s="58"/>
      <c r="H54" s="58"/>
      <c r="I54" s="58"/>
      <c r="J54" s="58"/>
      <c r="K54" s="58"/>
      <c r="L54" s="58"/>
      <c r="M54" s="58"/>
      <c r="N54" s="58"/>
      <c r="O54" s="58"/>
      <c r="P54" s="58"/>
      <c r="Q54" s="58"/>
      <c r="R54" s="4"/>
      <c r="S54" s="4"/>
      <c r="T54" s="4"/>
      <c r="U54" s="4"/>
      <c r="V54" s="4"/>
      <c r="W54" s="4"/>
      <c r="X54" s="4"/>
      <c r="Y54" s="4"/>
      <c r="Z54" s="4"/>
      <c r="AA54" s="4"/>
      <c r="AB54" s="4"/>
      <c r="AC54" s="4"/>
      <c r="AD54" s="4"/>
      <c r="AE54" s="4"/>
      <c r="AF54" s="4"/>
      <c r="AG54" s="4"/>
      <c r="AH54" s="4"/>
      <c r="AI54" s="4"/>
    </row>
    <row r="55" ht="11.25" customHeight="1">
      <c r="A55" s="188"/>
      <c r="B55" s="189"/>
      <c r="C55" s="189"/>
      <c r="D55" s="76"/>
      <c r="E55" s="76"/>
      <c r="F55" s="76"/>
      <c r="G55" s="76"/>
      <c r="H55" s="76"/>
      <c r="I55" s="76"/>
      <c r="J55" s="76"/>
      <c r="K55" s="76"/>
      <c r="L55" s="76"/>
      <c r="M55" s="76"/>
      <c r="N55" s="76"/>
      <c r="O55" s="76"/>
      <c r="P55" s="58"/>
      <c r="Q55" s="58"/>
      <c r="R55" s="4"/>
      <c r="S55" s="4"/>
      <c r="T55" s="4"/>
      <c r="U55" s="4"/>
      <c r="V55" s="4"/>
      <c r="W55" s="4"/>
      <c r="X55" s="4"/>
      <c r="Y55" s="4"/>
      <c r="Z55" s="4"/>
      <c r="AA55" s="4"/>
      <c r="AB55" s="4"/>
      <c r="AC55" s="4"/>
      <c r="AD55" s="4"/>
      <c r="AE55" s="4"/>
      <c r="AF55" s="4"/>
      <c r="AG55" s="4"/>
      <c r="AH55" s="4"/>
      <c r="AI55" s="4"/>
    </row>
    <row r="56" ht="11.25" customHeight="1">
      <c r="A56" s="150"/>
      <c r="B56" s="182"/>
      <c r="C56" s="182"/>
      <c r="D56" s="58"/>
      <c r="E56" s="58"/>
      <c r="F56" s="58"/>
      <c r="G56" s="58"/>
      <c r="H56" s="58"/>
      <c r="I56" s="58"/>
      <c r="J56" s="58"/>
      <c r="K56" s="58"/>
      <c r="L56" s="58"/>
      <c r="M56" s="58"/>
      <c r="N56" s="58"/>
      <c r="O56" s="58"/>
      <c r="P56" s="58"/>
      <c r="Q56" s="58"/>
      <c r="R56" s="4"/>
      <c r="S56" s="4"/>
      <c r="T56" s="4"/>
      <c r="U56" s="4"/>
      <c r="V56" s="4"/>
      <c r="W56" s="4"/>
      <c r="X56" s="4"/>
      <c r="Y56" s="4"/>
      <c r="Z56" s="4"/>
      <c r="AA56" s="4"/>
      <c r="AB56" s="4"/>
      <c r="AC56" s="4"/>
      <c r="AD56" s="4"/>
      <c r="AE56" s="4"/>
      <c r="AF56" s="4"/>
      <c r="AG56" s="4"/>
      <c r="AH56" s="4"/>
      <c r="AI56" s="4"/>
    </row>
    <row r="57" ht="11.25" customHeight="1">
      <c r="A57" s="150"/>
      <c r="B57" s="182"/>
      <c r="C57" s="182"/>
      <c r="D57" s="58"/>
      <c r="E57" s="58"/>
      <c r="F57" s="58"/>
      <c r="G57" s="58"/>
      <c r="H57" s="58"/>
      <c r="I57" s="58"/>
      <c r="J57" s="58"/>
      <c r="K57" s="58"/>
      <c r="L57" s="58"/>
      <c r="M57" s="58"/>
      <c r="N57" s="58"/>
      <c r="O57" s="58"/>
      <c r="P57" s="58"/>
      <c r="Q57" s="58"/>
      <c r="R57" s="4"/>
      <c r="S57" s="4"/>
      <c r="T57" s="4"/>
      <c r="U57" s="4"/>
      <c r="V57" s="4"/>
      <c r="W57" s="4"/>
      <c r="X57" s="4"/>
      <c r="Y57" s="4"/>
      <c r="Z57" s="4"/>
      <c r="AA57" s="4"/>
      <c r="AB57" s="4"/>
      <c r="AC57" s="4"/>
      <c r="AD57" s="4"/>
      <c r="AE57" s="4"/>
      <c r="AF57" s="4"/>
      <c r="AG57" s="4"/>
      <c r="AH57" s="4"/>
      <c r="AI57" s="4"/>
    </row>
    <row r="58" ht="12.75" customHeight="1">
      <c r="A58" s="153" t="s">
        <v>225</v>
      </c>
      <c r="B58" s="161"/>
      <c r="C58" s="161"/>
      <c r="D58" s="4"/>
      <c r="E58" s="4"/>
      <c r="F58" s="20" t="s">
        <v>226</v>
      </c>
      <c r="G58" s="21"/>
      <c r="H58" s="44">
        <v>415000.0</v>
      </c>
      <c r="I58" s="4"/>
      <c r="J58" s="163" t="s">
        <v>202</v>
      </c>
      <c r="K58" s="164"/>
      <c r="L58" s="165"/>
      <c r="M58" s="4"/>
      <c r="N58" s="4"/>
      <c r="O58" s="4"/>
      <c r="P58" s="58"/>
      <c r="Q58" s="58"/>
      <c r="R58" s="4"/>
      <c r="S58" s="4"/>
      <c r="T58" s="4"/>
      <c r="U58" s="4"/>
      <c r="V58" s="4"/>
      <c r="W58" s="4"/>
      <c r="X58" s="4"/>
      <c r="Y58" s="4"/>
      <c r="Z58" s="4"/>
      <c r="AA58" s="4"/>
      <c r="AB58" s="4"/>
      <c r="AC58" s="4"/>
      <c r="AD58" s="4"/>
      <c r="AE58" s="4"/>
      <c r="AF58" s="4"/>
      <c r="AG58" s="4"/>
      <c r="AH58" s="4"/>
      <c r="AI58" s="4"/>
    </row>
    <row r="59" ht="11.25" customHeight="1">
      <c r="A59" s="161"/>
      <c r="B59" s="161"/>
      <c r="C59" s="161"/>
      <c r="D59" s="4"/>
      <c r="E59" s="4"/>
      <c r="F59" s="4"/>
      <c r="G59" s="4"/>
      <c r="H59" s="41"/>
      <c r="I59" s="4"/>
      <c r="J59" s="166">
        <v>0.0</v>
      </c>
      <c r="K59" s="26" t="s">
        <v>205</v>
      </c>
      <c r="L59" s="18"/>
      <c r="M59" s="4"/>
      <c r="N59" s="4"/>
      <c r="O59" s="4"/>
      <c r="P59" s="58"/>
      <c r="Q59" s="58"/>
      <c r="R59" s="4"/>
      <c r="S59" s="4"/>
      <c r="T59" s="4"/>
      <c r="U59" s="4"/>
      <c r="V59" s="4"/>
      <c r="W59" s="4"/>
      <c r="X59" s="4"/>
      <c r="Y59" s="4"/>
      <c r="Z59" s="4"/>
      <c r="AA59" s="4"/>
      <c r="AB59" s="4"/>
      <c r="AC59" s="4"/>
      <c r="AD59" s="4"/>
      <c r="AE59" s="4"/>
      <c r="AF59" s="4"/>
      <c r="AG59" s="4"/>
      <c r="AH59" s="4"/>
      <c r="AI59" s="4"/>
    </row>
    <row r="60" ht="11.25" customHeight="1">
      <c r="A60" s="161"/>
      <c r="B60" s="161"/>
      <c r="C60" s="161"/>
      <c r="D60" s="4"/>
      <c r="E60" s="4"/>
      <c r="F60" s="4"/>
      <c r="G60" s="4"/>
      <c r="H60" s="41"/>
      <c r="I60" s="4"/>
      <c r="J60" s="4"/>
      <c r="K60" s="4"/>
      <c r="L60" s="4"/>
      <c r="M60" s="4"/>
      <c r="N60" s="4"/>
      <c r="O60" s="4"/>
      <c r="P60" s="58"/>
      <c r="Q60" s="58"/>
      <c r="R60" s="4"/>
      <c r="S60" s="4"/>
      <c r="T60" s="4"/>
      <c r="U60" s="4"/>
      <c r="V60" s="4"/>
      <c r="W60" s="4"/>
      <c r="X60" s="4"/>
      <c r="Y60" s="4"/>
      <c r="Z60" s="4"/>
      <c r="AA60" s="4"/>
      <c r="AB60" s="4"/>
      <c r="AC60" s="4"/>
      <c r="AD60" s="4"/>
      <c r="AE60" s="4"/>
      <c r="AF60" s="4"/>
      <c r="AG60" s="4"/>
      <c r="AH60" s="4"/>
      <c r="AI60" s="4"/>
    </row>
    <row r="61" ht="11.25" customHeight="1">
      <c r="A61" s="4"/>
      <c r="B61" s="4"/>
      <c r="C61" s="4"/>
      <c r="D61" s="4"/>
      <c r="E61" s="4"/>
      <c r="F61" s="170"/>
      <c r="G61" s="170"/>
      <c r="H61" s="170"/>
      <c r="I61" s="170"/>
      <c r="J61" s="170"/>
      <c r="K61" s="170"/>
      <c r="L61" s="170"/>
      <c r="M61" s="170"/>
      <c r="N61" s="170"/>
      <c r="O61" s="170"/>
      <c r="P61" s="58"/>
      <c r="Q61" s="58"/>
      <c r="R61" s="4"/>
      <c r="S61" s="4"/>
      <c r="T61" s="4"/>
      <c r="U61" s="4"/>
      <c r="V61" s="4"/>
      <c r="W61" s="4"/>
      <c r="X61" s="4"/>
      <c r="Y61" s="4"/>
      <c r="Z61" s="4"/>
      <c r="AA61" s="4"/>
      <c r="AB61" s="4"/>
      <c r="AC61" s="4"/>
      <c r="AD61" s="4"/>
      <c r="AE61" s="4"/>
      <c r="AF61" s="4"/>
      <c r="AG61" s="4"/>
      <c r="AH61" s="4"/>
      <c r="AI61" s="4"/>
    </row>
    <row r="62" ht="12.0" customHeight="1">
      <c r="A62" s="149" t="s">
        <v>227</v>
      </c>
      <c r="B62" s="149"/>
      <c r="C62" s="149"/>
      <c r="D62" s="4"/>
      <c r="E62" s="4"/>
      <c r="F62" s="145"/>
      <c r="G62" s="145"/>
      <c r="H62" s="145"/>
      <c r="I62" s="145"/>
      <c r="J62" s="145"/>
      <c r="K62" s="145"/>
      <c r="L62" s="145"/>
      <c r="M62" s="145"/>
      <c r="N62" s="145"/>
      <c r="O62" s="145"/>
      <c r="P62" s="58"/>
      <c r="Q62" s="58"/>
      <c r="R62" s="4"/>
      <c r="S62" s="4"/>
      <c r="T62" s="4"/>
      <c r="U62" s="4"/>
      <c r="V62" s="4"/>
      <c r="W62" s="4"/>
      <c r="X62" s="4"/>
      <c r="Y62" s="4"/>
      <c r="Z62" s="4"/>
      <c r="AA62" s="4"/>
      <c r="AB62" s="4"/>
      <c r="AC62" s="4"/>
      <c r="AD62" s="4"/>
      <c r="AE62" s="4"/>
      <c r="AF62" s="4"/>
      <c r="AG62" s="4"/>
      <c r="AH62" s="4"/>
      <c r="AI62" s="4"/>
    </row>
    <row r="63" ht="11.25" customHeight="1">
      <c r="A63" s="150"/>
      <c r="B63" s="176" t="s">
        <v>211</v>
      </c>
      <c r="C63" s="177" t="s">
        <v>212</v>
      </c>
      <c r="D63" s="176" t="s">
        <v>213</v>
      </c>
      <c r="E63" s="4"/>
      <c r="F63" s="145"/>
      <c r="G63" s="145"/>
      <c r="H63" s="145"/>
      <c r="I63" s="145"/>
      <c r="J63" s="145"/>
      <c r="K63" s="145"/>
      <c r="L63" s="145"/>
      <c r="M63" s="145"/>
      <c r="N63" s="145"/>
      <c r="O63" s="145"/>
      <c r="P63" s="58"/>
      <c r="Q63" s="58"/>
      <c r="R63" s="4"/>
      <c r="S63" s="4"/>
      <c r="T63" s="4"/>
      <c r="U63" s="4"/>
      <c r="V63" s="4"/>
      <c r="W63" s="4"/>
      <c r="X63" s="4"/>
      <c r="Y63" s="4"/>
      <c r="Z63" s="4"/>
      <c r="AA63" s="4"/>
      <c r="AB63" s="4"/>
      <c r="AC63" s="4"/>
      <c r="AD63" s="4"/>
      <c r="AE63" s="4"/>
      <c r="AF63" s="4"/>
      <c r="AG63" s="4"/>
      <c r="AH63" s="4"/>
      <c r="AI63" s="4"/>
    </row>
    <row r="64" ht="11.25" customHeight="1">
      <c r="A64" s="150" t="s">
        <v>214</v>
      </c>
      <c r="B64" s="178">
        <v>130000.0</v>
      </c>
      <c r="C64" s="179">
        <v>12.0</v>
      </c>
      <c r="D64" s="178">
        <v>900.0</v>
      </c>
      <c r="E64" s="58"/>
      <c r="F64" s="58">
        <f t="shared" ref="F64:O64" si="22">IF(F$12&gt;$C64,0,IF($J$5=1,SYD($B64,$D64,$C64,F$12),SLN($B64,$D64,$C64)))</f>
        <v>10758.33333</v>
      </c>
      <c r="G64" s="58">
        <f t="shared" si="22"/>
        <v>10758.33333</v>
      </c>
      <c r="H64" s="58">
        <f t="shared" si="22"/>
        <v>10758.33333</v>
      </c>
      <c r="I64" s="58">
        <f t="shared" si="22"/>
        <v>10758.33333</v>
      </c>
      <c r="J64" s="58">
        <f t="shared" si="22"/>
        <v>10758.33333</v>
      </c>
      <c r="K64" s="58">
        <f t="shared" si="22"/>
        <v>10758.33333</v>
      </c>
      <c r="L64" s="58">
        <f t="shared" si="22"/>
        <v>10758.33333</v>
      </c>
      <c r="M64" s="58">
        <f t="shared" si="22"/>
        <v>10758.33333</v>
      </c>
      <c r="N64" s="58">
        <f t="shared" si="22"/>
        <v>10758.33333</v>
      </c>
      <c r="O64" s="58">
        <f t="shared" si="22"/>
        <v>10758.33333</v>
      </c>
      <c r="P64" s="58"/>
      <c r="Q64" s="58"/>
      <c r="R64" s="4"/>
      <c r="S64" s="4"/>
      <c r="T64" s="4"/>
      <c r="U64" s="4"/>
      <c r="V64" s="4"/>
      <c r="W64" s="4"/>
      <c r="X64" s="4"/>
      <c r="Y64" s="4"/>
      <c r="Z64" s="4"/>
      <c r="AA64" s="4"/>
      <c r="AB64" s="4"/>
      <c r="AC64" s="4"/>
      <c r="AD64" s="4"/>
      <c r="AE64" s="4"/>
      <c r="AF64" s="4"/>
      <c r="AG64" s="4"/>
      <c r="AH64" s="4"/>
      <c r="AI64" s="4"/>
    </row>
    <row r="65" ht="11.25" customHeight="1">
      <c r="A65" s="150" t="s">
        <v>215</v>
      </c>
      <c r="B65" s="179">
        <v>105000.0</v>
      </c>
      <c r="C65" s="179">
        <v>10.0</v>
      </c>
      <c r="D65" s="179">
        <v>800.0</v>
      </c>
      <c r="E65" s="58"/>
      <c r="F65" s="58">
        <f t="shared" ref="F65:O65" si="23">IF(F$12&gt;$C65,0,IF($J$5=1,SYD($B65,$D65,$C65,F$12),SLN($B65,$D65,$C65)))</f>
        <v>10420</v>
      </c>
      <c r="G65" s="58">
        <f t="shared" si="23"/>
        <v>10420</v>
      </c>
      <c r="H65" s="58">
        <f t="shared" si="23"/>
        <v>10420</v>
      </c>
      <c r="I65" s="58">
        <f t="shared" si="23"/>
        <v>10420</v>
      </c>
      <c r="J65" s="58">
        <f t="shared" si="23"/>
        <v>10420</v>
      </c>
      <c r="K65" s="58">
        <f t="shared" si="23"/>
        <v>10420</v>
      </c>
      <c r="L65" s="58">
        <f t="shared" si="23"/>
        <v>10420</v>
      </c>
      <c r="M65" s="58">
        <f t="shared" si="23"/>
        <v>10420</v>
      </c>
      <c r="N65" s="58">
        <f t="shared" si="23"/>
        <v>10420</v>
      </c>
      <c r="O65" s="58">
        <f t="shared" si="23"/>
        <v>10420</v>
      </c>
      <c r="P65" s="58"/>
      <c r="Q65" s="58"/>
      <c r="R65" s="4"/>
      <c r="S65" s="4"/>
      <c r="T65" s="4"/>
      <c r="U65" s="4"/>
      <c r="V65" s="4"/>
      <c r="W65" s="4"/>
      <c r="X65" s="4"/>
      <c r="Y65" s="4"/>
      <c r="Z65" s="4"/>
      <c r="AA65" s="4"/>
      <c r="AB65" s="4"/>
      <c r="AC65" s="4"/>
      <c r="AD65" s="4"/>
      <c r="AE65" s="4"/>
      <c r="AF65" s="4"/>
      <c r="AG65" s="4"/>
      <c r="AH65" s="4"/>
      <c r="AI65" s="4"/>
    </row>
    <row r="66" ht="11.25" customHeight="1">
      <c r="A66" s="150" t="s">
        <v>216</v>
      </c>
      <c r="B66" s="179">
        <v>95000.0</v>
      </c>
      <c r="C66" s="179">
        <v>8.0</v>
      </c>
      <c r="D66" s="179">
        <v>600.0</v>
      </c>
      <c r="E66" s="58"/>
      <c r="F66" s="58">
        <f t="shared" ref="F66:O66" si="24">IF(F$12&gt;$C66,0,IF($J$5=1,SYD($B66,$D66,$C66,F$12),SLN($B66,$D66,$C66)))</f>
        <v>11800</v>
      </c>
      <c r="G66" s="58">
        <f t="shared" si="24"/>
        <v>11800</v>
      </c>
      <c r="H66" s="58">
        <f t="shared" si="24"/>
        <v>11800</v>
      </c>
      <c r="I66" s="58">
        <f t="shared" si="24"/>
        <v>11800</v>
      </c>
      <c r="J66" s="58">
        <f t="shared" si="24"/>
        <v>11800</v>
      </c>
      <c r="K66" s="58">
        <f t="shared" si="24"/>
        <v>11800</v>
      </c>
      <c r="L66" s="58">
        <f t="shared" si="24"/>
        <v>11800</v>
      </c>
      <c r="M66" s="58">
        <f t="shared" si="24"/>
        <v>11800</v>
      </c>
      <c r="N66" s="58">
        <f t="shared" si="24"/>
        <v>0</v>
      </c>
      <c r="O66" s="58">
        <f t="shared" si="24"/>
        <v>0</v>
      </c>
      <c r="P66" s="58"/>
      <c r="Q66" s="58"/>
      <c r="R66" s="4"/>
      <c r="S66" s="4"/>
      <c r="T66" s="4"/>
      <c r="U66" s="4"/>
      <c r="V66" s="4"/>
      <c r="W66" s="4"/>
      <c r="X66" s="4"/>
      <c r="Y66" s="4"/>
      <c r="Z66" s="4"/>
      <c r="AA66" s="4"/>
      <c r="AB66" s="4"/>
      <c r="AC66" s="4"/>
      <c r="AD66" s="4"/>
      <c r="AE66" s="4"/>
      <c r="AF66" s="4"/>
      <c r="AG66" s="4"/>
      <c r="AH66" s="4"/>
      <c r="AI66" s="4"/>
    </row>
    <row r="67" ht="11.25" customHeight="1">
      <c r="A67" s="150" t="s">
        <v>217</v>
      </c>
      <c r="B67" s="145">
        <f>H58-SUM(B64:B66)</f>
        <v>85000</v>
      </c>
      <c r="C67" s="179">
        <v>6.0</v>
      </c>
      <c r="D67" s="179">
        <v>600.0</v>
      </c>
      <c r="E67" s="58"/>
      <c r="F67" s="58">
        <f t="shared" ref="F67:O67" si="25">IF(F$12&gt;$C67,0,IF($J$5=1,SYD($B67,$D67,$C67,F$12),SLN($B67,$D67,$C67)))</f>
        <v>14066.66667</v>
      </c>
      <c r="G67" s="58">
        <f t="shared" si="25"/>
        <v>14066.66667</v>
      </c>
      <c r="H67" s="58">
        <f t="shared" si="25"/>
        <v>14066.66667</v>
      </c>
      <c r="I67" s="58">
        <f t="shared" si="25"/>
        <v>14066.66667</v>
      </c>
      <c r="J67" s="58">
        <f t="shared" si="25"/>
        <v>14066.66667</v>
      </c>
      <c r="K67" s="58">
        <f t="shared" si="25"/>
        <v>14066.66667</v>
      </c>
      <c r="L67" s="58">
        <f t="shared" si="25"/>
        <v>0</v>
      </c>
      <c r="M67" s="58">
        <f t="shared" si="25"/>
        <v>0</v>
      </c>
      <c r="N67" s="58">
        <f t="shared" si="25"/>
        <v>0</v>
      </c>
      <c r="O67" s="58">
        <f t="shared" si="25"/>
        <v>0</v>
      </c>
      <c r="P67" s="58"/>
      <c r="Q67" s="58"/>
      <c r="R67" s="4"/>
      <c r="S67" s="4"/>
      <c r="T67" s="4"/>
      <c r="U67" s="4"/>
      <c r="V67" s="4"/>
      <c r="W67" s="4"/>
      <c r="X67" s="4"/>
      <c r="Y67" s="4"/>
      <c r="Z67" s="4"/>
      <c r="AA67" s="4"/>
      <c r="AB67" s="4"/>
      <c r="AC67" s="4"/>
      <c r="AD67" s="4"/>
      <c r="AE67" s="4"/>
      <c r="AF67" s="4"/>
      <c r="AG67" s="4"/>
      <c r="AH67" s="4"/>
      <c r="AI67" s="4"/>
    </row>
    <row r="68" ht="11.25" customHeight="1">
      <c r="A68" s="150"/>
      <c r="B68" s="180">
        <f>SUM(B64:B67)</f>
        <v>415000</v>
      </c>
      <c r="C68" s="145"/>
      <c r="D68" s="180">
        <f>SUM(D64:D67)</f>
        <v>2900</v>
      </c>
      <c r="E68" s="145"/>
      <c r="F68" s="181">
        <f t="shared" ref="F68:O68" si="26">SUM(F64:F67)</f>
        <v>47045</v>
      </c>
      <c r="G68" s="181">
        <f t="shared" si="26"/>
        <v>47045</v>
      </c>
      <c r="H68" s="181">
        <f t="shared" si="26"/>
        <v>47045</v>
      </c>
      <c r="I68" s="181">
        <f t="shared" si="26"/>
        <v>47045</v>
      </c>
      <c r="J68" s="181">
        <f t="shared" si="26"/>
        <v>47045</v>
      </c>
      <c r="K68" s="181">
        <f t="shared" si="26"/>
        <v>47045</v>
      </c>
      <c r="L68" s="181">
        <f t="shared" si="26"/>
        <v>32978.33333</v>
      </c>
      <c r="M68" s="181">
        <f t="shared" si="26"/>
        <v>32978.33333</v>
      </c>
      <c r="N68" s="181">
        <f t="shared" si="26"/>
        <v>21178.33333</v>
      </c>
      <c r="O68" s="181">
        <f t="shared" si="26"/>
        <v>21178.33333</v>
      </c>
      <c r="P68" s="58"/>
      <c r="Q68" s="58"/>
      <c r="R68" s="4"/>
      <c r="S68" s="4"/>
      <c r="T68" s="4"/>
      <c r="U68" s="4"/>
      <c r="V68" s="4"/>
      <c r="W68" s="4"/>
      <c r="X68" s="4"/>
      <c r="Y68" s="4"/>
      <c r="Z68" s="4"/>
      <c r="AA68" s="4"/>
      <c r="AB68" s="4"/>
      <c r="AC68" s="4"/>
      <c r="AD68" s="4"/>
      <c r="AE68" s="4"/>
      <c r="AF68" s="4"/>
      <c r="AG68" s="4"/>
      <c r="AH68" s="4"/>
      <c r="AI68" s="4"/>
    </row>
    <row r="69" ht="11.25" customHeight="1">
      <c r="A69" s="150"/>
      <c r="B69" s="182"/>
      <c r="C69" s="182"/>
      <c r="D69" s="58"/>
      <c r="E69" s="58"/>
      <c r="F69" s="58"/>
      <c r="G69" s="58"/>
      <c r="H69" s="58"/>
      <c r="I69" s="58"/>
      <c r="J69" s="58"/>
      <c r="K69" s="58"/>
      <c r="L69" s="58"/>
      <c r="M69" s="58"/>
      <c r="N69" s="58"/>
      <c r="O69" s="58"/>
      <c r="P69" s="58"/>
      <c r="Q69" s="58"/>
      <c r="R69" s="4"/>
      <c r="S69" s="4"/>
      <c r="T69" s="4"/>
      <c r="U69" s="4"/>
      <c r="V69" s="4"/>
      <c r="W69" s="4"/>
      <c r="X69" s="4"/>
      <c r="Y69" s="4"/>
      <c r="Z69" s="4"/>
      <c r="AA69" s="4"/>
      <c r="AB69" s="4"/>
      <c r="AC69" s="4"/>
      <c r="AD69" s="4"/>
      <c r="AE69" s="4"/>
      <c r="AF69" s="4"/>
      <c r="AG69" s="4"/>
      <c r="AH69" s="4"/>
      <c r="AI69" s="4"/>
    </row>
    <row r="70" ht="12.0" customHeight="1">
      <c r="A70" s="183" t="s">
        <v>67</v>
      </c>
      <c r="B70" s="182"/>
      <c r="C70" s="182"/>
      <c r="D70" s="58"/>
      <c r="E70" s="58"/>
      <c r="F70" s="58"/>
      <c r="G70" s="58"/>
      <c r="H70" s="58"/>
      <c r="I70" s="58"/>
      <c r="J70" s="58"/>
      <c r="K70" s="58"/>
      <c r="L70" s="58"/>
      <c r="M70" s="58"/>
      <c r="N70" s="58"/>
      <c r="O70" s="58"/>
      <c r="P70" s="58"/>
      <c r="Q70" s="58"/>
      <c r="R70" s="4"/>
      <c r="S70" s="4"/>
      <c r="T70" s="4"/>
      <c r="U70" s="4"/>
      <c r="V70" s="4"/>
      <c r="W70" s="4"/>
      <c r="X70" s="4"/>
      <c r="Y70" s="4"/>
      <c r="Z70" s="4"/>
      <c r="AA70" s="4"/>
      <c r="AB70" s="4"/>
      <c r="AC70" s="4"/>
      <c r="AD70" s="4"/>
      <c r="AE70" s="4"/>
      <c r="AF70" s="4"/>
      <c r="AG70" s="4"/>
      <c r="AH70" s="4"/>
      <c r="AI70" s="4"/>
    </row>
    <row r="71" ht="11.25" customHeight="1">
      <c r="A71" s="176" t="s">
        <v>105</v>
      </c>
      <c r="B71" s="184" t="s">
        <v>67</v>
      </c>
      <c r="C71" s="184" t="s">
        <v>218</v>
      </c>
      <c r="D71" s="184" t="s">
        <v>213</v>
      </c>
      <c r="E71" s="58"/>
      <c r="F71" s="58"/>
      <c r="G71" s="58"/>
      <c r="H71" s="58"/>
      <c r="I71" s="58"/>
      <c r="J71" s="58"/>
      <c r="K71" s="58"/>
      <c r="L71" s="58"/>
      <c r="M71" s="58"/>
      <c r="N71" s="58"/>
      <c r="O71" s="58"/>
      <c r="P71" s="58"/>
      <c r="Q71" s="58"/>
      <c r="R71" s="4"/>
      <c r="S71" s="4"/>
      <c r="T71" s="4"/>
      <c r="U71" s="4"/>
      <c r="V71" s="4"/>
      <c r="W71" s="4"/>
      <c r="X71" s="4"/>
      <c r="Y71" s="4"/>
      <c r="Z71" s="4"/>
      <c r="AA71" s="4"/>
      <c r="AB71" s="4"/>
      <c r="AC71" s="4"/>
      <c r="AD71" s="4"/>
      <c r="AE71" s="4"/>
      <c r="AF71" s="4"/>
      <c r="AG71" s="4"/>
      <c r="AH71" s="4"/>
      <c r="AI71" s="4"/>
    </row>
    <row r="72" ht="11.25" customHeight="1">
      <c r="A72" s="170">
        <f>F12</f>
        <v>1</v>
      </c>
      <c r="B72" s="185">
        <f>IF(capex_interval="",0,IF(capex_start_year="",0,IF($A72&lt;capex_start_year,0,IF(MOD($A72-capex_start_year,capex_interval)=0,Inc_St!$D$8*capex,0))))</f>
        <v>110000</v>
      </c>
      <c r="C72" s="179">
        <v>12.0</v>
      </c>
      <c r="D72" s="178"/>
      <c r="E72" s="58"/>
      <c r="F72" s="58">
        <f t="shared" ref="F72:O72" si="27">IF($A72&gt;F$12,0,IF(F$12&gt;$C72+$A72-1,0,IF($J$5=1,SYD($B72,$D72,$C72,F$12),SLN($B72,$D72,$C72))))</f>
        <v>9166.666667</v>
      </c>
      <c r="G72" s="58">
        <f t="shared" si="27"/>
        <v>9166.666667</v>
      </c>
      <c r="H72" s="58">
        <f t="shared" si="27"/>
        <v>9166.666667</v>
      </c>
      <c r="I72" s="58">
        <f t="shared" si="27"/>
        <v>9166.666667</v>
      </c>
      <c r="J72" s="58">
        <f t="shared" si="27"/>
        <v>9166.666667</v>
      </c>
      <c r="K72" s="58">
        <f t="shared" si="27"/>
        <v>9166.666667</v>
      </c>
      <c r="L72" s="58">
        <f t="shared" si="27"/>
        <v>9166.666667</v>
      </c>
      <c r="M72" s="58">
        <f t="shared" si="27"/>
        <v>9166.666667</v>
      </c>
      <c r="N72" s="58">
        <f t="shared" si="27"/>
        <v>9166.666667</v>
      </c>
      <c r="O72" s="58">
        <f t="shared" si="27"/>
        <v>9166.666667</v>
      </c>
      <c r="P72" s="4"/>
      <c r="Q72" s="4"/>
      <c r="R72" s="4"/>
      <c r="S72" s="4"/>
      <c r="T72" s="4"/>
      <c r="U72" s="4"/>
      <c r="V72" s="4"/>
      <c r="W72" s="4"/>
      <c r="X72" s="4"/>
      <c r="Y72" s="4"/>
      <c r="Z72" s="4"/>
      <c r="AA72" s="4"/>
      <c r="AB72" s="4"/>
      <c r="AC72" s="4"/>
      <c r="AD72" s="4"/>
      <c r="AE72" s="4"/>
      <c r="AF72" s="4"/>
      <c r="AG72" s="4"/>
      <c r="AH72" s="4"/>
      <c r="AI72" s="4"/>
    </row>
    <row r="73" ht="11.25" customHeight="1">
      <c r="A73" s="170">
        <f>G12</f>
        <v>2</v>
      </c>
      <c r="B73" s="145">
        <f>IF(capex_interval="",0,IF(capex_start_year="",0,IF($A73&lt;capex_start_year,0,IF(MOD($A73-capex_start_year,capex_interval)=0,Inc_St!$E$8*capex,0))))</f>
        <v>121000</v>
      </c>
      <c r="C73" s="179">
        <v>8.0</v>
      </c>
      <c r="D73" s="179"/>
      <c r="E73" s="58"/>
      <c r="F73" s="58">
        <f t="shared" ref="F73:O73" si="28">IF($A73&gt;F$12,0,IF(F$12&gt;$C73+$A73-1,0,IF($J$5=1,SYD($B73,$D73,$C73,F$12),SLN($B73,$D73,$C73))))</f>
        <v>0</v>
      </c>
      <c r="G73" s="58">
        <f t="shared" si="28"/>
        <v>15125</v>
      </c>
      <c r="H73" s="58">
        <f t="shared" si="28"/>
        <v>15125</v>
      </c>
      <c r="I73" s="58">
        <f t="shared" si="28"/>
        <v>15125</v>
      </c>
      <c r="J73" s="58">
        <f t="shared" si="28"/>
        <v>15125</v>
      </c>
      <c r="K73" s="58">
        <f t="shared" si="28"/>
        <v>15125</v>
      </c>
      <c r="L73" s="58">
        <f t="shared" si="28"/>
        <v>15125</v>
      </c>
      <c r="M73" s="58">
        <f t="shared" si="28"/>
        <v>15125</v>
      </c>
      <c r="N73" s="58">
        <f t="shared" si="28"/>
        <v>15125</v>
      </c>
      <c r="O73" s="58">
        <f t="shared" si="28"/>
        <v>0</v>
      </c>
      <c r="P73" s="4"/>
      <c r="Q73" s="4"/>
      <c r="R73" s="4"/>
      <c r="S73" s="4"/>
      <c r="T73" s="4"/>
      <c r="U73" s="4"/>
      <c r="V73" s="4"/>
      <c r="W73" s="4"/>
      <c r="X73" s="4"/>
      <c r="Y73" s="4"/>
      <c r="Z73" s="4"/>
      <c r="AA73" s="4"/>
      <c r="AB73" s="4"/>
      <c r="AC73" s="4"/>
      <c r="AD73" s="4"/>
      <c r="AE73" s="4"/>
      <c r="AF73" s="4"/>
      <c r="AG73" s="4"/>
      <c r="AH73" s="4"/>
      <c r="AI73" s="4"/>
    </row>
    <row r="74" ht="11.25" customHeight="1">
      <c r="A74" s="170">
        <f>H12</f>
        <v>3</v>
      </c>
      <c r="B74" s="145">
        <f>IF(capex_interval="",0,IF(capex_start_year="",0,IF($A74&lt;capex_start_year,0,IF(MOD($A74-capex_start_year,capex_interval)=0,Inc_St!$F$8*capex,0))))</f>
        <v>133100</v>
      </c>
      <c r="C74" s="179">
        <v>15.0</v>
      </c>
      <c r="D74" s="179"/>
      <c r="E74" s="58"/>
      <c r="F74" s="58">
        <f t="shared" ref="F74:O74" si="29">IF($A74&gt;F$12,0,IF(F$12&gt;$C74+$A74-1,0,IF($J$5=1,SYD($B74,$D74,$C74,F$12),SLN($B74,$D74,$C74))))</f>
        <v>0</v>
      </c>
      <c r="G74" s="58">
        <f t="shared" si="29"/>
        <v>0</v>
      </c>
      <c r="H74" s="58">
        <f t="shared" si="29"/>
        <v>8873.333333</v>
      </c>
      <c r="I74" s="58">
        <f t="shared" si="29"/>
        <v>8873.333333</v>
      </c>
      <c r="J74" s="58">
        <f t="shared" si="29"/>
        <v>8873.333333</v>
      </c>
      <c r="K74" s="58">
        <f t="shared" si="29"/>
        <v>8873.333333</v>
      </c>
      <c r="L74" s="58">
        <f t="shared" si="29"/>
        <v>8873.333333</v>
      </c>
      <c r="M74" s="58">
        <f t="shared" si="29"/>
        <v>8873.333333</v>
      </c>
      <c r="N74" s="58">
        <f t="shared" si="29"/>
        <v>8873.333333</v>
      </c>
      <c r="O74" s="58">
        <f t="shared" si="29"/>
        <v>8873.333333</v>
      </c>
      <c r="P74" s="4"/>
      <c r="Q74" s="4"/>
      <c r="R74" s="4"/>
      <c r="S74" s="4"/>
      <c r="T74" s="4"/>
      <c r="U74" s="4"/>
      <c r="V74" s="4"/>
      <c r="W74" s="4"/>
      <c r="X74" s="4"/>
      <c r="Y74" s="4"/>
      <c r="Z74" s="4"/>
      <c r="AA74" s="4"/>
      <c r="AB74" s="4"/>
      <c r="AC74" s="4"/>
      <c r="AD74" s="4"/>
      <c r="AE74" s="4"/>
      <c r="AF74" s="4"/>
      <c r="AG74" s="4"/>
      <c r="AH74" s="4"/>
      <c r="AI74" s="4"/>
    </row>
    <row r="75" ht="11.25" customHeight="1">
      <c r="A75" s="170">
        <f>I12</f>
        <v>4</v>
      </c>
      <c r="B75" s="145">
        <f>IF(capex_interval="",0,IF(capex_start_year="",0,IF($A75&lt;capex_start_year,0,IF(MOD($A75-capex_start_year,capex_interval)=0,Inc_St!$G$8*capex,0))))</f>
        <v>146410</v>
      </c>
      <c r="C75" s="179">
        <v>9.0</v>
      </c>
      <c r="D75" s="179"/>
      <c r="E75" s="58"/>
      <c r="F75" s="58">
        <f t="shared" ref="F75:O75" si="30">IF($A75&gt;F$12,0,IF(F$12&gt;$C75+$A75-1,0,IF($J$5=1,SYD($B75,$D75,$C75,F$12),SLN($B75,$D75,$C75))))</f>
        <v>0</v>
      </c>
      <c r="G75" s="58">
        <f t="shared" si="30"/>
        <v>0</v>
      </c>
      <c r="H75" s="58">
        <f t="shared" si="30"/>
        <v>0</v>
      </c>
      <c r="I75" s="58">
        <f t="shared" si="30"/>
        <v>16267.77778</v>
      </c>
      <c r="J75" s="58">
        <f t="shared" si="30"/>
        <v>16267.77778</v>
      </c>
      <c r="K75" s="58">
        <f t="shared" si="30"/>
        <v>16267.77778</v>
      </c>
      <c r="L75" s="58">
        <f t="shared" si="30"/>
        <v>16267.77778</v>
      </c>
      <c r="M75" s="58">
        <f t="shared" si="30"/>
        <v>16267.77778</v>
      </c>
      <c r="N75" s="58">
        <f t="shared" si="30"/>
        <v>16267.77778</v>
      </c>
      <c r="O75" s="58">
        <f t="shared" si="30"/>
        <v>16267.77778</v>
      </c>
      <c r="P75" s="4"/>
      <c r="Q75" s="4"/>
      <c r="R75" s="4"/>
      <c r="S75" s="4"/>
      <c r="T75" s="4"/>
      <c r="U75" s="4"/>
      <c r="V75" s="4"/>
      <c r="W75" s="4"/>
      <c r="X75" s="4"/>
      <c r="Y75" s="4"/>
      <c r="Z75" s="4"/>
      <c r="AA75" s="4"/>
      <c r="AB75" s="4"/>
      <c r="AC75" s="4"/>
      <c r="AD75" s="4"/>
      <c r="AE75" s="4"/>
      <c r="AF75" s="4"/>
      <c r="AG75" s="4"/>
      <c r="AH75" s="4"/>
      <c r="AI75" s="4"/>
    </row>
    <row r="76" ht="11.25" customHeight="1">
      <c r="A76" s="170">
        <f>J12</f>
        <v>5</v>
      </c>
      <c r="B76" s="145">
        <f>IF(capex_interval="",0,IF(capex_start_year="",0,IF($A76&lt;capex_start_year,0,IF(MOD($A76-capex_start_year,capex_interval)=0,Inc_St!$H$8*capex,0))))</f>
        <v>161051</v>
      </c>
      <c r="C76" s="179">
        <v>4.0</v>
      </c>
      <c r="D76" s="179"/>
      <c r="E76" s="58"/>
      <c r="F76" s="58">
        <f t="shared" ref="F76:O76" si="31">IF($A76&gt;F$12,0,IF(F$12&gt;$C76+$A76-1,0,IF($J$5=1,SYD($B76,$D76,$C76,F$12),SLN($B76,$D76,$C76))))</f>
        <v>0</v>
      </c>
      <c r="G76" s="58">
        <f t="shared" si="31"/>
        <v>0</v>
      </c>
      <c r="H76" s="58">
        <f t="shared" si="31"/>
        <v>0</v>
      </c>
      <c r="I76" s="58">
        <f t="shared" si="31"/>
        <v>0</v>
      </c>
      <c r="J76" s="58">
        <f t="shared" si="31"/>
        <v>40262.75</v>
      </c>
      <c r="K76" s="58">
        <f t="shared" si="31"/>
        <v>40262.75</v>
      </c>
      <c r="L76" s="58">
        <f t="shared" si="31"/>
        <v>40262.75</v>
      </c>
      <c r="M76" s="58">
        <f t="shared" si="31"/>
        <v>40262.75</v>
      </c>
      <c r="N76" s="58">
        <f t="shared" si="31"/>
        <v>0</v>
      </c>
      <c r="O76" s="58">
        <f t="shared" si="31"/>
        <v>0</v>
      </c>
      <c r="P76" s="4"/>
      <c r="Q76" s="4"/>
      <c r="R76" s="4"/>
      <c r="S76" s="4"/>
      <c r="T76" s="4"/>
      <c r="U76" s="4"/>
      <c r="V76" s="4"/>
      <c r="W76" s="4"/>
      <c r="X76" s="4"/>
      <c r="Y76" s="4"/>
      <c r="Z76" s="4"/>
      <c r="AA76" s="4"/>
      <c r="AB76" s="4"/>
      <c r="AC76" s="4"/>
      <c r="AD76" s="4"/>
      <c r="AE76" s="4"/>
      <c r="AF76" s="4"/>
      <c r="AG76" s="4"/>
      <c r="AH76" s="4"/>
      <c r="AI76" s="4"/>
    </row>
    <row r="77" ht="11.25" customHeight="1">
      <c r="A77" s="170">
        <f>K12</f>
        <v>6</v>
      </c>
      <c r="B77" s="145">
        <f>IF(capex_interval="",0,IF(capex_start_year="",0,IF($A77&lt;capex_start_year,0,IF(MOD($A77-capex_start_year,capex_interval)=0,Inc_St!$I$8*capex,0))))</f>
        <v>177156.1</v>
      </c>
      <c r="C77" s="179">
        <v>16.0</v>
      </c>
      <c r="D77" s="179"/>
      <c r="E77" s="58"/>
      <c r="F77" s="58">
        <f t="shared" ref="F77:O77" si="32">IF($A77&gt;F$12,0,IF(F$12&gt;$C77+$A77-1,0,IF($J$5=1,SYD($B77,$D77,$C77,F$12),SLN($B77,$D77,$C77))))</f>
        <v>0</v>
      </c>
      <c r="G77" s="58">
        <f t="shared" si="32"/>
        <v>0</v>
      </c>
      <c r="H77" s="58">
        <f t="shared" si="32"/>
        <v>0</v>
      </c>
      <c r="I77" s="58">
        <f t="shared" si="32"/>
        <v>0</v>
      </c>
      <c r="J77" s="58">
        <f t="shared" si="32"/>
        <v>0</v>
      </c>
      <c r="K77" s="58">
        <f t="shared" si="32"/>
        <v>11072.25625</v>
      </c>
      <c r="L77" s="58">
        <f t="shared" si="32"/>
        <v>11072.25625</v>
      </c>
      <c r="M77" s="58">
        <f t="shared" si="32"/>
        <v>11072.25625</v>
      </c>
      <c r="N77" s="58">
        <f t="shared" si="32"/>
        <v>11072.25625</v>
      </c>
      <c r="O77" s="58">
        <f t="shared" si="32"/>
        <v>11072.25625</v>
      </c>
      <c r="P77" s="4"/>
      <c r="Q77" s="4"/>
      <c r="R77" s="4"/>
      <c r="S77" s="4"/>
      <c r="T77" s="4"/>
      <c r="U77" s="4"/>
      <c r="V77" s="4"/>
      <c r="W77" s="4"/>
      <c r="X77" s="4"/>
      <c r="Y77" s="4"/>
      <c r="Z77" s="4"/>
      <c r="AA77" s="4"/>
      <c r="AB77" s="4"/>
      <c r="AC77" s="4"/>
      <c r="AD77" s="4"/>
      <c r="AE77" s="4"/>
      <c r="AF77" s="4"/>
      <c r="AG77" s="4"/>
      <c r="AH77" s="4"/>
      <c r="AI77" s="4"/>
    </row>
    <row r="78" ht="11.25" customHeight="1">
      <c r="A78" s="170">
        <f>L12</f>
        <v>7</v>
      </c>
      <c r="B78" s="145">
        <f>IF(capex_interval="",0,IF(capex_start_year="",0,IF($A78&lt;capex_start_year,0,IF(MOD($A78-capex_start_year,capex_interval)=0,Inc_St!$J$8*capex,0))))</f>
        <v>194871.71</v>
      </c>
      <c r="C78" s="179">
        <v>15.0</v>
      </c>
      <c r="D78" s="179"/>
      <c r="E78" s="58"/>
      <c r="F78" s="58">
        <f t="shared" ref="F78:O78" si="33">IF($A78&gt;F$12,0,IF(F$12&gt;$C78+$A78-1,0,IF($J$5=1,SYD($B78,$D78,$C78,F$12),SLN($B78,$D78,$C78))))</f>
        <v>0</v>
      </c>
      <c r="G78" s="58">
        <f t="shared" si="33"/>
        <v>0</v>
      </c>
      <c r="H78" s="58">
        <f t="shared" si="33"/>
        <v>0</v>
      </c>
      <c r="I78" s="58">
        <f t="shared" si="33"/>
        <v>0</v>
      </c>
      <c r="J78" s="58">
        <f t="shared" si="33"/>
        <v>0</v>
      </c>
      <c r="K78" s="58">
        <f t="shared" si="33"/>
        <v>0</v>
      </c>
      <c r="L78" s="58">
        <f t="shared" si="33"/>
        <v>12991.44733</v>
      </c>
      <c r="M78" s="58">
        <f t="shared" si="33"/>
        <v>12991.44733</v>
      </c>
      <c r="N78" s="58">
        <f t="shared" si="33"/>
        <v>12991.44733</v>
      </c>
      <c r="O78" s="58">
        <f t="shared" si="33"/>
        <v>12991.44733</v>
      </c>
      <c r="P78" s="4"/>
      <c r="Q78" s="4"/>
      <c r="R78" s="4"/>
      <c r="S78" s="4"/>
      <c r="T78" s="4"/>
      <c r="U78" s="4"/>
      <c r="V78" s="4"/>
      <c r="W78" s="4"/>
      <c r="X78" s="4"/>
      <c r="Y78" s="4"/>
      <c r="Z78" s="4"/>
      <c r="AA78" s="4"/>
      <c r="AB78" s="4"/>
      <c r="AC78" s="4"/>
      <c r="AD78" s="4"/>
      <c r="AE78" s="4"/>
      <c r="AF78" s="4"/>
      <c r="AG78" s="4"/>
      <c r="AH78" s="4"/>
      <c r="AI78" s="4"/>
    </row>
    <row r="79" ht="11.25" customHeight="1">
      <c r="A79" s="170">
        <f>M12</f>
        <v>8</v>
      </c>
      <c r="B79" s="145">
        <f>IF(capex_interval="",0,IF(capex_start_year="",0,IF($A79&lt;capex_start_year,0,IF(MOD($A79-capex_start_year,capex_interval)=0,Inc_St!$K$8*capex,0))))</f>
        <v>214358.881</v>
      </c>
      <c r="C79" s="179">
        <v>2.0</v>
      </c>
      <c r="D79" s="179"/>
      <c r="E79" s="58"/>
      <c r="F79" s="58">
        <f t="shared" ref="F79:O79" si="34">IF($A79&gt;F$12,0,IF(F$12&gt;$C79+$A79-1,0,IF($J$5=1,SYD($B79,$D79,$C79,F$12),SLN($B79,$D79,$C79))))</f>
        <v>0</v>
      </c>
      <c r="G79" s="58">
        <f t="shared" si="34"/>
        <v>0</v>
      </c>
      <c r="H79" s="58">
        <f t="shared" si="34"/>
        <v>0</v>
      </c>
      <c r="I79" s="58">
        <f t="shared" si="34"/>
        <v>0</v>
      </c>
      <c r="J79" s="58">
        <f t="shared" si="34"/>
        <v>0</v>
      </c>
      <c r="K79" s="58">
        <f t="shared" si="34"/>
        <v>0</v>
      </c>
      <c r="L79" s="58">
        <f t="shared" si="34"/>
        <v>0</v>
      </c>
      <c r="M79" s="58">
        <f t="shared" si="34"/>
        <v>107179.4405</v>
      </c>
      <c r="N79" s="58">
        <f t="shared" si="34"/>
        <v>107179.4405</v>
      </c>
      <c r="O79" s="58">
        <f t="shared" si="34"/>
        <v>0</v>
      </c>
      <c r="P79" s="4"/>
      <c r="Q79" s="4"/>
      <c r="R79" s="4"/>
      <c r="S79" s="4"/>
      <c r="T79" s="4"/>
      <c r="U79" s="4"/>
      <c r="V79" s="4"/>
      <c r="W79" s="4"/>
      <c r="X79" s="4"/>
      <c r="Y79" s="4"/>
      <c r="Z79" s="4"/>
      <c r="AA79" s="4"/>
      <c r="AB79" s="4"/>
      <c r="AC79" s="4"/>
      <c r="AD79" s="4"/>
      <c r="AE79" s="4"/>
      <c r="AF79" s="4"/>
      <c r="AG79" s="4"/>
      <c r="AH79" s="4"/>
      <c r="AI79" s="4"/>
    </row>
    <row r="80" ht="11.25" customHeight="1">
      <c r="A80" s="170">
        <f>N12</f>
        <v>9</v>
      </c>
      <c r="B80" s="145">
        <f>IF(capex_interval="",0,IF(capex_start_year="",0,IF($A80&lt;capex_start_year,0,IF(MOD($A80-capex_start_year,capex_interval)=0,Inc_St!$L$8*capex,0))))</f>
        <v>235794.7691</v>
      </c>
      <c r="C80" s="179">
        <v>12.0</v>
      </c>
      <c r="D80" s="179"/>
      <c r="E80" s="58"/>
      <c r="F80" s="58">
        <f t="shared" ref="F80:O80" si="35">IF($A80&gt;F$12,0,IF(F$12&gt;$C80+$A80-1,0,IF($J$5=1,SYD($B80,$D80,$C80,F$12),SLN($B80,$D80,$C80))))</f>
        <v>0</v>
      </c>
      <c r="G80" s="58">
        <f t="shared" si="35"/>
        <v>0</v>
      </c>
      <c r="H80" s="58">
        <f t="shared" si="35"/>
        <v>0</v>
      </c>
      <c r="I80" s="58">
        <f t="shared" si="35"/>
        <v>0</v>
      </c>
      <c r="J80" s="58">
        <f t="shared" si="35"/>
        <v>0</v>
      </c>
      <c r="K80" s="58">
        <f t="shared" si="35"/>
        <v>0</v>
      </c>
      <c r="L80" s="58">
        <f t="shared" si="35"/>
        <v>0</v>
      </c>
      <c r="M80" s="58">
        <f t="shared" si="35"/>
        <v>0</v>
      </c>
      <c r="N80" s="58">
        <f t="shared" si="35"/>
        <v>19649.56409</v>
      </c>
      <c r="O80" s="58">
        <f t="shared" si="35"/>
        <v>19649.56409</v>
      </c>
      <c r="P80" s="4"/>
      <c r="Q80" s="4"/>
      <c r="R80" s="4"/>
      <c r="S80" s="4"/>
      <c r="T80" s="4"/>
      <c r="U80" s="4"/>
      <c r="V80" s="4"/>
      <c r="W80" s="4"/>
      <c r="X80" s="4"/>
      <c r="Y80" s="4"/>
      <c r="Z80" s="4"/>
      <c r="AA80" s="4"/>
      <c r="AB80" s="4"/>
      <c r="AC80" s="4"/>
      <c r="AD80" s="4"/>
      <c r="AE80" s="4"/>
      <c r="AF80" s="4"/>
      <c r="AG80" s="4"/>
      <c r="AH80" s="4"/>
      <c r="AI80" s="4"/>
    </row>
    <row r="81" ht="11.25" customHeight="1">
      <c r="A81" s="170">
        <f>O12</f>
        <v>10</v>
      </c>
      <c r="B81" s="145">
        <f>IF(capex_interval="",0,IF(capex_start_year="",0,IF($A81&lt;capex_start_year,0,IF(MOD($A81-capex_start_year,capex_interval)=0,Inc_St!$M$8*capex,0))))</f>
        <v>259374.246</v>
      </c>
      <c r="C81" s="179">
        <v>12.0</v>
      </c>
      <c r="D81" s="179"/>
      <c r="E81" s="58"/>
      <c r="F81" s="58">
        <f t="shared" ref="F81:O81" si="36">IF($A81&gt;F$12,0,IF(F$12&gt;$C81+$A81-1,0,IF($J$5=1,SYD($B81,$D81,$C81,F$12),SLN($B81,$D81,$C81))))</f>
        <v>0</v>
      </c>
      <c r="G81" s="58">
        <f t="shared" si="36"/>
        <v>0</v>
      </c>
      <c r="H81" s="58">
        <f t="shared" si="36"/>
        <v>0</v>
      </c>
      <c r="I81" s="58">
        <f t="shared" si="36"/>
        <v>0</v>
      </c>
      <c r="J81" s="58">
        <f t="shared" si="36"/>
        <v>0</v>
      </c>
      <c r="K81" s="58">
        <f t="shared" si="36"/>
        <v>0</v>
      </c>
      <c r="L81" s="58">
        <f t="shared" si="36"/>
        <v>0</v>
      </c>
      <c r="M81" s="58">
        <f t="shared" si="36"/>
        <v>0</v>
      </c>
      <c r="N81" s="58">
        <f t="shared" si="36"/>
        <v>0</v>
      </c>
      <c r="O81" s="58">
        <f t="shared" si="36"/>
        <v>21614.5205</v>
      </c>
      <c r="P81" s="4"/>
      <c r="Q81" s="4"/>
      <c r="R81" s="4"/>
      <c r="S81" s="4"/>
      <c r="T81" s="4"/>
      <c r="U81" s="4"/>
      <c r="V81" s="4"/>
      <c r="W81" s="4"/>
      <c r="X81" s="4"/>
      <c r="Y81" s="4"/>
      <c r="Z81" s="4"/>
      <c r="AA81" s="4"/>
      <c r="AB81" s="4"/>
      <c r="AC81" s="4"/>
      <c r="AD81" s="4"/>
      <c r="AE81" s="4"/>
      <c r="AF81" s="4"/>
      <c r="AG81" s="4"/>
      <c r="AH81" s="4"/>
      <c r="AI81" s="4"/>
    </row>
    <row r="82" ht="11.25" customHeight="1">
      <c r="A82" s="150"/>
      <c r="B82" s="180">
        <f>SUM(B72:B81)</f>
        <v>1753116.706</v>
      </c>
      <c r="C82" s="182"/>
      <c r="D82" s="180">
        <f>SUM(D72:D81)</f>
        <v>0</v>
      </c>
      <c r="E82" s="58"/>
      <c r="F82" s="73">
        <f t="shared" ref="F82:O82" si="37">SUM(F72:F81)</f>
        <v>9166.666667</v>
      </c>
      <c r="G82" s="73">
        <f t="shared" si="37"/>
        <v>24291.66667</v>
      </c>
      <c r="H82" s="73">
        <f t="shared" si="37"/>
        <v>33165</v>
      </c>
      <c r="I82" s="73">
        <f t="shared" si="37"/>
        <v>49432.77778</v>
      </c>
      <c r="J82" s="73">
        <f t="shared" si="37"/>
        <v>89695.52778</v>
      </c>
      <c r="K82" s="73">
        <f t="shared" si="37"/>
        <v>100767.784</v>
      </c>
      <c r="L82" s="73">
        <f t="shared" si="37"/>
        <v>113759.2314</v>
      </c>
      <c r="M82" s="73">
        <f t="shared" si="37"/>
        <v>220938.6719</v>
      </c>
      <c r="N82" s="73">
        <f t="shared" si="37"/>
        <v>200325.486</v>
      </c>
      <c r="O82" s="73">
        <f t="shared" si="37"/>
        <v>99635.56595</v>
      </c>
      <c r="P82" s="4"/>
      <c r="Q82" s="4"/>
      <c r="R82" s="4"/>
      <c r="S82" s="4"/>
      <c r="T82" s="4"/>
      <c r="U82" s="4"/>
      <c r="V82" s="4"/>
      <c r="W82" s="4"/>
      <c r="X82" s="4"/>
      <c r="Y82" s="4"/>
      <c r="Z82" s="4"/>
      <c r="AA82" s="4"/>
      <c r="AB82" s="4"/>
      <c r="AC82" s="4"/>
      <c r="AD82" s="4"/>
      <c r="AE82" s="4"/>
      <c r="AF82" s="4"/>
      <c r="AG82" s="4"/>
      <c r="AH82" s="4"/>
      <c r="AI82" s="4"/>
    </row>
    <row r="83" ht="11.25" customHeight="1">
      <c r="A83" s="150"/>
      <c r="B83" s="182"/>
      <c r="C83" s="182"/>
      <c r="D83" s="58"/>
      <c r="E83" s="58"/>
      <c r="F83" s="58"/>
      <c r="G83" s="58"/>
      <c r="H83" s="58"/>
      <c r="I83" s="58"/>
      <c r="J83" s="58"/>
      <c r="K83" s="58"/>
      <c r="L83" s="58"/>
      <c r="M83" s="58"/>
      <c r="N83" s="58"/>
      <c r="O83" s="58"/>
      <c r="P83" s="4"/>
      <c r="Q83" s="4"/>
      <c r="R83" s="4"/>
      <c r="S83" s="4"/>
      <c r="T83" s="4"/>
      <c r="U83" s="4"/>
      <c r="V83" s="4"/>
      <c r="W83" s="4"/>
      <c r="X83" s="4"/>
      <c r="Y83" s="4"/>
      <c r="Z83" s="4"/>
      <c r="AA83" s="4"/>
      <c r="AB83" s="4"/>
      <c r="AC83" s="4"/>
      <c r="AD83" s="4"/>
      <c r="AE83" s="4"/>
      <c r="AF83" s="4"/>
      <c r="AG83" s="4"/>
      <c r="AH83" s="4"/>
      <c r="AI83" s="4"/>
    </row>
    <row r="84" ht="12.0" customHeight="1">
      <c r="A84" s="183" t="s">
        <v>228</v>
      </c>
      <c r="B84" s="182"/>
      <c r="C84" s="182"/>
      <c r="D84" s="58"/>
      <c r="E84" s="58"/>
      <c r="F84" s="58">
        <f t="shared" ref="F84:O84" si="38">SUM(F68,F82)</f>
        <v>56211.66667</v>
      </c>
      <c r="G84" s="58">
        <f t="shared" si="38"/>
        <v>71336.66667</v>
      </c>
      <c r="H84" s="58">
        <f t="shared" si="38"/>
        <v>80210</v>
      </c>
      <c r="I84" s="58">
        <f t="shared" si="38"/>
        <v>96477.77778</v>
      </c>
      <c r="J84" s="58">
        <f t="shared" si="38"/>
        <v>136740.5278</v>
      </c>
      <c r="K84" s="58">
        <f t="shared" si="38"/>
        <v>147812.784</v>
      </c>
      <c r="L84" s="58">
        <f t="shared" si="38"/>
        <v>146737.5647</v>
      </c>
      <c r="M84" s="58">
        <f t="shared" si="38"/>
        <v>253917.0052</v>
      </c>
      <c r="N84" s="58">
        <f t="shared" si="38"/>
        <v>221503.8193</v>
      </c>
      <c r="O84" s="58">
        <f t="shared" si="38"/>
        <v>120813.8993</v>
      </c>
      <c r="P84" s="4"/>
      <c r="Q84" s="4"/>
      <c r="R84" s="4"/>
      <c r="S84" s="4"/>
      <c r="T84" s="4"/>
      <c r="U84" s="4"/>
      <c r="V84" s="4"/>
      <c r="W84" s="4"/>
      <c r="X84" s="4"/>
      <c r="Y84" s="4"/>
      <c r="Z84" s="4"/>
      <c r="AA84" s="4"/>
      <c r="AB84" s="4"/>
      <c r="AC84" s="4"/>
      <c r="AD84" s="4"/>
      <c r="AE84" s="4"/>
      <c r="AF84" s="4"/>
      <c r="AG84" s="4"/>
      <c r="AH84" s="4"/>
      <c r="AI84" s="4"/>
    </row>
    <row r="85" ht="11.25" customHeight="1">
      <c r="A85" s="150"/>
      <c r="B85" s="182"/>
      <c r="C85" s="182"/>
      <c r="D85" s="58"/>
      <c r="E85" s="58"/>
      <c r="F85" s="58"/>
      <c r="G85" s="58"/>
      <c r="H85" s="58"/>
      <c r="I85" s="58"/>
      <c r="J85" s="58"/>
      <c r="K85" s="58"/>
      <c r="L85" s="58"/>
      <c r="M85" s="58"/>
      <c r="N85" s="58"/>
      <c r="O85" s="58"/>
      <c r="P85" s="4"/>
      <c r="Q85" s="4"/>
      <c r="R85" s="4"/>
      <c r="S85" s="4"/>
      <c r="T85" s="4"/>
      <c r="U85" s="4"/>
      <c r="V85" s="4"/>
      <c r="W85" s="4"/>
      <c r="X85" s="4"/>
      <c r="Y85" s="4"/>
      <c r="Z85" s="4"/>
      <c r="AA85" s="4"/>
      <c r="AB85" s="4"/>
      <c r="AC85" s="4"/>
      <c r="AD85" s="4"/>
      <c r="AE85" s="4"/>
      <c r="AF85" s="4"/>
      <c r="AG85" s="4"/>
      <c r="AH85" s="4"/>
      <c r="AI85" s="4"/>
    </row>
    <row r="86" ht="11.25" customHeight="1">
      <c r="A86" s="150"/>
      <c r="B86" s="182"/>
      <c r="C86" s="182"/>
      <c r="D86" s="184" t="s">
        <v>50</v>
      </c>
      <c r="E86" s="58"/>
      <c r="F86" s="58"/>
      <c r="G86" s="58"/>
      <c r="H86" s="58"/>
      <c r="I86" s="58"/>
      <c r="J86" s="58"/>
      <c r="K86" s="58"/>
      <c r="L86" s="58"/>
      <c r="M86" s="58"/>
      <c r="N86" s="58"/>
      <c r="O86" s="58"/>
      <c r="P86" s="4"/>
      <c r="Q86" s="4"/>
      <c r="R86" s="4"/>
      <c r="S86" s="4"/>
      <c r="T86" s="4"/>
      <c r="U86" s="4"/>
      <c r="V86" s="4"/>
      <c r="W86" s="4"/>
      <c r="X86" s="4"/>
      <c r="Y86" s="4"/>
      <c r="Z86" s="4"/>
      <c r="AA86" s="4"/>
      <c r="AB86" s="4"/>
      <c r="AC86" s="4"/>
      <c r="AD86" s="4"/>
      <c r="AE86" s="4"/>
      <c r="AF86" s="4"/>
      <c r="AG86" s="4"/>
      <c r="AH86" s="4"/>
      <c r="AI86" s="4"/>
    </row>
    <row r="87" ht="12.0" customHeight="1">
      <c r="A87" s="183" t="s">
        <v>222</v>
      </c>
      <c r="B87" s="182"/>
      <c r="C87" s="182"/>
      <c r="D87" s="179">
        <v>15.0</v>
      </c>
      <c r="E87" s="58"/>
      <c r="F87" s="58">
        <f>IF(F$12&gt;$D$87,0,Bal_Sheet!$E$20/$D$87)</f>
        <v>143.3333333</v>
      </c>
      <c r="G87" s="58">
        <f>IF(G$12&gt;$D$87,0,Bal_Sheet!$E$20/$D$87)</f>
        <v>143.3333333</v>
      </c>
      <c r="H87" s="58">
        <f>IF(H$12&gt;$D$87,0,Bal_Sheet!$E$20/$D$87)</f>
        <v>143.3333333</v>
      </c>
      <c r="I87" s="58">
        <f>IF(I$12&gt;$D$87,0,Bal_Sheet!$E$20/$D$87)</f>
        <v>143.3333333</v>
      </c>
      <c r="J87" s="58">
        <f>IF(J$12&gt;$D$87,0,Bal_Sheet!$E$20/$D$87)</f>
        <v>143.3333333</v>
      </c>
      <c r="K87" s="58">
        <f>IF(K$12&gt;$D$87,0,Bal_Sheet!$E$20/$D$87)</f>
        <v>143.3333333</v>
      </c>
      <c r="L87" s="58">
        <f>IF(L$12&gt;$D$87,0,Bal_Sheet!$E$20/$D$87)</f>
        <v>143.3333333</v>
      </c>
      <c r="M87" s="58">
        <f>IF(M$12&gt;$D$87,0,Bal_Sheet!$E$20/$D$87)</f>
        <v>143.3333333</v>
      </c>
      <c r="N87" s="58">
        <f>IF(N$12&gt;$D$87,0,Bal_Sheet!$E$20/$D$87)</f>
        <v>143.3333333</v>
      </c>
      <c r="O87" s="58">
        <f>IF(O$12&gt;$D$87,0,Bal_Sheet!$E$20/$D$87)</f>
        <v>143.3333333</v>
      </c>
      <c r="P87" s="4"/>
      <c r="Q87" s="4"/>
      <c r="R87" s="4"/>
      <c r="S87" s="4"/>
      <c r="T87" s="4"/>
      <c r="U87" s="4"/>
      <c r="V87" s="4"/>
      <c r="W87" s="4"/>
      <c r="X87" s="4"/>
      <c r="Y87" s="4"/>
      <c r="Z87" s="4"/>
      <c r="AA87" s="4"/>
      <c r="AB87" s="4"/>
      <c r="AC87" s="4"/>
      <c r="AD87" s="4"/>
      <c r="AE87" s="4"/>
      <c r="AF87" s="4"/>
      <c r="AG87" s="4"/>
      <c r="AH87" s="4"/>
      <c r="AI87" s="4"/>
    </row>
    <row r="88" ht="12.0" customHeight="1">
      <c r="A88" s="183" t="s">
        <v>229</v>
      </c>
      <c r="B88" s="182"/>
      <c r="C88" s="182"/>
      <c r="D88" s="179">
        <v>15.0</v>
      </c>
      <c r="E88" s="58"/>
      <c r="F88" s="58">
        <f>IF(F$12&gt;$D$88,0,Bal_Sheet!$E$19/$D$88)</f>
        <v>14098.56667</v>
      </c>
      <c r="G88" s="58">
        <f>IF(G$12&gt;$D$88,0,Bal_Sheet!$E$19/$D$88)</f>
        <v>14098.56667</v>
      </c>
      <c r="H88" s="58">
        <f>IF(H$12&gt;$D$88,0,Bal_Sheet!$E$19/$D$88)</f>
        <v>14098.56667</v>
      </c>
      <c r="I88" s="58">
        <f>IF(I$12&gt;$D$88,0,Bal_Sheet!$E$19/$D$88)</f>
        <v>14098.56667</v>
      </c>
      <c r="J88" s="58">
        <f>IF(J$12&gt;$D$88,0,Bal_Sheet!$E$19/$D$88)</f>
        <v>14098.56667</v>
      </c>
      <c r="K88" s="58">
        <f>IF(K$12&gt;$D$88,0,Bal_Sheet!$E$19/$D$88)</f>
        <v>14098.56667</v>
      </c>
      <c r="L88" s="58">
        <f>IF(L$12&gt;$D$88,0,Bal_Sheet!$E$19/$D$88)</f>
        <v>14098.56667</v>
      </c>
      <c r="M88" s="58">
        <f>IF(M$12&gt;$D$88,0,Bal_Sheet!$E$19/$D$88)</f>
        <v>14098.56667</v>
      </c>
      <c r="N88" s="58">
        <f>IF(N$12&gt;$D$88,0,Bal_Sheet!$E$19/$D$88)</f>
        <v>14098.56667</v>
      </c>
      <c r="O88" s="58">
        <f>IF(O$12&gt;$D$88,0,Bal_Sheet!$E$19/$D$88)</f>
        <v>14098.56667</v>
      </c>
      <c r="P88" s="4"/>
      <c r="Q88" s="4"/>
      <c r="R88" s="4"/>
      <c r="S88" s="4"/>
      <c r="T88" s="4"/>
      <c r="U88" s="4"/>
      <c r="V88" s="4"/>
      <c r="W88" s="4"/>
      <c r="X88" s="4"/>
      <c r="Y88" s="4"/>
      <c r="Z88" s="4"/>
      <c r="AA88" s="4"/>
      <c r="AB88" s="4"/>
      <c r="AC88" s="4"/>
      <c r="AD88" s="4"/>
      <c r="AE88" s="4"/>
      <c r="AF88" s="4"/>
      <c r="AG88" s="4"/>
      <c r="AH88" s="4"/>
      <c r="AI88" s="4"/>
    </row>
    <row r="89" ht="11.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ht="11.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ht="11.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ht="11.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ht="11.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ht="11.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ht="11.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ht="11.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ht="11.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ht="11.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ht="11.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ht="11.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11.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11.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11.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11.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11.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11.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11.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11.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11.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11.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11.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11.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11.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11.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11.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11.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11.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11.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11.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11.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11.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11.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11.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11.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11.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11.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11.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11.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11.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11.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11.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11.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11.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11.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11.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11.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11.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11.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11.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11.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11.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11.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11.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11.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11.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11.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11.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11.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11.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11.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11.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11.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11.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11.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11.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11.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11.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11.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11.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11.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11.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11.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11.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11.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11.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11.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11.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11.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11.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11.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11.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11.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11.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11.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11.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11.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11.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11.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11.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11.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11.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11.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11.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11.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11.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11.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11.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11.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11.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11.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11.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11.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11.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11.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11.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11.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11.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11.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11.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11.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11.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11.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11.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11.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11.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11.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11.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11.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11.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11.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11.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11.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11.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11.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11.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11.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11.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11.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11.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11.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11.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11.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11.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11.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11.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11.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11.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11.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11.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11.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11.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11.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11.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11.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11.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11.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11.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11.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11.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11.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11.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11.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11.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11.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11.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11.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11.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11.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11.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11.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11.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11.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11.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11.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11.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11.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11.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11.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11.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11.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11.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11.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11.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11.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11.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11.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11.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11.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11.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11.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11.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11.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11.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11.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11.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11.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11.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11.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11.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11.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11.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11.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11.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11.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11.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11.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11.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11.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11.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11.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11.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11.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11.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11.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11.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11.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11.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11.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11.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11.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11.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11.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11.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11.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11.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11.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11.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11.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11.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11.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11.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11.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11.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11.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11.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11.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11.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11.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11.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11.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11.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11.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11.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11.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11.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11.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11.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11.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11.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11.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11.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11.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11.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11.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11.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11.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11.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11.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11.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11.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11.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11.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11.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11.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11.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11.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11.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11.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11.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11.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11.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11.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11.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11.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11.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11.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11.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11.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11.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11.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11.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11.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11.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11.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11.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11.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11.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11.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11.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11.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11.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11.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11.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11.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11.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11.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11.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11.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11.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11.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11.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11.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11.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11.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11.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11.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11.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11.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11.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11.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11.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11.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11.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11.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11.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11.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11.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11.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11.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11.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11.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11.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11.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11.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11.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11.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11.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11.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11.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11.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11.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11.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11.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11.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11.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11.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11.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11.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11.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11.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11.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11.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11.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11.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11.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11.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11.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11.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11.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11.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11.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11.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11.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11.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11.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11.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11.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11.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11.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11.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11.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11.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11.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11.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11.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11.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11.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11.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11.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11.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11.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11.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11.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11.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11.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11.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11.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11.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11.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11.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11.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11.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11.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11.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11.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11.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11.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11.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11.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11.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11.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11.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11.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11.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11.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11.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11.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11.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11.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11.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11.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11.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11.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11.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11.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11.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11.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11.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11.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11.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11.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11.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11.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11.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11.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11.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11.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11.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11.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11.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11.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11.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11.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11.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11.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11.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11.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11.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11.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11.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11.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11.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11.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11.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11.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11.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11.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11.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11.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11.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11.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11.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11.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11.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11.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11.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11.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11.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11.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11.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11.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11.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11.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11.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11.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11.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11.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11.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11.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11.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11.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11.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11.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11.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11.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11.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11.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11.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11.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11.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11.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11.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11.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11.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11.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11.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11.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11.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11.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11.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11.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11.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11.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11.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11.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11.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11.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11.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11.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11.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11.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11.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11.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11.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11.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11.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11.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11.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11.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11.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11.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11.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11.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11.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11.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11.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11.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11.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11.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11.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11.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11.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11.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11.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11.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11.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11.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11.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11.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11.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11.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11.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11.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11.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11.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11.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11.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11.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11.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11.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11.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11.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11.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11.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11.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11.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11.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11.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11.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11.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11.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11.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11.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11.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11.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11.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11.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11.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11.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11.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11.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11.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11.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11.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11.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11.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11.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11.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11.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11.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11.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11.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11.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11.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11.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11.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11.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11.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11.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11.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11.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11.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11.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11.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11.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11.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11.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11.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11.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11.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11.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11.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11.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11.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11.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11.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11.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11.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11.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11.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11.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11.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11.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11.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11.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11.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11.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11.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11.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11.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11.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11.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11.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11.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11.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11.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11.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11.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11.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11.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11.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11.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11.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11.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11.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11.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11.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11.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11.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11.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11.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11.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11.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11.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11.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11.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11.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11.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11.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11.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11.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11.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11.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11.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11.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11.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11.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11.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11.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11.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11.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11.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11.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11.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11.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11.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11.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11.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11.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11.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11.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11.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11.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11.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11.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11.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11.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11.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11.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11.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11.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11.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11.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11.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11.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11.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11.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11.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11.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11.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11.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11.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11.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11.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11.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11.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11.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11.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11.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11.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11.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11.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11.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11.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ht="11.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ht="11.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ht="11.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ht="11.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ht="11.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ht="11.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ht="11.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ht="11.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ht="11.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ht="11.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ht="11.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ht="11.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ht="11.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ht="11.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ht="11.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ht="11.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ht="11.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ht="11.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ht="11.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ht="11.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row r="785" ht="11.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row>
    <row r="786" ht="11.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row>
    <row r="787" ht="11.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row>
    <row r="788" ht="11.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row>
    <row r="789" ht="11.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row>
    <row r="790" ht="11.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row>
    <row r="791" ht="11.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row>
    <row r="792" ht="11.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row>
    <row r="793" ht="11.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row>
    <row r="794" ht="11.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row>
    <row r="795" ht="11.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row>
    <row r="796" ht="11.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row>
    <row r="797" ht="11.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row>
    <row r="798" ht="11.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row>
    <row r="799" ht="11.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row>
    <row r="800" ht="11.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row>
    <row r="801" ht="11.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row>
    <row r="802" ht="11.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row>
    <row r="803" ht="11.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row>
    <row r="804" ht="11.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row>
    <row r="805" ht="11.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row>
    <row r="806" ht="11.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row>
    <row r="807" ht="11.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row>
    <row r="808" ht="11.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row>
    <row r="809" ht="11.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row>
    <row r="810" ht="11.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row>
    <row r="811" ht="11.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row>
    <row r="812" ht="11.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row>
    <row r="813" ht="11.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row>
    <row r="814" ht="11.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row>
    <row r="815" ht="11.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row>
    <row r="816" ht="11.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row>
    <row r="817" ht="11.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row>
    <row r="818" ht="11.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row>
    <row r="819" ht="11.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row>
    <row r="820" ht="11.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row>
    <row r="821" ht="11.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row>
    <row r="822" ht="11.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row>
    <row r="823" ht="11.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row>
    <row r="824" ht="11.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row>
    <row r="825" ht="11.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row>
    <row r="826" ht="11.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row>
    <row r="827" ht="11.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row>
    <row r="828" ht="11.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row>
    <row r="829" ht="11.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row>
    <row r="830" ht="11.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row>
    <row r="831" ht="11.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row>
    <row r="832" ht="11.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row>
    <row r="833" ht="11.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row>
    <row r="834" ht="11.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row>
    <row r="835" ht="11.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row>
    <row r="836" ht="11.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row>
    <row r="837" ht="11.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row>
    <row r="838" ht="11.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row>
    <row r="839" ht="11.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row>
    <row r="840" ht="11.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row>
    <row r="841" ht="11.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row>
    <row r="842" ht="11.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row>
    <row r="843" ht="11.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row>
    <row r="844" ht="11.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row>
    <row r="845" ht="11.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row>
    <row r="846" ht="11.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row>
    <row r="847" ht="11.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row>
    <row r="848" ht="11.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row>
    <row r="849" ht="11.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row>
    <row r="850" ht="11.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row>
    <row r="851" ht="11.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row>
    <row r="852" ht="11.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row>
    <row r="853" ht="11.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row>
    <row r="854" ht="11.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row>
    <row r="855" ht="11.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row>
    <row r="856" ht="11.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row>
    <row r="857" ht="11.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row>
    <row r="858" ht="11.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row>
    <row r="859" ht="11.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row>
    <row r="860" ht="11.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row>
    <row r="861" ht="11.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row>
    <row r="862" ht="11.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row>
    <row r="863" ht="11.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row>
    <row r="864" ht="11.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row>
    <row r="865" ht="11.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row>
    <row r="866" ht="11.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row>
    <row r="867" ht="11.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row>
    <row r="868" ht="11.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row>
    <row r="869" ht="11.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row>
    <row r="870" ht="11.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row>
    <row r="871" ht="11.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row>
    <row r="872" ht="11.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row>
    <row r="873" ht="11.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row>
    <row r="874" ht="11.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row>
    <row r="875" ht="11.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row>
    <row r="876" ht="11.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row>
    <row r="877" ht="11.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row>
    <row r="878" ht="11.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row>
    <row r="879" ht="11.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row>
    <row r="880" ht="11.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row>
    <row r="881" ht="11.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row>
    <row r="882" ht="11.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row>
    <row r="883" ht="11.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row>
    <row r="884" ht="11.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row>
    <row r="885" ht="11.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row>
    <row r="886" ht="11.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row>
    <row r="887" ht="11.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row>
    <row r="888" ht="11.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row>
    <row r="889" ht="11.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row>
    <row r="890" ht="11.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row>
    <row r="891" ht="11.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row>
    <row r="892" ht="11.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row>
    <row r="893" ht="11.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row>
    <row r="894" ht="11.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row>
    <row r="895" ht="11.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row>
    <row r="896" ht="11.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row>
    <row r="897" ht="11.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row>
    <row r="898" ht="11.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row>
    <row r="899" ht="11.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row>
    <row r="900" ht="11.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row>
    <row r="901" ht="11.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row>
    <row r="902" ht="11.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row>
    <row r="903" ht="11.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row>
    <row r="904" ht="11.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row>
    <row r="905" ht="11.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row>
    <row r="906" ht="11.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row>
    <row r="907" ht="11.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row>
    <row r="908" ht="11.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row>
    <row r="909" ht="11.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row>
    <row r="910" ht="11.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row>
    <row r="911" ht="11.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row>
    <row r="912" ht="11.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row>
    <row r="913" ht="11.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row>
    <row r="914" ht="11.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row>
    <row r="915" ht="11.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row>
    <row r="916" ht="11.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row>
    <row r="917" ht="11.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row>
    <row r="918" ht="11.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row>
    <row r="919" ht="11.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row>
    <row r="920" ht="11.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row>
    <row r="921" ht="11.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row>
    <row r="922" ht="11.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row>
    <row r="923" ht="11.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row>
    <row r="924" ht="11.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row>
    <row r="925" ht="11.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row>
    <row r="926" ht="11.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row>
    <row r="927" ht="11.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row>
    <row r="928" ht="11.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row>
    <row r="929" ht="11.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row>
    <row r="930" ht="11.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row>
    <row r="931" ht="11.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row>
    <row r="932" ht="11.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row>
    <row r="933" ht="11.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row>
    <row r="934" ht="11.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row>
    <row r="935" ht="11.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row>
    <row r="936" ht="11.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row>
    <row r="937" ht="11.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row>
    <row r="938" ht="11.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row>
    <row r="939" ht="11.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row>
    <row r="940" ht="11.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row>
    <row r="941" ht="11.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row>
    <row r="942" ht="11.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row>
    <row r="943" ht="11.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row>
    <row r="944" ht="11.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row>
    <row r="945" ht="11.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row>
    <row r="946" ht="11.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row>
    <row r="947" ht="11.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row>
    <row r="948" ht="11.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row>
    <row r="949" ht="11.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row>
    <row r="950" ht="11.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row>
    <row r="951" ht="11.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row>
    <row r="952" ht="11.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row>
    <row r="953" ht="11.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row>
    <row r="954" ht="11.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row>
    <row r="955" ht="11.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row>
    <row r="956" ht="11.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row>
    <row r="957" ht="11.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row>
    <row r="958" ht="11.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row>
    <row r="959" ht="11.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row>
    <row r="960" ht="11.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row>
    <row r="961" ht="11.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row>
    <row r="962" ht="11.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row>
    <row r="963" ht="11.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row>
    <row r="964" ht="11.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row>
    <row r="965" ht="11.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row>
    <row r="966" ht="11.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row>
    <row r="967" ht="11.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row>
    <row r="968" ht="11.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row>
    <row r="969" ht="11.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row>
    <row r="970" ht="11.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row>
    <row r="971" ht="11.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row>
    <row r="972" ht="11.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row>
    <row r="973" ht="11.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row>
    <row r="974" ht="11.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row>
    <row r="975" ht="11.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row>
    <row r="976" ht="11.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row>
    <row r="977" ht="11.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row>
    <row r="978" ht="11.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row>
    <row r="979" ht="11.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row>
    <row r="980" ht="11.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row>
    <row r="981" ht="11.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row>
    <row r="982" ht="11.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row>
    <row r="983" ht="11.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row>
    <row r="984" ht="11.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row>
    <row r="985" ht="11.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row>
    <row r="986" ht="11.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row>
    <row r="987" ht="11.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row>
    <row r="988" ht="11.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row>
    <row r="989" ht="11.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row>
    <row r="990" ht="11.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row>
    <row r="991" ht="11.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row>
    <row r="992" ht="11.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row>
    <row r="993" ht="11.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row>
    <row r="994" ht="11.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row>
    <row r="995" ht="11.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row>
    <row r="996" ht="11.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row>
    <row r="997" ht="11.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row>
    <row r="998" ht="11.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row>
    <row r="999" ht="11.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row>
    <row r="1000" ht="11.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row>
  </sheetData>
  <mergeCells count="6">
    <mergeCell ref="J4:L4"/>
    <mergeCell ref="N4:P4"/>
    <mergeCell ref="N5:P5"/>
    <mergeCell ref="O6:P6"/>
    <mergeCell ref="J7:L7"/>
    <mergeCell ref="J58:L58"/>
  </mergeCells>
  <dataValidations>
    <dataValidation type="list" allowBlank="1" showInputMessage="1" showErrorMessage="1" prompt=" - " sqref="J5 N6 J8 J59">
      <formula1>"0,1"</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16.0"/>
    <col customWidth="1" min="2" max="2" width="15.63"/>
    <col customWidth="1" min="3" max="3" width="2.88"/>
    <col customWidth="1" min="4" max="13" width="10.63"/>
    <col customWidth="1" min="14" max="33" width="8.0"/>
  </cols>
  <sheetData>
    <row r="1" ht="12.75" customHeight="1"/>
    <row r="2" ht="15.0" customHeight="1">
      <c r="A2" s="115" t="s">
        <v>230</v>
      </c>
    </row>
    <row r="3" ht="12.75" customHeight="1">
      <c r="D3" s="117"/>
      <c r="E3" s="117"/>
      <c r="F3" s="117"/>
      <c r="G3" s="117"/>
      <c r="H3" s="117"/>
      <c r="I3" s="117"/>
      <c r="J3" s="117"/>
      <c r="K3" s="117"/>
      <c r="L3" s="117"/>
      <c r="M3" s="117"/>
    </row>
    <row r="4" ht="12.75" customHeight="1">
      <c r="A4" s="118" t="s">
        <v>105</v>
      </c>
      <c r="C4" s="119"/>
      <c r="D4" s="120">
        <v>2016.0</v>
      </c>
      <c r="E4" s="121">
        <f t="shared" ref="E4:M4" si="1">D4+1</f>
        <v>2017</v>
      </c>
      <c r="F4" s="121">
        <f t="shared" si="1"/>
        <v>2018</v>
      </c>
      <c r="G4" s="121">
        <f t="shared" si="1"/>
        <v>2019</v>
      </c>
      <c r="H4" s="121">
        <f t="shared" si="1"/>
        <v>2020</v>
      </c>
      <c r="I4" s="121">
        <f t="shared" si="1"/>
        <v>2021</v>
      </c>
      <c r="J4" s="121">
        <f t="shared" si="1"/>
        <v>2022</v>
      </c>
      <c r="K4" s="121">
        <f t="shared" si="1"/>
        <v>2023</v>
      </c>
      <c r="L4" s="121">
        <f t="shared" si="1"/>
        <v>2024</v>
      </c>
      <c r="M4" s="121">
        <f t="shared" si="1"/>
        <v>2025</v>
      </c>
    </row>
    <row r="5" ht="12.75" customHeight="1">
      <c r="A5" s="118" t="s">
        <v>106</v>
      </c>
      <c r="C5" s="119"/>
      <c r="D5" s="123">
        <v>1.0</v>
      </c>
      <c r="E5" s="124">
        <f t="shared" ref="E5:M5" si="2">D5+1</f>
        <v>2</v>
      </c>
      <c r="F5" s="124">
        <f t="shared" si="2"/>
        <v>3</v>
      </c>
      <c r="G5" s="124">
        <f t="shared" si="2"/>
        <v>4</v>
      </c>
      <c r="H5" s="124">
        <f t="shared" si="2"/>
        <v>5</v>
      </c>
      <c r="I5" s="124">
        <f t="shared" si="2"/>
        <v>6</v>
      </c>
      <c r="J5" s="124">
        <f t="shared" si="2"/>
        <v>7</v>
      </c>
      <c r="K5" s="124">
        <f t="shared" si="2"/>
        <v>8</v>
      </c>
      <c r="L5" s="124">
        <f t="shared" si="2"/>
        <v>9</v>
      </c>
      <c r="M5" s="124">
        <f t="shared" si="2"/>
        <v>10</v>
      </c>
      <c r="N5" s="125"/>
      <c r="O5" s="125"/>
      <c r="P5" s="125"/>
      <c r="Q5" s="125"/>
      <c r="R5" s="125"/>
      <c r="S5" s="125"/>
      <c r="T5" s="125"/>
      <c r="U5" s="125"/>
      <c r="V5" s="125"/>
      <c r="W5" s="125"/>
      <c r="X5" s="125"/>
      <c r="Y5" s="125"/>
      <c r="Z5" s="125"/>
      <c r="AA5" s="125"/>
      <c r="AB5" s="125"/>
      <c r="AC5" s="125"/>
      <c r="AD5" s="125"/>
      <c r="AE5" s="125"/>
      <c r="AF5" s="125"/>
      <c r="AG5" s="125"/>
    </row>
    <row r="6" ht="12.75" customHeight="1">
      <c r="C6" s="128"/>
      <c r="D6" s="190"/>
      <c r="E6" s="190"/>
      <c r="F6" s="190"/>
      <c r="G6" s="190"/>
      <c r="H6" s="190"/>
      <c r="I6" s="190"/>
      <c r="J6" s="190"/>
      <c r="K6" s="190"/>
      <c r="L6" s="190"/>
      <c r="M6" s="190"/>
      <c r="N6" s="128"/>
      <c r="O6" s="128"/>
    </row>
    <row r="7" ht="12.75" customHeight="1">
      <c r="C7" s="128"/>
      <c r="D7" s="190"/>
      <c r="E7" s="190"/>
      <c r="F7" s="190"/>
      <c r="G7" s="190"/>
      <c r="H7" s="190"/>
      <c r="I7" s="190"/>
      <c r="J7" s="190"/>
      <c r="K7" s="190"/>
      <c r="L7" s="190"/>
      <c r="M7" s="190"/>
      <c r="N7" s="128"/>
      <c r="O7" s="128"/>
    </row>
    <row r="8" ht="12.75" customHeight="1">
      <c r="A8" s="118" t="s">
        <v>231</v>
      </c>
      <c r="C8" s="128"/>
      <c r="D8" s="58" t="str">
        <f>Inc_St!D39</f>
        <v>#REF!</v>
      </c>
      <c r="E8" s="58" t="str">
        <f>Inc_St!E39</f>
        <v>#REF!</v>
      </c>
      <c r="F8" s="58" t="str">
        <f>Inc_St!F39</f>
        <v>#REF!</v>
      </c>
      <c r="G8" s="58" t="str">
        <f>Inc_St!G39</f>
        <v>#REF!</v>
      </c>
      <c r="H8" s="58" t="str">
        <f>Inc_St!H39</f>
        <v>#REF!</v>
      </c>
      <c r="I8" s="58" t="str">
        <f>Inc_St!I39</f>
        <v>#REF!</v>
      </c>
      <c r="J8" s="58" t="str">
        <f>Inc_St!J39</f>
        <v>#REF!</v>
      </c>
      <c r="K8" s="58" t="str">
        <f>Inc_St!K39</f>
        <v>#REF!</v>
      </c>
      <c r="L8" s="58" t="str">
        <f>Inc_St!L39</f>
        <v>#REF!</v>
      </c>
      <c r="M8" s="58" t="str">
        <f>Inc_St!M39</f>
        <v>#REF!</v>
      </c>
      <c r="N8" s="128"/>
      <c r="O8" s="128"/>
    </row>
    <row r="9" ht="12.75" customHeight="1">
      <c r="C9" s="128"/>
      <c r="D9" s="58"/>
      <c r="E9" s="58"/>
      <c r="F9" s="58"/>
      <c r="G9" s="58"/>
      <c r="H9" s="58"/>
      <c r="I9" s="58"/>
      <c r="J9" s="58"/>
      <c r="K9" s="58"/>
      <c r="L9" s="58"/>
      <c r="M9" s="58"/>
      <c r="N9" s="128"/>
      <c r="O9" s="128"/>
    </row>
    <row r="10" ht="12.75" customHeight="1">
      <c r="A10" s="118" t="s">
        <v>232</v>
      </c>
      <c r="C10" s="128"/>
      <c r="D10" s="58">
        <f>Depr_Amort!F39</f>
        <v>72745</v>
      </c>
      <c r="E10" s="58">
        <f>Depr_Amort!G39</f>
        <v>84845</v>
      </c>
      <c r="F10" s="58">
        <f>Depr_Amort!H39</f>
        <v>93718.33333</v>
      </c>
      <c r="G10" s="58">
        <f>Depr_Amort!I39</f>
        <v>104176.1905</v>
      </c>
      <c r="H10" s="58">
        <f>Depr_Amort!J39</f>
        <v>117597.1071</v>
      </c>
      <c r="I10" s="58">
        <f>Depr_Amort!K39</f>
        <v>128669.3634</v>
      </c>
      <c r="J10" s="58">
        <f>Depr_Amort!L39</f>
        <v>101352.4774</v>
      </c>
      <c r="K10" s="58">
        <f>Depr_Amort!M39</f>
        <v>115643.0695</v>
      </c>
      <c r="L10" s="58">
        <f>Depr_Amort!N39</f>
        <v>127867.6336</v>
      </c>
      <c r="M10" s="58">
        <f>Depr_Amort!O39</f>
        <v>149482.1541</v>
      </c>
      <c r="N10" s="128"/>
      <c r="O10" s="128"/>
    </row>
    <row r="11" ht="12.75" customHeight="1">
      <c r="A11" s="118" t="s">
        <v>233</v>
      </c>
      <c r="C11" s="128"/>
      <c r="D11" s="58">
        <f t="shared" ref="D11:M11" si="3">D48</f>
        <v>1250</v>
      </c>
      <c r="E11" s="58">
        <f t="shared" si="3"/>
        <v>1350</v>
      </c>
      <c r="F11" s="58">
        <f t="shared" si="3"/>
        <v>1450</v>
      </c>
      <c r="G11" s="58">
        <f t="shared" si="3"/>
        <v>1550</v>
      </c>
      <c r="H11" s="58">
        <f t="shared" si="3"/>
        <v>1650</v>
      </c>
      <c r="I11" s="58">
        <f t="shared" si="3"/>
        <v>1750</v>
      </c>
      <c r="J11" s="58">
        <f t="shared" si="3"/>
        <v>1850</v>
      </c>
      <c r="K11" s="58">
        <f t="shared" si="3"/>
        <v>1950</v>
      </c>
      <c r="L11" s="58">
        <f t="shared" si="3"/>
        <v>2050</v>
      </c>
      <c r="M11" s="58">
        <f t="shared" si="3"/>
        <v>2150</v>
      </c>
      <c r="N11" s="128"/>
      <c r="O11" s="128"/>
    </row>
    <row r="12" ht="12.75" customHeight="1">
      <c r="A12" s="118" t="s">
        <v>234</v>
      </c>
      <c r="C12" s="128"/>
      <c r="D12" s="58">
        <f>Depr_Amort!F43</f>
        <v>0</v>
      </c>
      <c r="E12" s="58">
        <f>Depr_Amort!G43</f>
        <v>0</v>
      </c>
      <c r="F12" s="58">
        <f>Depr_Amort!H43</f>
        <v>0</v>
      </c>
      <c r="G12" s="58">
        <f>Depr_Amort!I43</f>
        <v>0</v>
      </c>
      <c r="H12" s="58">
        <f>Depr_Amort!J43</f>
        <v>0</v>
      </c>
      <c r="I12" s="58">
        <f>Depr_Amort!K43</f>
        <v>0</v>
      </c>
      <c r="J12" s="58">
        <f>Depr_Amort!L43</f>
        <v>0</v>
      </c>
      <c r="K12" s="58">
        <f>Depr_Amort!M43</f>
        <v>0</v>
      </c>
      <c r="L12" s="58">
        <f>Depr_Amort!N43</f>
        <v>0</v>
      </c>
      <c r="M12" s="58">
        <f>Depr_Amort!O43</f>
        <v>0</v>
      </c>
      <c r="N12" s="128"/>
      <c r="O12" s="128"/>
    </row>
    <row r="13" ht="12.75" customHeight="1">
      <c r="A13" s="118" t="s">
        <v>235</v>
      </c>
      <c r="C13" s="128"/>
      <c r="D13" s="58">
        <f>Depr_Amort!F42</f>
        <v>179.1666667</v>
      </c>
      <c r="E13" s="58">
        <f>Depr_Amort!G42</f>
        <v>179.1666667</v>
      </c>
      <c r="F13" s="58">
        <f>Depr_Amort!H42</f>
        <v>179.1666667</v>
      </c>
      <c r="G13" s="58">
        <f>Depr_Amort!I42</f>
        <v>179.1666667</v>
      </c>
      <c r="H13" s="58">
        <f>Depr_Amort!J42</f>
        <v>179.1666667</v>
      </c>
      <c r="I13" s="58">
        <f>Depr_Amort!K42</f>
        <v>179.1666667</v>
      </c>
      <c r="J13" s="58">
        <f>Depr_Amort!L42</f>
        <v>179.1666667</v>
      </c>
      <c r="K13" s="58">
        <f>Depr_Amort!M42</f>
        <v>179.1666667</v>
      </c>
      <c r="L13" s="58">
        <f>Depr_Amort!N42</f>
        <v>179.1666667</v>
      </c>
      <c r="M13" s="58">
        <f>Depr_Amort!O42</f>
        <v>179.1666667</v>
      </c>
      <c r="N13" s="128"/>
      <c r="O13" s="128"/>
    </row>
    <row r="14" ht="12.75" customHeight="1">
      <c r="A14" s="118" t="s">
        <v>236</v>
      </c>
      <c r="C14" s="128"/>
      <c r="D14" s="141">
        <v>0.0</v>
      </c>
      <c r="E14" s="141">
        <v>0.0</v>
      </c>
      <c r="F14" s="141">
        <v>0.0</v>
      </c>
      <c r="G14" s="141">
        <v>0.0</v>
      </c>
      <c r="H14" s="141">
        <v>0.0</v>
      </c>
      <c r="I14" s="141">
        <v>0.0</v>
      </c>
      <c r="J14" s="141">
        <v>0.0</v>
      </c>
      <c r="K14" s="141">
        <v>0.0</v>
      </c>
      <c r="L14" s="141">
        <v>0.0</v>
      </c>
      <c r="M14" s="141">
        <v>0.0</v>
      </c>
      <c r="N14" s="128"/>
      <c r="O14" s="128"/>
    </row>
    <row r="15" ht="12.75" customHeight="1">
      <c r="A15" s="118"/>
      <c r="C15" s="128"/>
      <c r="D15" s="58"/>
      <c r="E15" s="58"/>
      <c r="F15" s="58"/>
      <c r="G15" s="58"/>
      <c r="H15" s="58"/>
      <c r="I15" s="58"/>
      <c r="J15" s="58"/>
      <c r="K15" s="58"/>
      <c r="L15" s="58"/>
      <c r="M15" s="58"/>
      <c r="N15" s="128"/>
      <c r="O15" s="128"/>
    </row>
    <row r="16" ht="12.75" customHeight="1">
      <c r="A16" s="118" t="s">
        <v>237</v>
      </c>
      <c r="C16" s="128"/>
      <c r="D16" s="58">
        <f>Depr_Amort!F84</f>
        <v>56211.66667</v>
      </c>
      <c r="E16" s="58">
        <f>Depr_Amort!G84</f>
        <v>71336.66667</v>
      </c>
      <c r="F16" s="58">
        <f>Depr_Amort!H84</f>
        <v>80210</v>
      </c>
      <c r="G16" s="58">
        <f>Depr_Amort!I84</f>
        <v>96477.77778</v>
      </c>
      <c r="H16" s="58">
        <f>Depr_Amort!J84</f>
        <v>136740.5278</v>
      </c>
      <c r="I16" s="58">
        <f>Depr_Amort!K84</f>
        <v>147812.784</v>
      </c>
      <c r="J16" s="58">
        <f>Depr_Amort!L84</f>
        <v>146737.5647</v>
      </c>
      <c r="K16" s="58">
        <f>Depr_Amort!M84</f>
        <v>253917.0052</v>
      </c>
      <c r="L16" s="58">
        <f>Depr_Amort!N84</f>
        <v>221503.8193</v>
      </c>
      <c r="M16" s="58">
        <f>Depr_Amort!O84</f>
        <v>120813.8993</v>
      </c>
      <c r="N16" s="128"/>
      <c r="O16" s="128"/>
    </row>
    <row r="17" ht="12.75" customHeight="1">
      <c r="A17" s="118" t="s">
        <v>238</v>
      </c>
      <c r="C17" s="128"/>
      <c r="D17" s="58">
        <f t="shared" ref="D17:M17" si="4">D49</f>
        <v>1350</v>
      </c>
      <c r="E17" s="58">
        <f t="shared" si="4"/>
        <v>1500</v>
      </c>
      <c r="F17" s="58">
        <f t="shared" si="4"/>
        <v>1600</v>
      </c>
      <c r="G17" s="58">
        <f t="shared" si="4"/>
        <v>1700</v>
      </c>
      <c r="H17" s="58">
        <f t="shared" si="4"/>
        <v>1750</v>
      </c>
      <c r="I17" s="58">
        <f t="shared" si="4"/>
        <v>1900</v>
      </c>
      <c r="J17" s="58">
        <f t="shared" si="4"/>
        <v>2000</v>
      </c>
      <c r="K17" s="58">
        <f t="shared" si="4"/>
        <v>2200</v>
      </c>
      <c r="L17" s="58">
        <f t="shared" si="4"/>
        <v>2300</v>
      </c>
      <c r="M17" s="58">
        <f t="shared" si="4"/>
        <v>2500</v>
      </c>
      <c r="N17" s="128"/>
      <c r="O17" s="128"/>
    </row>
    <row r="18" ht="12.75" customHeight="1">
      <c r="A18" s="118" t="s">
        <v>239</v>
      </c>
      <c r="C18" s="128"/>
      <c r="D18" s="58">
        <f>IF(goodwill_intang_deductible=1,Depr_Amort!F88,0)</f>
        <v>14098.56667</v>
      </c>
      <c r="E18" s="58">
        <f>IF(goodwill_intang_deductible=1,Depr_Amort!G88,0)</f>
        <v>14098.56667</v>
      </c>
      <c r="F18" s="58">
        <f>IF(goodwill_intang_deductible=1,Depr_Amort!H88,0)</f>
        <v>14098.56667</v>
      </c>
      <c r="G18" s="58">
        <f>IF(goodwill_intang_deductible=1,Depr_Amort!I88,0)</f>
        <v>14098.56667</v>
      </c>
      <c r="H18" s="58">
        <f>IF(goodwill_intang_deductible=1,Depr_Amort!J88,0)</f>
        <v>14098.56667</v>
      </c>
      <c r="I18" s="58">
        <f>IF(goodwill_intang_deductible=1,Depr_Amort!K88,0)</f>
        <v>14098.56667</v>
      </c>
      <c r="J18" s="58">
        <f>IF(goodwill_intang_deductible=1,Depr_Amort!L88,0)</f>
        <v>14098.56667</v>
      </c>
      <c r="K18" s="58">
        <f>IF(goodwill_intang_deductible=1,Depr_Amort!M88,0)</f>
        <v>14098.56667</v>
      </c>
      <c r="L18" s="58">
        <f>IF(goodwill_intang_deductible=1,Depr_Amort!N88,0)</f>
        <v>14098.56667</v>
      </c>
      <c r="M18" s="58">
        <f>IF(goodwill_intang_deductible=1,Depr_Amort!O88,0)</f>
        <v>14098.56667</v>
      </c>
      <c r="N18" s="128"/>
      <c r="O18" s="128"/>
    </row>
    <row r="19" ht="12.75" customHeight="1">
      <c r="A19" s="118" t="s">
        <v>240</v>
      </c>
      <c r="C19" s="128"/>
      <c r="D19" s="58">
        <f>IF(goodwill_intang_deductible=1,Depr_Amort!F87,0)</f>
        <v>143.3333333</v>
      </c>
      <c r="E19" s="58">
        <f>IF(goodwill_intang_deductible=1,Depr_Amort!G87,0)</f>
        <v>143.3333333</v>
      </c>
      <c r="F19" s="58">
        <f>IF(goodwill_intang_deductible=1,Depr_Amort!H87,0)</f>
        <v>143.3333333</v>
      </c>
      <c r="G19" s="58">
        <f>IF(goodwill_intang_deductible=1,Depr_Amort!I87,0)</f>
        <v>143.3333333</v>
      </c>
      <c r="H19" s="58">
        <f>IF(goodwill_intang_deductible=1,Depr_Amort!J87,0)</f>
        <v>143.3333333</v>
      </c>
      <c r="I19" s="58">
        <f>IF(goodwill_intang_deductible=1,Depr_Amort!K87,0)</f>
        <v>143.3333333</v>
      </c>
      <c r="J19" s="58">
        <f>IF(goodwill_intang_deductible=1,Depr_Amort!L87,0)</f>
        <v>143.3333333</v>
      </c>
      <c r="K19" s="58">
        <f>IF(goodwill_intang_deductible=1,Depr_Amort!M87,0)</f>
        <v>143.3333333</v>
      </c>
      <c r="L19" s="58">
        <f>IF(goodwill_intang_deductible=1,Depr_Amort!N87,0)</f>
        <v>143.3333333</v>
      </c>
      <c r="M19" s="58">
        <f>IF(goodwill_intang_deductible=1,Depr_Amort!O87,0)</f>
        <v>143.3333333</v>
      </c>
      <c r="N19" s="128"/>
      <c r="O19" s="128"/>
    </row>
    <row r="20" ht="12.75" customHeight="1">
      <c r="C20" s="128"/>
      <c r="D20" s="58"/>
      <c r="E20" s="58"/>
      <c r="F20" s="58"/>
      <c r="G20" s="58"/>
      <c r="H20" s="58"/>
      <c r="I20" s="58"/>
      <c r="J20" s="58"/>
      <c r="K20" s="58"/>
      <c r="L20" s="58"/>
      <c r="M20" s="58"/>
      <c r="N20" s="128"/>
      <c r="O20" s="128"/>
    </row>
    <row r="21" ht="12.75" customHeight="1">
      <c r="A21" s="118" t="s">
        <v>241</v>
      </c>
      <c r="C21" s="128"/>
      <c r="D21" s="58" t="str">
        <f t="shared" ref="D21:M21" si="5">D8+SUM(D10:D14)-SUM(D16:D19)</f>
        <v>#REF!</v>
      </c>
      <c r="E21" s="58" t="str">
        <f t="shared" si="5"/>
        <v>#REF!</v>
      </c>
      <c r="F21" s="58" t="str">
        <f t="shared" si="5"/>
        <v>#REF!</v>
      </c>
      <c r="G21" s="58" t="str">
        <f t="shared" si="5"/>
        <v>#REF!</v>
      </c>
      <c r="H21" s="58" t="str">
        <f t="shared" si="5"/>
        <v>#REF!</v>
      </c>
      <c r="I21" s="58" t="str">
        <f t="shared" si="5"/>
        <v>#REF!</v>
      </c>
      <c r="J21" s="58" t="str">
        <f t="shared" si="5"/>
        <v>#REF!</v>
      </c>
      <c r="K21" s="58" t="str">
        <f t="shared" si="5"/>
        <v>#REF!</v>
      </c>
      <c r="L21" s="58" t="str">
        <f t="shared" si="5"/>
        <v>#REF!</v>
      </c>
      <c r="M21" s="58" t="str">
        <f t="shared" si="5"/>
        <v>#REF!</v>
      </c>
      <c r="N21" s="128"/>
      <c r="O21" s="128"/>
    </row>
    <row r="22" ht="12.75" customHeight="1">
      <c r="C22" s="128"/>
      <c r="D22" s="58"/>
      <c r="E22" s="58"/>
      <c r="F22" s="58"/>
      <c r="G22" s="58"/>
      <c r="H22" s="58"/>
      <c r="I22" s="58"/>
      <c r="J22" s="58"/>
      <c r="K22" s="58"/>
      <c r="L22" s="58"/>
      <c r="M22" s="58"/>
      <c r="N22" s="128"/>
      <c r="O22" s="128"/>
    </row>
    <row r="23" ht="12.75" customHeight="1">
      <c r="A23" s="118" t="s">
        <v>242</v>
      </c>
      <c r="C23" s="128"/>
      <c r="D23" s="58" t="str">
        <f t="shared" ref="D23:M23" si="6">MIN(MAX(0,D21),D33)</f>
        <v>#REF!</v>
      </c>
      <c r="E23" s="58" t="str">
        <f t="shared" si="6"/>
        <v>#REF!</v>
      </c>
      <c r="F23" s="58" t="str">
        <f t="shared" si="6"/>
        <v>#REF!</v>
      </c>
      <c r="G23" s="58" t="str">
        <f t="shared" si="6"/>
        <v>#REF!</v>
      </c>
      <c r="H23" s="58" t="str">
        <f t="shared" si="6"/>
        <v>#REF!</v>
      </c>
      <c r="I23" s="58" t="str">
        <f t="shared" si="6"/>
        <v>#REF!</v>
      </c>
      <c r="J23" s="58" t="str">
        <f t="shared" si="6"/>
        <v>#REF!</v>
      </c>
      <c r="K23" s="58" t="str">
        <f t="shared" si="6"/>
        <v>#REF!</v>
      </c>
      <c r="L23" s="58" t="str">
        <f t="shared" si="6"/>
        <v>#REF!</v>
      </c>
      <c r="M23" s="58" t="str">
        <f t="shared" si="6"/>
        <v>#REF!</v>
      </c>
      <c r="N23" s="128"/>
      <c r="O23" s="128"/>
    </row>
    <row r="24" ht="12.75" customHeight="1">
      <c r="C24" s="128"/>
      <c r="D24" s="58"/>
      <c r="E24" s="58"/>
      <c r="F24" s="58"/>
      <c r="G24" s="58"/>
      <c r="H24" s="58"/>
      <c r="I24" s="58"/>
      <c r="J24" s="58"/>
      <c r="K24" s="58"/>
      <c r="L24" s="58"/>
      <c r="M24" s="58"/>
      <c r="N24" s="128"/>
      <c r="O24" s="128"/>
    </row>
    <row r="25" ht="12.75" customHeight="1">
      <c r="A25" s="118" t="s">
        <v>243</v>
      </c>
      <c r="C25" s="128"/>
      <c r="D25" s="58" t="str">
        <f t="shared" ref="D25:M25" si="7">D21-D23</f>
        <v>#REF!</v>
      </c>
      <c r="E25" s="58" t="str">
        <f t="shared" si="7"/>
        <v>#REF!</v>
      </c>
      <c r="F25" s="58" t="str">
        <f t="shared" si="7"/>
        <v>#REF!</v>
      </c>
      <c r="G25" s="58" t="str">
        <f t="shared" si="7"/>
        <v>#REF!</v>
      </c>
      <c r="H25" s="58" t="str">
        <f t="shared" si="7"/>
        <v>#REF!</v>
      </c>
      <c r="I25" s="58" t="str">
        <f t="shared" si="7"/>
        <v>#REF!</v>
      </c>
      <c r="J25" s="58" t="str">
        <f t="shared" si="7"/>
        <v>#REF!</v>
      </c>
      <c r="K25" s="58" t="str">
        <f t="shared" si="7"/>
        <v>#REF!</v>
      </c>
      <c r="L25" s="58" t="str">
        <f t="shared" si="7"/>
        <v>#REF!</v>
      </c>
      <c r="M25" s="58" t="str">
        <f t="shared" si="7"/>
        <v>#REF!</v>
      </c>
      <c r="N25" s="128"/>
      <c r="O25" s="128"/>
    </row>
    <row r="26" ht="12.75" customHeight="1">
      <c r="A26" s="118" t="s">
        <v>244</v>
      </c>
      <c r="C26" s="128"/>
      <c r="D26" s="58" t="str">
        <f>MAX(0,D25)*tax_rate</f>
        <v>#REF!</v>
      </c>
      <c r="E26" s="58" t="str">
        <f>MAX(0,E25)*tax_rate</f>
        <v>#REF!</v>
      </c>
      <c r="F26" s="58" t="str">
        <f>MAX(0,F25)*tax_rate</f>
        <v>#REF!</v>
      </c>
      <c r="G26" s="58" t="str">
        <f>MAX(0,G25)*tax_rate</f>
        <v>#REF!</v>
      </c>
      <c r="H26" s="58" t="str">
        <f>MAX(0,H25)*tax_rate</f>
        <v>#REF!</v>
      </c>
      <c r="I26" s="58" t="str">
        <f>MAX(0,I25)*tax_rate</f>
        <v>#REF!</v>
      </c>
      <c r="J26" s="58" t="str">
        <f>MAX(0,J25)*tax_rate</f>
        <v>#REF!</v>
      </c>
      <c r="K26" s="58" t="str">
        <f>MAX(0,K25)*tax_rate</f>
        <v>#REF!</v>
      </c>
      <c r="L26" s="58" t="str">
        <f>MAX(0,L25)*tax_rate</f>
        <v>#REF!</v>
      </c>
      <c r="M26" s="58" t="str">
        <f>MAX(0,M25)*tax_rate</f>
        <v>#REF!</v>
      </c>
      <c r="N26" s="128"/>
      <c r="O26" s="128"/>
    </row>
    <row r="27" ht="12.75" customHeight="1">
      <c r="A27" s="118"/>
      <c r="C27" s="128"/>
      <c r="D27" s="58"/>
      <c r="E27" s="58"/>
      <c r="F27" s="58"/>
      <c r="G27" s="58"/>
      <c r="H27" s="58"/>
      <c r="I27" s="58"/>
      <c r="J27" s="58"/>
      <c r="K27" s="58"/>
      <c r="L27" s="58"/>
      <c r="M27" s="58"/>
      <c r="N27" s="128"/>
      <c r="O27" s="128"/>
    </row>
    <row r="28" ht="12.75" customHeight="1">
      <c r="A28" s="118" t="s">
        <v>245</v>
      </c>
      <c r="C28" s="128"/>
      <c r="D28" s="58" t="str">
        <f>D8*tax_rate+IF(goodwill_intang_deductible=0,D12+D13,0)*tax_rate</f>
        <v>#REF!</v>
      </c>
      <c r="E28" s="58" t="str">
        <f>E8*tax_rate+IF(goodwill_intang_deductible=0,E12+E13,0)*tax_rate</f>
        <v>#REF!</v>
      </c>
      <c r="F28" s="58" t="str">
        <f>F8*tax_rate+IF(goodwill_intang_deductible=0,F12+F13,0)*tax_rate</f>
        <v>#REF!</v>
      </c>
      <c r="G28" s="58" t="str">
        <f>G8*tax_rate+IF(goodwill_intang_deductible=0,G12+G13,0)*tax_rate</f>
        <v>#REF!</v>
      </c>
      <c r="H28" s="58" t="str">
        <f>H8*tax_rate+IF(goodwill_intang_deductible=0,H12+H13,0)*tax_rate</f>
        <v>#REF!</v>
      </c>
      <c r="I28" s="58" t="str">
        <f>I8*tax_rate+IF(goodwill_intang_deductible=0,I12+I13,0)*tax_rate</f>
        <v>#REF!</v>
      </c>
      <c r="J28" s="58" t="str">
        <f>J8*tax_rate+IF(goodwill_intang_deductible=0,J12+J13,0)*tax_rate</f>
        <v>#REF!</v>
      </c>
      <c r="K28" s="58" t="str">
        <f>K8*tax_rate+IF(goodwill_intang_deductible=0,K12+K13,0)*tax_rate</f>
        <v>#REF!</v>
      </c>
      <c r="L28" s="58" t="str">
        <f>L8*tax_rate+IF(goodwill_intang_deductible=0,L12+L13,0)*tax_rate</f>
        <v>#REF!</v>
      </c>
      <c r="M28" s="58" t="str">
        <f>M8*tax_rate+IF(goodwill_intang_deductible=0,M12+M13,0)*tax_rate</f>
        <v>#REF!</v>
      </c>
      <c r="N28" s="128"/>
      <c r="O28" s="128"/>
    </row>
    <row r="29" ht="12.75" customHeight="1">
      <c r="A29" s="118" t="s">
        <v>246</v>
      </c>
      <c r="C29" s="128"/>
      <c r="D29" s="58"/>
      <c r="E29" s="58"/>
      <c r="F29" s="58"/>
      <c r="G29" s="58"/>
      <c r="H29" s="58"/>
      <c r="I29" s="58"/>
      <c r="J29" s="58"/>
      <c r="K29" s="58"/>
      <c r="L29" s="58"/>
      <c r="M29" s="58"/>
      <c r="N29" s="128"/>
      <c r="O29" s="128"/>
    </row>
    <row r="30" ht="12.75" customHeight="1">
      <c r="A30" s="137" t="s">
        <v>247</v>
      </c>
      <c r="C30" s="128"/>
      <c r="D30" s="58" t="str">
        <f t="shared" ref="D30:M30" si="8">D28-D26</f>
        <v>#REF!</v>
      </c>
      <c r="E30" s="58" t="str">
        <f t="shared" si="8"/>
        <v>#REF!</v>
      </c>
      <c r="F30" s="58" t="str">
        <f t="shared" si="8"/>
        <v>#REF!</v>
      </c>
      <c r="G30" s="58" t="str">
        <f t="shared" si="8"/>
        <v>#REF!</v>
      </c>
      <c r="H30" s="58" t="str">
        <f t="shared" si="8"/>
        <v>#REF!</v>
      </c>
      <c r="I30" s="58" t="str">
        <f t="shared" si="8"/>
        <v>#REF!</v>
      </c>
      <c r="J30" s="58" t="str">
        <f t="shared" si="8"/>
        <v>#REF!</v>
      </c>
      <c r="K30" s="58" t="str">
        <f t="shared" si="8"/>
        <v>#REF!</v>
      </c>
      <c r="L30" s="58" t="str">
        <f t="shared" si="8"/>
        <v>#REF!</v>
      </c>
      <c r="M30" s="58" t="str">
        <f t="shared" si="8"/>
        <v>#REF!</v>
      </c>
      <c r="N30" s="128"/>
      <c r="O30" s="128"/>
    </row>
    <row r="31" ht="12.75" customHeight="1">
      <c r="C31" s="128"/>
      <c r="D31" s="58"/>
      <c r="E31" s="58"/>
      <c r="F31" s="58"/>
      <c r="G31" s="58"/>
      <c r="H31" s="58"/>
      <c r="I31" s="58"/>
      <c r="J31" s="58"/>
      <c r="K31" s="58"/>
      <c r="L31" s="58"/>
      <c r="M31" s="58"/>
      <c r="N31" s="128"/>
      <c r="O31" s="128"/>
    </row>
    <row r="32" ht="12.75" customHeight="1">
      <c r="C32" s="128"/>
      <c r="D32" s="58"/>
      <c r="E32" s="58"/>
      <c r="F32" s="58"/>
      <c r="G32" s="58"/>
      <c r="H32" s="58"/>
      <c r="I32" s="58"/>
      <c r="J32" s="58"/>
      <c r="K32" s="58"/>
      <c r="L32" s="58"/>
      <c r="M32" s="58"/>
      <c r="N32" s="128"/>
      <c r="O32" s="128"/>
    </row>
    <row r="33" ht="12.75" customHeight="1">
      <c r="A33" s="118" t="s">
        <v>248</v>
      </c>
      <c r="C33" s="128"/>
      <c r="D33" s="141">
        <v>15500.0</v>
      </c>
      <c r="E33" s="58" t="str">
        <f t="shared" ref="E33:M33" si="9">D36</f>
        <v>#REF!</v>
      </c>
      <c r="F33" s="58" t="str">
        <f t="shared" si="9"/>
        <v>#REF!</v>
      </c>
      <c r="G33" s="58" t="str">
        <f t="shared" si="9"/>
        <v>#REF!</v>
      </c>
      <c r="H33" s="58" t="str">
        <f t="shared" si="9"/>
        <v>#REF!</v>
      </c>
      <c r="I33" s="58" t="str">
        <f t="shared" si="9"/>
        <v>#REF!</v>
      </c>
      <c r="J33" s="58" t="str">
        <f t="shared" si="9"/>
        <v>#REF!</v>
      </c>
      <c r="K33" s="58" t="str">
        <f t="shared" si="9"/>
        <v>#REF!</v>
      </c>
      <c r="L33" s="58" t="str">
        <f t="shared" si="9"/>
        <v>#REF!</v>
      </c>
      <c r="M33" s="58" t="str">
        <f t="shared" si="9"/>
        <v>#REF!</v>
      </c>
      <c r="N33" s="128"/>
      <c r="O33" s="128"/>
    </row>
    <row r="34" ht="12.75" customHeight="1">
      <c r="A34" s="118" t="s">
        <v>249</v>
      </c>
      <c r="C34" s="128"/>
      <c r="D34" s="58" t="str">
        <f t="shared" ref="D34:M34" si="10">MIN(0,D21)</f>
        <v>#REF!</v>
      </c>
      <c r="E34" s="58" t="str">
        <f t="shared" si="10"/>
        <v>#REF!</v>
      </c>
      <c r="F34" s="58" t="str">
        <f t="shared" si="10"/>
        <v>#REF!</v>
      </c>
      <c r="G34" s="58" t="str">
        <f t="shared" si="10"/>
        <v>#REF!</v>
      </c>
      <c r="H34" s="58" t="str">
        <f t="shared" si="10"/>
        <v>#REF!</v>
      </c>
      <c r="I34" s="58" t="str">
        <f t="shared" si="10"/>
        <v>#REF!</v>
      </c>
      <c r="J34" s="58" t="str">
        <f t="shared" si="10"/>
        <v>#REF!</v>
      </c>
      <c r="K34" s="58" t="str">
        <f t="shared" si="10"/>
        <v>#REF!</v>
      </c>
      <c r="L34" s="58" t="str">
        <f t="shared" si="10"/>
        <v>#REF!</v>
      </c>
      <c r="M34" s="58" t="str">
        <f t="shared" si="10"/>
        <v>#REF!</v>
      </c>
      <c r="N34" s="128"/>
      <c r="O34" s="128"/>
    </row>
    <row r="35" ht="12.75" customHeight="1">
      <c r="A35" s="118" t="s">
        <v>250</v>
      </c>
      <c r="C35" s="128"/>
      <c r="D35" s="58" t="str">
        <f t="shared" ref="D35:M35" si="11">D23</f>
        <v>#REF!</v>
      </c>
      <c r="E35" s="58" t="str">
        <f t="shared" si="11"/>
        <v>#REF!</v>
      </c>
      <c r="F35" s="58" t="str">
        <f t="shared" si="11"/>
        <v>#REF!</v>
      </c>
      <c r="G35" s="58" t="str">
        <f t="shared" si="11"/>
        <v>#REF!</v>
      </c>
      <c r="H35" s="58" t="str">
        <f t="shared" si="11"/>
        <v>#REF!</v>
      </c>
      <c r="I35" s="58" t="str">
        <f t="shared" si="11"/>
        <v>#REF!</v>
      </c>
      <c r="J35" s="58" t="str">
        <f t="shared" si="11"/>
        <v>#REF!</v>
      </c>
      <c r="K35" s="58" t="str">
        <f t="shared" si="11"/>
        <v>#REF!</v>
      </c>
      <c r="L35" s="58" t="str">
        <f t="shared" si="11"/>
        <v>#REF!</v>
      </c>
      <c r="M35" s="58" t="str">
        <f t="shared" si="11"/>
        <v>#REF!</v>
      </c>
      <c r="N35" s="128"/>
      <c r="O35" s="128"/>
    </row>
    <row r="36" ht="12.75" customHeight="1">
      <c r="A36" s="118" t="s">
        <v>251</v>
      </c>
      <c r="C36" s="128"/>
      <c r="D36" s="58" t="str">
        <f t="shared" ref="D36:M36" si="12">D33+D34-D35</f>
        <v>#REF!</v>
      </c>
      <c r="E36" s="58" t="str">
        <f t="shared" si="12"/>
        <v>#REF!</v>
      </c>
      <c r="F36" s="58" t="str">
        <f t="shared" si="12"/>
        <v>#REF!</v>
      </c>
      <c r="G36" s="58" t="str">
        <f t="shared" si="12"/>
        <v>#REF!</v>
      </c>
      <c r="H36" s="58" t="str">
        <f t="shared" si="12"/>
        <v>#REF!</v>
      </c>
      <c r="I36" s="58" t="str">
        <f t="shared" si="12"/>
        <v>#REF!</v>
      </c>
      <c r="J36" s="58" t="str">
        <f t="shared" si="12"/>
        <v>#REF!</v>
      </c>
      <c r="K36" s="58" t="str">
        <f t="shared" si="12"/>
        <v>#REF!</v>
      </c>
      <c r="L36" s="58" t="str">
        <f t="shared" si="12"/>
        <v>#REF!</v>
      </c>
      <c r="M36" s="58" t="str">
        <f t="shared" si="12"/>
        <v>#REF!</v>
      </c>
      <c r="N36" s="128"/>
      <c r="O36" s="128"/>
    </row>
    <row r="37" ht="12.75" customHeight="1">
      <c r="A37" s="118"/>
      <c r="C37" s="128"/>
      <c r="D37" s="58"/>
      <c r="E37" s="58"/>
      <c r="F37" s="58"/>
      <c r="G37" s="58"/>
      <c r="H37" s="58"/>
      <c r="I37" s="58"/>
      <c r="J37" s="58"/>
      <c r="K37" s="58"/>
      <c r="L37" s="58"/>
      <c r="M37" s="58"/>
      <c r="N37" s="128"/>
      <c r="O37" s="128"/>
    </row>
    <row r="38" ht="12.75" customHeight="1">
      <c r="A38" s="118"/>
      <c r="C38" s="128"/>
      <c r="D38" s="58"/>
      <c r="E38" s="58"/>
      <c r="F38" s="58"/>
      <c r="G38" s="58"/>
      <c r="H38" s="58"/>
      <c r="I38" s="58"/>
      <c r="J38" s="58"/>
      <c r="K38" s="58"/>
      <c r="L38" s="58"/>
      <c r="M38" s="58"/>
      <c r="N38" s="128"/>
      <c r="O38" s="128"/>
    </row>
    <row r="39" ht="12.75" customHeight="1">
      <c r="C39" s="128"/>
      <c r="D39" s="58"/>
      <c r="E39" s="58"/>
      <c r="F39" s="58"/>
      <c r="G39" s="58"/>
      <c r="H39" s="58"/>
      <c r="I39" s="58"/>
      <c r="J39" s="58"/>
      <c r="K39" s="58"/>
      <c r="L39" s="58"/>
      <c r="M39" s="58"/>
      <c r="N39" s="128"/>
      <c r="O39" s="128"/>
    </row>
    <row r="40" ht="12.75" customHeight="1">
      <c r="C40" s="128"/>
      <c r="D40" s="58"/>
      <c r="E40" s="58"/>
      <c r="F40" s="58"/>
      <c r="G40" s="58"/>
      <c r="H40" s="58"/>
      <c r="I40" s="58"/>
      <c r="J40" s="58"/>
      <c r="K40" s="58"/>
      <c r="L40" s="58"/>
      <c r="M40" s="58"/>
      <c r="N40" s="128"/>
      <c r="O40" s="128"/>
    </row>
    <row r="41" ht="12.75" customHeight="1">
      <c r="A41" s="153" t="s">
        <v>252</v>
      </c>
      <c r="C41" s="128"/>
      <c r="D41" s="58"/>
      <c r="E41" s="58"/>
      <c r="F41" s="58"/>
      <c r="G41" s="58"/>
      <c r="H41" s="58"/>
      <c r="I41" s="58"/>
      <c r="J41" s="58"/>
      <c r="K41" s="58"/>
      <c r="L41" s="58"/>
      <c r="M41" s="58"/>
      <c r="N41" s="128"/>
      <c r="O41" s="128"/>
    </row>
    <row r="42" ht="12.75" customHeight="1">
      <c r="C42" s="128"/>
      <c r="D42" s="58"/>
      <c r="E42" s="58"/>
      <c r="F42" s="58"/>
      <c r="G42" s="58"/>
      <c r="H42" s="58"/>
      <c r="I42" s="58"/>
      <c r="J42" s="58"/>
      <c r="K42" s="58"/>
      <c r="L42" s="58"/>
      <c r="M42" s="58"/>
      <c r="N42" s="128"/>
      <c r="O42" s="128"/>
    </row>
    <row r="43" ht="12.75" customHeight="1">
      <c r="A43" s="118" t="s">
        <v>253</v>
      </c>
      <c r="C43" s="128"/>
      <c r="D43" s="141">
        <v>4000.0</v>
      </c>
      <c r="E43" s="141">
        <v>4500.0</v>
      </c>
      <c r="F43" s="141">
        <v>5000.0</v>
      </c>
      <c r="G43" s="141">
        <v>5500.0</v>
      </c>
      <c r="H43" s="141">
        <v>6000.0</v>
      </c>
      <c r="I43" s="141">
        <v>6500.0</v>
      </c>
      <c r="J43" s="141">
        <v>7000.0</v>
      </c>
      <c r="K43" s="141">
        <v>7500.0</v>
      </c>
      <c r="L43" s="141">
        <v>8000.0</v>
      </c>
      <c r="M43" s="141">
        <v>8500.0</v>
      </c>
      <c r="N43" s="128"/>
      <c r="O43" s="128"/>
    </row>
    <row r="44" ht="12.75" customHeight="1">
      <c r="C44" s="128"/>
      <c r="D44" s="58"/>
      <c r="E44" s="58"/>
      <c r="F44" s="58"/>
      <c r="G44" s="58"/>
      <c r="H44" s="58"/>
      <c r="I44" s="58"/>
      <c r="J44" s="58"/>
      <c r="K44" s="58"/>
      <c r="L44" s="58"/>
      <c r="M44" s="58"/>
      <c r="N44" s="128"/>
      <c r="O44" s="128"/>
    </row>
    <row r="45" ht="12.75" customHeight="1">
      <c r="A45" s="118" t="s">
        <v>254</v>
      </c>
      <c r="C45" s="128"/>
      <c r="D45" s="58">
        <f t="shared" ref="D45:M45" si="13">SUM(D53:D54)</f>
        <v>2750</v>
      </c>
      <c r="E45" s="58">
        <f t="shared" si="13"/>
        <v>3150</v>
      </c>
      <c r="F45" s="58">
        <f t="shared" si="13"/>
        <v>3550</v>
      </c>
      <c r="G45" s="58">
        <f t="shared" si="13"/>
        <v>3950</v>
      </c>
      <c r="H45" s="58">
        <f t="shared" si="13"/>
        <v>4350</v>
      </c>
      <c r="I45" s="58">
        <f t="shared" si="13"/>
        <v>4750</v>
      </c>
      <c r="J45" s="58">
        <f t="shared" si="13"/>
        <v>5150</v>
      </c>
      <c r="K45" s="58">
        <f t="shared" si="13"/>
        <v>5550</v>
      </c>
      <c r="L45" s="58">
        <f t="shared" si="13"/>
        <v>5950</v>
      </c>
      <c r="M45" s="58">
        <f t="shared" si="13"/>
        <v>6350</v>
      </c>
      <c r="N45" s="128"/>
      <c r="O45" s="128"/>
    </row>
    <row r="46" ht="12.75" customHeight="1">
      <c r="A46" s="118" t="s">
        <v>255</v>
      </c>
      <c r="C46" s="128"/>
      <c r="D46" s="141">
        <v>2650.0</v>
      </c>
      <c r="E46" s="141">
        <v>3000.0</v>
      </c>
      <c r="F46" s="141">
        <v>3400.0</v>
      </c>
      <c r="G46" s="141">
        <v>3800.0</v>
      </c>
      <c r="H46" s="141">
        <v>4250.0</v>
      </c>
      <c r="I46" s="141">
        <v>4600.0</v>
      </c>
      <c r="J46" s="141">
        <v>5000.0</v>
      </c>
      <c r="K46" s="141">
        <v>5300.0</v>
      </c>
      <c r="L46" s="141">
        <v>5700.0</v>
      </c>
      <c r="M46" s="141">
        <v>6000.0</v>
      </c>
      <c r="N46" s="128"/>
      <c r="O46" s="128"/>
    </row>
    <row r="47" ht="12.75" customHeight="1">
      <c r="C47" s="128"/>
      <c r="D47" s="58"/>
      <c r="E47" s="58"/>
      <c r="F47" s="58"/>
      <c r="G47" s="58"/>
      <c r="H47" s="58"/>
      <c r="I47" s="58"/>
      <c r="J47" s="58"/>
      <c r="K47" s="58"/>
      <c r="L47" s="58"/>
      <c r="M47" s="58"/>
      <c r="N47" s="128"/>
      <c r="O47" s="128"/>
    </row>
    <row r="48" ht="12.75" customHeight="1">
      <c r="A48" s="118" t="s">
        <v>256</v>
      </c>
      <c r="C48" s="128"/>
      <c r="D48" s="58">
        <f t="shared" ref="D48:M48" si="14">D43-D45</f>
        <v>1250</v>
      </c>
      <c r="E48" s="58">
        <f t="shared" si="14"/>
        <v>1350</v>
      </c>
      <c r="F48" s="58">
        <f t="shared" si="14"/>
        <v>1450</v>
      </c>
      <c r="G48" s="58">
        <f t="shared" si="14"/>
        <v>1550</v>
      </c>
      <c r="H48" s="58">
        <f t="shared" si="14"/>
        <v>1650</v>
      </c>
      <c r="I48" s="58">
        <f t="shared" si="14"/>
        <v>1750</v>
      </c>
      <c r="J48" s="58">
        <f t="shared" si="14"/>
        <v>1850</v>
      </c>
      <c r="K48" s="58">
        <f t="shared" si="14"/>
        <v>1950</v>
      </c>
      <c r="L48" s="58">
        <f t="shared" si="14"/>
        <v>2050</v>
      </c>
      <c r="M48" s="58">
        <f t="shared" si="14"/>
        <v>2150</v>
      </c>
      <c r="N48" s="128"/>
      <c r="O48" s="128"/>
    </row>
    <row r="49" ht="12.75" customHeight="1">
      <c r="A49" s="118" t="s">
        <v>257</v>
      </c>
      <c r="C49" s="128"/>
      <c r="D49" s="58">
        <f t="shared" ref="D49:M49" si="15">D43-D46</f>
        <v>1350</v>
      </c>
      <c r="E49" s="58">
        <f t="shared" si="15"/>
        <v>1500</v>
      </c>
      <c r="F49" s="58">
        <f t="shared" si="15"/>
        <v>1600</v>
      </c>
      <c r="G49" s="58">
        <f t="shared" si="15"/>
        <v>1700</v>
      </c>
      <c r="H49" s="58">
        <f t="shared" si="15"/>
        <v>1750</v>
      </c>
      <c r="I49" s="58">
        <f t="shared" si="15"/>
        <v>1900</v>
      </c>
      <c r="J49" s="58">
        <f t="shared" si="15"/>
        <v>2000</v>
      </c>
      <c r="K49" s="58">
        <f t="shared" si="15"/>
        <v>2200</v>
      </c>
      <c r="L49" s="58">
        <f t="shared" si="15"/>
        <v>2300</v>
      </c>
      <c r="M49" s="58">
        <f t="shared" si="15"/>
        <v>2500</v>
      </c>
      <c r="N49" s="128"/>
      <c r="O49" s="128"/>
    </row>
    <row r="50" ht="12.75" customHeight="1">
      <c r="C50" s="128"/>
      <c r="D50" s="58"/>
      <c r="E50" s="58"/>
      <c r="F50" s="58"/>
      <c r="G50" s="58"/>
      <c r="H50" s="58"/>
      <c r="I50" s="58"/>
      <c r="J50" s="58"/>
      <c r="K50" s="58"/>
      <c r="L50" s="58"/>
      <c r="M50" s="58"/>
      <c r="N50" s="128"/>
      <c r="O50" s="128"/>
    </row>
    <row r="51" ht="7.5" customHeight="1">
      <c r="C51" s="128"/>
      <c r="D51" s="58"/>
      <c r="E51" s="58"/>
      <c r="F51" s="58"/>
      <c r="G51" s="58"/>
      <c r="H51" s="58"/>
      <c r="I51" s="58"/>
      <c r="J51" s="58"/>
      <c r="K51" s="58"/>
      <c r="L51" s="58"/>
      <c r="M51" s="58"/>
      <c r="N51" s="128"/>
      <c r="O51" s="128"/>
    </row>
    <row r="52" ht="12.75" customHeight="1">
      <c r="A52" s="191" t="s">
        <v>258</v>
      </c>
      <c r="C52" s="128"/>
      <c r="D52" s="58"/>
      <c r="E52" s="58"/>
      <c r="F52" s="58"/>
      <c r="G52" s="58"/>
      <c r="H52" s="58"/>
      <c r="I52" s="58"/>
      <c r="J52" s="58"/>
      <c r="K52" s="58"/>
      <c r="L52" s="58"/>
      <c r="M52" s="58"/>
      <c r="N52" s="128"/>
      <c r="O52" s="128"/>
    </row>
    <row r="53" ht="12.75" customHeight="1">
      <c r="A53" s="118" t="str">
        <f>Bal_Sheet!A23</f>
        <v>PP&amp;E:</v>
      </c>
      <c r="C53" s="128"/>
      <c r="D53" s="141">
        <v>1500.0</v>
      </c>
      <c r="E53" s="141">
        <v>1700.0</v>
      </c>
      <c r="F53" s="141">
        <v>1900.0</v>
      </c>
      <c r="G53" s="141">
        <v>2100.0</v>
      </c>
      <c r="H53" s="141">
        <v>2300.0</v>
      </c>
      <c r="I53" s="141">
        <v>2500.0</v>
      </c>
      <c r="J53" s="141">
        <v>2700.0</v>
      </c>
      <c r="K53" s="141">
        <v>2900.0</v>
      </c>
      <c r="L53" s="141">
        <v>3100.0</v>
      </c>
      <c r="M53" s="141">
        <v>3300.0</v>
      </c>
      <c r="N53" s="128"/>
      <c r="O53" s="128"/>
    </row>
    <row r="54" ht="12.75" customHeight="1">
      <c r="A54" s="118" t="str">
        <f>Bal_Sheet!A22</f>
        <v>Other Long-Term Assets</v>
      </c>
      <c r="C54" s="128"/>
      <c r="D54" s="141">
        <v>1250.0</v>
      </c>
      <c r="E54" s="141">
        <v>1450.0</v>
      </c>
      <c r="F54" s="141">
        <v>1650.0</v>
      </c>
      <c r="G54" s="141">
        <v>1850.0</v>
      </c>
      <c r="H54" s="141">
        <v>2050.0</v>
      </c>
      <c r="I54" s="141">
        <v>2250.0</v>
      </c>
      <c r="J54" s="141">
        <v>2450.0</v>
      </c>
      <c r="K54" s="141">
        <v>2650.0</v>
      </c>
      <c r="L54" s="141">
        <v>2850.0</v>
      </c>
      <c r="M54" s="141">
        <v>3050.0</v>
      </c>
      <c r="N54" s="128"/>
      <c r="O54" s="128"/>
    </row>
    <row r="55" ht="12.75" customHeight="1">
      <c r="C55" s="128"/>
      <c r="D55" s="58"/>
      <c r="E55" s="58"/>
      <c r="F55" s="58"/>
      <c r="G55" s="58"/>
      <c r="H55" s="58"/>
      <c r="I55" s="58"/>
      <c r="J55" s="58"/>
      <c r="K55" s="58"/>
      <c r="L55" s="58"/>
      <c r="M55" s="58"/>
      <c r="N55" s="128"/>
      <c r="O55" s="128"/>
    </row>
    <row r="56" ht="12.75" customHeight="1">
      <c r="C56" s="128"/>
      <c r="D56" s="58"/>
      <c r="E56" s="58"/>
      <c r="F56" s="58"/>
      <c r="G56" s="58"/>
      <c r="H56" s="58"/>
      <c r="I56" s="58"/>
      <c r="J56" s="58"/>
      <c r="K56" s="58"/>
      <c r="L56" s="58"/>
      <c r="M56" s="58"/>
      <c r="N56" s="128"/>
      <c r="O56" s="128"/>
    </row>
    <row r="57" ht="12.75" customHeight="1">
      <c r="C57" s="128"/>
      <c r="D57" s="58"/>
      <c r="E57" s="58"/>
      <c r="F57" s="58"/>
      <c r="G57" s="58"/>
      <c r="H57" s="58"/>
      <c r="I57" s="58"/>
      <c r="J57" s="58"/>
      <c r="K57" s="58"/>
      <c r="L57" s="58"/>
      <c r="M57" s="58"/>
      <c r="N57" s="128"/>
      <c r="O57" s="128"/>
    </row>
    <row r="58" ht="12.75" customHeight="1">
      <c r="C58" s="128"/>
      <c r="D58" s="58"/>
      <c r="E58" s="58"/>
      <c r="F58" s="58"/>
      <c r="G58" s="58"/>
      <c r="H58" s="58"/>
      <c r="I58" s="58"/>
      <c r="J58" s="58"/>
      <c r="K58" s="58"/>
      <c r="L58" s="58"/>
      <c r="M58" s="58"/>
      <c r="N58" s="128"/>
      <c r="O58" s="128"/>
    </row>
    <row r="59" ht="12.75" customHeight="1">
      <c r="C59" s="128"/>
      <c r="D59" s="58"/>
      <c r="E59" s="58"/>
      <c r="F59" s="58"/>
      <c r="G59" s="58"/>
      <c r="H59" s="58"/>
      <c r="I59" s="58"/>
      <c r="J59" s="58"/>
      <c r="K59" s="58"/>
      <c r="L59" s="58"/>
      <c r="M59" s="58"/>
      <c r="N59" s="128"/>
      <c r="O59" s="128"/>
    </row>
    <row r="60" ht="12.75" customHeight="1">
      <c r="C60" s="128"/>
      <c r="D60" s="58"/>
      <c r="E60" s="58"/>
      <c r="F60" s="58"/>
      <c r="G60" s="58"/>
      <c r="H60" s="58"/>
      <c r="I60" s="58"/>
      <c r="J60" s="58"/>
      <c r="K60" s="58"/>
      <c r="L60" s="58"/>
      <c r="M60" s="58"/>
      <c r="N60" s="128"/>
      <c r="O60" s="128"/>
    </row>
    <row r="61" ht="12.75" customHeight="1">
      <c r="C61" s="128"/>
      <c r="D61" s="58"/>
      <c r="E61" s="58"/>
      <c r="F61" s="58"/>
      <c r="G61" s="58"/>
      <c r="H61" s="58"/>
      <c r="I61" s="58"/>
      <c r="J61" s="58"/>
      <c r="K61" s="58"/>
      <c r="L61" s="58"/>
      <c r="M61" s="58"/>
      <c r="N61" s="128"/>
      <c r="O61" s="128"/>
    </row>
    <row r="62" ht="12.75" customHeight="1">
      <c r="C62" s="128"/>
      <c r="D62" s="58"/>
      <c r="E62" s="58"/>
      <c r="F62" s="58"/>
      <c r="G62" s="58"/>
      <c r="H62" s="58"/>
      <c r="I62" s="58"/>
      <c r="J62" s="58"/>
      <c r="K62" s="58"/>
      <c r="L62" s="58"/>
      <c r="M62" s="58"/>
      <c r="N62" s="128"/>
      <c r="O62" s="128"/>
    </row>
    <row r="63" ht="12.75" customHeight="1">
      <c r="C63" s="128"/>
      <c r="D63" s="58"/>
      <c r="E63" s="58"/>
      <c r="F63" s="58"/>
      <c r="G63" s="58"/>
      <c r="H63" s="58"/>
      <c r="I63" s="58"/>
      <c r="J63" s="58"/>
      <c r="K63" s="58"/>
      <c r="L63" s="58"/>
      <c r="M63" s="58"/>
      <c r="N63" s="128"/>
      <c r="O63" s="128"/>
    </row>
    <row r="64" ht="12.75" customHeight="1">
      <c r="C64" s="128"/>
      <c r="D64" s="58"/>
      <c r="E64" s="58"/>
      <c r="F64" s="58"/>
      <c r="G64" s="58"/>
      <c r="H64" s="58"/>
      <c r="I64" s="58"/>
      <c r="J64" s="58"/>
      <c r="K64" s="58"/>
      <c r="L64" s="58"/>
      <c r="M64" s="58"/>
      <c r="N64" s="128"/>
      <c r="O64" s="128"/>
    </row>
    <row r="65" ht="12.75" customHeight="1">
      <c r="C65" s="128"/>
      <c r="D65" s="58"/>
      <c r="E65" s="58"/>
      <c r="F65" s="58"/>
      <c r="G65" s="58"/>
      <c r="H65" s="58"/>
      <c r="I65" s="58"/>
      <c r="J65" s="58"/>
      <c r="K65" s="58"/>
      <c r="L65" s="58"/>
      <c r="M65" s="58"/>
      <c r="N65" s="128"/>
      <c r="O65" s="128"/>
    </row>
    <row r="66" ht="12.75" customHeight="1">
      <c r="C66" s="128"/>
      <c r="D66" s="58"/>
      <c r="E66" s="58"/>
      <c r="F66" s="58"/>
      <c r="G66" s="58"/>
      <c r="H66" s="58"/>
      <c r="I66" s="58"/>
      <c r="J66" s="58"/>
      <c r="K66" s="58"/>
      <c r="L66" s="58"/>
      <c r="M66" s="58"/>
      <c r="N66" s="128"/>
      <c r="O66" s="128"/>
    </row>
    <row r="67" ht="12.75" customHeight="1">
      <c r="C67" s="128"/>
      <c r="D67" s="58"/>
      <c r="E67" s="58"/>
      <c r="F67" s="58"/>
      <c r="G67" s="58"/>
      <c r="H67" s="58"/>
      <c r="I67" s="58"/>
      <c r="J67" s="58"/>
      <c r="K67" s="58"/>
      <c r="L67" s="58"/>
      <c r="M67" s="58"/>
      <c r="N67" s="128"/>
      <c r="O67" s="128"/>
    </row>
    <row r="68" ht="12.75" customHeight="1">
      <c r="C68" s="128"/>
      <c r="D68" s="58"/>
      <c r="E68" s="58"/>
      <c r="F68" s="58"/>
      <c r="G68" s="58"/>
      <c r="H68" s="58"/>
      <c r="I68" s="58"/>
      <c r="J68" s="58"/>
      <c r="K68" s="58"/>
      <c r="L68" s="58"/>
      <c r="M68" s="58"/>
      <c r="N68" s="128"/>
      <c r="O68" s="128"/>
    </row>
    <row r="69" ht="12.75" customHeight="1">
      <c r="C69" s="128"/>
      <c r="D69" s="58"/>
      <c r="E69" s="58"/>
      <c r="F69" s="58"/>
      <c r="G69" s="58"/>
      <c r="H69" s="58"/>
      <c r="I69" s="58"/>
      <c r="J69" s="58"/>
      <c r="K69" s="58"/>
      <c r="L69" s="58"/>
      <c r="M69" s="58"/>
      <c r="N69" s="128"/>
      <c r="O69" s="128"/>
    </row>
    <row r="70" ht="12.75" customHeight="1">
      <c r="C70" s="128"/>
      <c r="D70" s="58"/>
      <c r="E70" s="58"/>
      <c r="F70" s="58"/>
      <c r="G70" s="58"/>
      <c r="H70" s="58"/>
      <c r="I70" s="58"/>
      <c r="J70" s="58"/>
      <c r="K70" s="58"/>
      <c r="L70" s="58"/>
      <c r="M70" s="58"/>
      <c r="N70" s="128"/>
      <c r="O70" s="128"/>
    </row>
    <row r="71" ht="12.75" customHeight="1">
      <c r="C71" s="128"/>
      <c r="D71" s="58"/>
      <c r="E71" s="58"/>
      <c r="F71" s="58"/>
      <c r="G71" s="58"/>
      <c r="H71" s="58"/>
      <c r="I71" s="58"/>
      <c r="J71" s="58"/>
      <c r="K71" s="58"/>
      <c r="L71" s="58"/>
      <c r="M71" s="58"/>
      <c r="N71" s="128"/>
      <c r="O71" s="128"/>
    </row>
    <row r="72" ht="12.75" customHeight="1">
      <c r="C72" s="128"/>
      <c r="D72" s="58"/>
      <c r="E72" s="58"/>
      <c r="F72" s="58"/>
      <c r="G72" s="58"/>
      <c r="H72" s="58"/>
      <c r="I72" s="58"/>
      <c r="J72" s="58"/>
      <c r="K72" s="58"/>
      <c r="L72" s="58"/>
      <c r="M72" s="58"/>
      <c r="N72" s="128"/>
      <c r="O72" s="128"/>
    </row>
    <row r="73" ht="12.75" customHeight="1">
      <c r="C73" s="128"/>
      <c r="D73" s="58"/>
      <c r="E73" s="58"/>
      <c r="F73" s="58"/>
      <c r="G73" s="58"/>
      <c r="H73" s="58"/>
      <c r="I73" s="58"/>
      <c r="J73" s="58"/>
      <c r="K73" s="58"/>
      <c r="L73" s="58"/>
      <c r="M73" s="58"/>
      <c r="N73" s="128"/>
      <c r="O73" s="128"/>
    </row>
    <row r="74" ht="12.75" customHeight="1">
      <c r="C74" s="128"/>
      <c r="D74" s="58"/>
      <c r="E74" s="58"/>
      <c r="F74" s="58"/>
      <c r="G74" s="58"/>
      <c r="H74" s="58"/>
      <c r="I74" s="58"/>
      <c r="J74" s="58"/>
      <c r="K74" s="58"/>
      <c r="L74" s="58"/>
      <c r="M74" s="58"/>
      <c r="N74" s="128"/>
      <c r="O74" s="128"/>
    </row>
    <row r="75" ht="12.75" customHeight="1">
      <c r="C75" s="128"/>
      <c r="D75" s="58"/>
      <c r="E75" s="58"/>
      <c r="F75" s="58"/>
      <c r="G75" s="58"/>
      <c r="H75" s="58"/>
      <c r="I75" s="58"/>
      <c r="J75" s="58"/>
      <c r="K75" s="58"/>
      <c r="L75" s="58"/>
      <c r="M75" s="58"/>
      <c r="N75" s="128"/>
      <c r="O75" s="128"/>
    </row>
    <row r="76" ht="12.75" customHeight="1">
      <c r="C76" s="128"/>
      <c r="D76" s="58"/>
      <c r="E76" s="58"/>
      <c r="F76" s="58"/>
      <c r="G76" s="58"/>
      <c r="H76" s="58"/>
      <c r="I76" s="58"/>
      <c r="J76" s="58"/>
      <c r="K76" s="58"/>
      <c r="L76" s="58"/>
      <c r="M76" s="58"/>
      <c r="N76" s="128"/>
      <c r="O76" s="128"/>
    </row>
    <row r="77" ht="12.75" customHeight="1">
      <c r="C77" s="128"/>
      <c r="D77" s="58"/>
      <c r="E77" s="58"/>
      <c r="F77" s="58"/>
      <c r="G77" s="58"/>
      <c r="H77" s="58"/>
      <c r="I77" s="58"/>
      <c r="J77" s="58"/>
      <c r="K77" s="58"/>
      <c r="L77" s="58"/>
      <c r="M77" s="58"/>
      <c r="N77" s="128"/>
      <c r="O77" s="128"/>
    </row>
    <row r="78" ht="12.75" customHeight="1">
      <c r="C78" s="128"/>
      <c r="D78" s="58"/>
      <c r="E78" s="58"/>
      <c r="F78" s="58"/>
      <c r="G78" s="58"/>
      <c r="H78" s="58"/>
      <c r="I78" s="58"/>
      <c r="J78" s="58"/>
      <c r="K78" s="58"/>
      <c r="L78" s="58"/>
      <c r="M78" s="58"/>
      <c r="N78" s="128"/>
      <c r="O78" s="128"/>
    </row>
    <row r="79" ht="12.75" customHeight="1">
      <c r="C79" s="128"/>
      <c r="D79" s="58"/>
      <c r="E79" s="58"/>
      <c r="F79" s="58"/>
      <c r="G79" s="58"/>
      <c r="H79" s="58"/>
      <c r="I79" s="58"/>
      <c r="J79" s="58"/>
      <c r="K79" s="58"/>
      <c r="L79" s="58"/>
      <c r="M79" s="58"/>
      <c r="N79" s="128"/>
      <c r="O79" s="128"/>
    </row>
    <row r="80" ht="12.75" customHeight="1">
      <c r="C80" s="128"/>
      <c r="D80" s="58"/>
      <c r="E80" s="58"/>
      <c r="F80" s="58"/>
      <c r="G80" s="58"/>
      <c r="H80" s="58"/>
      <c r="I80" s="58"/>
      <c r="J80" s="58"/>
      <c r="K80" s="58"/>
      <c r="L80" s="58"/>
      <c r="M80" s="58"/>
      <c r="N80" s="128"/>
      <c r="O80" s="128"/>
    </row>
    <row r="81" ht="12.75" customHeight="1">
      <c r="C81" s="128"/>
      <c r="D81" s="58"/>
      <c r="E81" s="58"/>
      <c r="F81" s="58"/>
      <c r="G81" s="58"/>
      <c r="H81" s="58"/>
      <c r="I81" s="58"/>
      <c r="J81" s="58"/>
      <c r="K81" s="58"/>
      <c r="L81" s="58"/>
      <c r="M81" s="58"/>
      <c r="N81" s="128"/>
      <c r="O81" s="128"/>
    </row>
    <row r="82" ht="12.75" customHeight="1">
      <c r="C82" s="128"/>
      <c r="D82" s="58"/>
      <c r="E82" s="58"/>
      <c r="F82" s="58"/>
      <c r="G82" s="58"/>
      <c r="H82" s="58"/>
      <c r="I82" s="58"/>
      <c r="J82" s="58"/>
      <c r="K82" s="58"/>
      <c r="L82" s="58"/>
      <c r="M82" s="58"/>
      <c r="N82" s="128"/>
      <c r="O82" s="128"/>
    </row>
    <row r="83" ht="12.75" customHeight="1">
      <c r="C83" s="128"/>
      <c r="D83" s="58"/>
      <c r="E83" s="58"/>
      <c r="F83" s="58"/>
      <c r="G83" s="58"/>
      <c r="H83" s="58"/>
      <c r="I83" s="58"/>
      <c r="J83" s="58"/>
      <c r="K83" s="58"/>
      <c r="L83" s="58"/>
      <c r="M83" s="58"/>
      <c r="N83" s="128"/>
      <c r="O83" s="128"/>
    </row>
    <row r="84" ht="12.75" customHeight="1">
      <c r="C84" s="128"/>
      <c r="D84" s="58"/>
      <c r="E84" s="58"/>
      <c r="F84" s="58"/>
      <c r="G84" s="58"/>
      <c r="H84" s="58"/>
      <c r="I84" s="58"/>
      <c r="J84" s="58"/>
      <c r="K84" s="58"/>
      <c r="L84" s="58"/>
      <c r="M84" s="58"/>
      <c r="N84" s="128"/>
      <c r="O84" s="128"/>
    </row>
    <row r="85" ht="12.75" customHeight="1">
      <c r="C85" s="128"/>
      <c r="D85" s="58"/>
      <c r="E85" s="58"/>
      <c r="F85" s="58"/>
      <c r="G85" s="58"/>
      <c r="H85" s="58"/>
      <c r="I85" s="58"/>
      <c r="J85" s="58"/>
      <c r="K85" s="58"/>
      <c r="L85" s="58"/>
      <c r="M85" s="58"/>
      <c r="N85" s="128"/>
      <c r="O85" s="128"/>
    </row>
    <row r="86" ht="12.75" customHeight="1">
      <c r="C86" s="128"/>
      <c r="D86" s="58"/>
      <c r="E86" s="58"/>
      <c r="F86" s="58"/>
      <c r="G86" s="58"/>
      <c r="H86" s="58"/>
      <c r="I86" s="58"/>
      <c r="J86" s="58"/>
      <c r="K86" s="58"/>
      <c r="L86" s="58"/>
      <c r="M86" s="58"/>
      <c r="N86" s="128"/>
      <c r="O86" s="128"/>
    </row>
    <row r="87" ht="12.75" customHeight="1">
      <c r="C87" s="128"/>
      <c r="D87" s="58"/>
      <c r="E87" s="58"/>
      <c r="F87" s="58"/>
      <c r="G87" s="58"/>
      <c r="H87" s="58"/>
      <c r="I87" s="58"/>
      <c r="J87" s="58"/>
      <c r="K87" s="58"/>
      <c r="L87" s="58"/>
      <c r="M87" s="58"/>
      <c r="N87" s="128"/>
      <c r="O87" s="128"/>
    </row>
    <row r="88" ht="12.75" customHeight="1">
      <c r="D88" s="58"/>
      <c r="E88" s="58"/>
      <c r="F88" s="58"/>
      <c r="G88" s="58"/>
      <c r="H88" s="58"/>
      <c r="I88" s="58"/>
      <c r="J88" s="58"/>
      <c r="K88" s="58"/>
      <c r="L88" s="58"/>
      <c r="M88" s="58"/>
      <c r="N88" s="128"/>
      <c r="O88" s="128"/>
    </row>
    <row r="89" ht="12.75" customHeight="1">
      <c r="D89" s="58"/>
      <c r="E89" s="58"/>
      <c r="F89" s="58"/>
      <c r="G89" s="58"/>
      <c r="H89" s="58"/>
      <c r="I89" s="58"/>
      <c r="J89" s="58"/>
      <c r="K89" s="58"/>
      <c r="L89" s="58"/>
      <c r="M89" s="58"/>
      <c r="N89" s="128"/>
      <c r="O89" s="128"/>
    </row>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5"/>
    <col customWidth="1" min="4" max="4" width="11.5"/>
    <col customWidth="1" min="5" max="5" width="8.63"/>
    <col customWidth="1" min="6" max="8" width="9.13"/>
    <col customWidth="1" min="9" max="10" width="10.5"/>
    <col customWidth="1" min="11" max="11" width="9.88"/>
    <col customWidth="1" min="12" max="12" width="9.63"/>
    <col customWidth="1" min="13" max="14" width="9.13"/>
    <col customWidth="1" min="15" max="26" width="8.0"/>
  </cols>
  <sheetData>
    <row r="1" ht="11.25" customHeight="1">
      <c r="A1" s="4"/>
      <c r="B1" s="4"/>
      <c r="C1" s="4"/>
      <c r="D1" s="4"/>
      <c r="E1" s="4"/>
      <c r="F1" s="4"/>
      <c r="G1" s="4"/>
      <c r="H1" s="4"/>
      <c r="I1" s="4"/>
      <c r="J1" s="4"/>
      <c r="K1" s="4"/>
      <c r="L1" s="4"/>
      <c r="M1" s="4"/>
      <c r="N1" s="4"/>
      <c r="O1" s="4"/>
      <c r="P1" s="4"/>
      <c r="Q1" s="4"/>
      <c r="R1" s="4"/>
      <c r="S1" s="4"/>
      <c r="T1" s="4"/>
      <c r="U1" s="4"/>
      <c r="V1" s="4"/>
      <c r="W1" s="4"/>
      <c r="X1" s="4"/>
      <c r="Y1" s="4"/>
      <c r="Z1" s="4"/>
    </row>
    <row r="2" ht="15.0" customHeight="1">
      <c r="A2" s="115" t="s">
        <v>259</v>
      </c>
      <c r="B2" s="4"/>
      <c r="C2" s="4"/>
      <c r="D2" s="4"/>
      <c r="E2" s="4"/>
      <c r="F2" s="4"/>
      <c r="G2" s="4"/>
      <c r="H2" s="4"/>
      <c r="I2" s="4"/>
      <c r="J2" s="4"/>
      <c r="K2" s="4"/>
      <c r="L2" s="4"/>
      <c r="M2" s="4"/>
      <c r="N2" s="4"/>
      <c r="O2" s="4"/>
      <c r="P2" s="4"/>
      <c r="Q2" s="4"/>
      <c r="R2" s="4"/>
      <c r="S2" s="4"/>
      <c r="T2" s="4"/>
      <c r="U2" s="4"/>
      <c r="V2" s="4"/>
      <c r="W2" s="4"/>
      <c r="X2" s="4"/>
      <c r="Y2" s="4"/>
      <c r="Z2" s="4"/>
    </row>
    <row r="3" ht="11.25" customHeight="1">
      <c r="A3" s="4"/>
      <c r="B3" s="4"/>
      <c r="C3" s="4"/>
      <c r="D3" s="4"/>
      <c r="E3" s="4"/>
      <c r="F3" s="4"/>
      <c r="G3" s="4"/>
      <c r="H3" s="4"/>
      <c r="I3" s="4"/>
      <c r="J3" s="4"/>
      <c r="K3" s="4"/>
      <c r="L3" s="4"/>
      <c r="M3" s="4"/>
      <c r="N3" s="4"/>
      <c r="O3" s="4"/>
      <c r="P3" s="4"/>
      <c r="Q3" s="4"/>
      <c r="R3" s="4"/>
      <c r="S3" s="4"/>
      <c r="T3" s="4"/>
      <c r="U3" s="4"/>
      <c r="V3" s="4"/>
      <c r="W3" s="4"/>
      <c r="X3" s="4"/>
      <c r="Y3" s="4"/>
      <c r="Z3" s="4"/>
    </row>
    <row r="4" ht="11.25" customHeight="1">
      <c r="A4" s="4"/>
      <c r="B4" s="4"/>
      <c r="C4" s="4"/>
      <c r="D4" s="4"/>
      <c r="E4" s="4"/>
      <c r="F4" s="4"/>
      <c r="G4" s="4"/>
      <c r="H4" s="4"/>
      <c r="I4" s="4"/>
      <c r="J4" s="4"/>
      <c r="K4" s="4"/>
      <c r="L4" s="4"/>
      <c r="M4" s="4"/>
      <c r="N4" s="4"/>
      <c r="O4" s="4"/>
      <c r="P4" s="4"/>
      <c r="Q4" s="4"/>
      <c r="R4" s="4"/>
      <c r="S4" s="4"/>
      <c r="T4" s="4"/>
      <c r="U4" s="4"/>
      <c r="V4" s="4"/>
      <c r="W4" s="4"/>
      <c r="X4" s="4"/>
      <c r="Y4" s="4"/>
      <c r="Z4" s="4"/>
    </row>
    <row r="5" ht="12.0" customHeight="1">
      <c r="A5" s="26" t="s">
        <v>260</v>
      </c>
      <c r="B5" s="192"/>
      <c r="C5" s="192"/>
      <c r="D5" s="18"/>
      <c r="E5" s="193">
        <v>0.05</v>
      </c>
      <c r="F5" s="4"/>
      <c r="G5" s="4"/>
      <c r="H5" s="163" t="s">
        <v>261</v>
      </c>
      <c r="I5" s="164"/>
      <c r="J5" s="165"/>
      <c r="K5" s="4"/>
      <c r="L5" s="194" t="s">
        <v>262</v>
      </c>
      <c r="M5" s="4"/>
      <c r="N5" s="58"/>
      <c r="O5" s="4"/>
      <c r="P5" s="4"/>
      <c r="Q5" s="4"/>
      <c r="R5" s="4"/>
      <c r="S5" s="4"/>
      <c r="T5" s="4"/>
      <c r="U5" s="4"/>
      <c r="V5" s="4"/>
      <c r="W5" s="4"/>
      <c r="X5" s="4"/>
      <c r="Y5" s="4"/>
      <c r="Z5" s="4"/>
    </row>
    <row r="6" ht="12.0" customHeight="1">
      <c r="A6" s="26" t="s">
        <v>263</v>
      </c>
      <c r="B6" s="192"/>
      <c r="C6" s="192"/>
      <c r="D6" s="18"/>
      <c r="E6" s="193">
        <v>0.045</v>
      </c>
      <c r="F6" s="4"/>
      <c r="G6" s="4"/>
      <c r="H6" s="167" t="s">
        <v>264</v>
      </c>
      <c r="I6" s="164"/>
      <c r="J6" s="165"/>
      <c r="K6" s="4"/>
      <c r="L6" s="195" t="s">
        <v>261</v>
      </c>
      <c r="M6" s="4"/>
      <c r="N6" s="4"/>
      <c r="O6" s="4"/>
      <c r="P6" s="4"/>
      <c r="Q6" s="4"/>
      <c r="R6" s="4"/>
      <c r="S6" s="4"/>
      <c r="T6" s="4"/>
      <c r="U6" s="4"/>
      <c r="V6" s="4"/>
      <c r="W6" s="4"/>
      <c r="X6" s="4"/>
      <c r="Y6" s="4"/>
      <c r="Z6" s="4"/>
    </row>
    <row r="7" ht="12.0" customHeight="1">
      <c r="A7" s="26" t="s">
        <v>265</v>
      </c>
      <c r="B7" s="192"/>
      <c r="C7" s="192"/>
      <c r="D7" s="18"/>
      <c r="E7" s="196">
        <v>1.2</v>
      </c>
      <c r="F7" s="4"/>
      <c r="G7" s="4"/>
      <c r="H7" s="197">
        <v>1.0</v>
      </c>
      <c r="I7" s="198" t="str">
        <f>IF(H7=0,"Manual","Computed")</f>
        <v>Computed</v>
      </c>
      <c r="J7" s="165"/>
      <c r="K7" s="4"/>
      <c r="L7" s="199">
        <v>0.085</v>
      </c>
      <c r="M7" s="4"/>
      <c r="N7" s="4"/>
      <c r="O7" s="4"/>
      <c r="P7" s="4"/>
      <c r="Q7" s="4"/>
      <c r="R7" s="4"/>
      <c r="S7" s="4"/>
      <c r="T7" s="4"/>
      <c r="U7" s="4"/>
      <c r="V7" s="4"/>
      <c r="W7" s="4"/>
      <c r="X7" s="4"/>
      <c r="Y7" s="4"/>
      <c r="Z7" s="4"/>
    </row>
    <row r="8" ht="11.25" customHeight="1">
      <c r="A8" s="4"/>
      <c r="B8" s="4"/>
      <c r="C8" s="4"/>
      <c r="D8" s="4"/>
      <c r="E8" s="4"/>
      <c r="F8" s="4"/>
      <c r="G8" s="4"/>
      <c r="H8" s="4"/>
      <c r="I8" s="4"/>
      <c r="J8" s="4"/>
      <c r="K8" s="4"/>
      <c r="L8" s="4"/>
      <c r="M8" s="4"/>
      <c r="N8" s="4"/>
      <c r="O8" s="4"/>
      <c r="P8" s="4"/>
      <c r="Q8" s="4"/>
      <c r="R8" s="4"/>
      <c r="S8" s="4"/>
      <c r="T8" s="4"/>
      <c r="U8" s="4"/>
      <c r="V8" s="4"/>
      <c r="W8" s="4"/>
      <c r="X8" s="4"/>
      <c r="Y8" s="4"/>
      <c r="Z8" s="4"/>
    </row>
    <row r="9" ht="11.25" customHeight="1">
      <c r="A9" s="4"/>
      <c r="B9" s="4"/>
      <c r="C9" s="4"/>
      <c r="D9" s="4"/>
      <c r="E9" s="4"/>
      <c r="F9" s="4"/>
      <c r="G9" s="4"/>
      <c r="H9" s="4"/>
      <c r="I9" s="4"/>
      <c r="J9" s="4"/>
      <c r="K9" s="4"/>
      <c r="L9" s="4"/>
      <c r="M9" s="4"/>
      <c r="N9" s="4"/>
      <c r="O9" s="4"/>
      <c r="P9" s="4"/>
      <c r="Q9" s="4"/>
      <c r="R9" s="4"/>
      <c r="S9" s="4"/>
      <c r="T9" s="4"/>
      <c r="U9" s="4"/>
      <c r="V9" s="4"/>
      <c r="W9" s="4"/>
      <c r="X9" s="4"/>
      <c r="Y9" s="4"/>
      <c r="Z9" s="4"/>
    </row>
    <row r="10" ht="12.0" customHeight="1">
      <c r="A10" s="200" t="s">
        <v>266</v>
      </c>
      <c r="B10" s="201"/>
      <c r="C10" s="202"/>
      <c r="D10" s="53" t="s">
        <v>267</v>
      </c>
      <c r="E10" s="53" t="s">
        <v>268</v>
      </c>
      <c r="F10" s="53" t="s">
        <v>269</v>
      </c>
      <c r="G10" s="4"/>
      <c r="H10" s="163" t="s">
        <v>270</v>
      </c>
      <c r="I10" s="164"/>
      <c r="J10" s="164"/>
      <c r="K10" s="164"/>
      <c r="L10" s="165"/>
      <c r="M10" s="4"/>
      <c r="N10" s="4"/>
      <c r="O10" s="4"/>
      <c r="P10" s="4"/>
      <c r="Q10" s="4"/>
      <c r="R10" s="4"/>
      <c r="S10" s="4"/>
      <c r="T10" s="4"/>
      <c r="U10" s="4"/>
      <c r="V10" s="4"/>
      <c r="W10" s="4"/>
      <c r="X10" s="4"/>
      <c r="Y10" s="4"/>
      <c r="Z10" s="4"/>
    </row>
    <row r="11" ht="12.0" customHeight="1">
      <c r="A11" s="203" t="str">
        <f>Bal_Sheet!A46</f>
        <v>Existing Debt</v>
      </c>
      <c r="B11" s="204"/>
      <c r="C11" s="204"/>
      <c r="D11" s="205">
        <f>Bal_Sheet!E46</f>
        <v>65000</v>
      </c>
      <c r="E11" s="206">
        <f>assumed_debt_cou_rate</f>
        <v>0.0425</v>
      </c>
      <c r="F11" s="206">
        <f t="shared" ref="F11:F18" si="1">IF($D$20=0,0,E11*(D11/$D$20))</f>
        <v>0.004597366396</v>
      </c>
      <c r="G11" s="4"/>
      <c r="H11" s="35"/>
      <c r="I11" s="207"/>
      <c r="J11" s="208" t="s">
        <v>271</v>
      </c>
      <c r="K11" s="208" t="s">
        <v>272</v>
      </c>
      <c r="L11" s="208" t="s">
        <v>273</v>
      </c>
      <c r="M11" s="4"/>
      <c r="N11" s="4"/>
      <c r="O11" s="4"/>
      <c r="P11" s="4"/>
      <c r="Q11" s="4"/>
      <c r="R11" s="4"/>
      <c r="S11" s="4"/>
      <c r="T11" s="4"/>
      <c r="U11" s="4"/>
      <c r="V11" s="4"/>
      <c r="W11" s="4"/>
      <c r="X11" s="4"/>
      <c r="Y11" s="4"/>
      <c r="Z11" s="4"/>
    </row>
    <row r="12" ht="11.25" customHeight="1">
      <c r="A12" s="203" t="str">
        <f>Bal_Sheet!A47</f>
        <v>Bank Revolver</v>
      </c>
      <c r="B12" s="204"/>
      <c r="C12" s="204"/>
      <c r="D12" s="205">
        <f>Bal_Sheet!E47</f>
        <v>200887.5</v>
      </c>
      <c r="E12" s="206">
        <f>bank_revolver_cou_rate</f>
        <v>0.0475</v>
      </c>
      <c r="F12" s="206">
        <f t="shared" si="1"/>
        <v>0.01588010443</v>
      </c>
      <c r="G12" s="4"/>
      <c r="H12" s="42" t="s">
        <v>274</v>
      </c>
      <c r="I12" s="43"/>
      <c r="J12" s="209">
        <f>IF($D$20+$D$25+$D$28=0,0,D20/($D$20+$D$25+$D$28))</f>
        <v>0.6369466418</v>
      </c>
      <c r="K12" s="209">
        <f>F21</f>
        <v>0.03095613</v>
      </c>
      <c r="L12" s="209">
        <f t="shared" ref="L12:L14" si="2">J12*K12</f>
        <v>0.01971740304</v>
      </c>
      <c r="M12" s="4"/>
      <c r="N12" s="4"/>
      <c r="O12" s="4"/>
      <c r="P12" s="4"/>
      <c r="Q12" s="4"/>
      <c r="R12" s="4"/>
      <c r="S12" s="4"/>
      <c r="T12" s="4"/>
      <c r="U12" s="4"/>
      <c r="V12" s="4"/>
      <c r="W12" s="4"/>
      <c r="X12" s="4"/>
      <c r="Y12" s="4"/>
      <c r="Z12" s="4"/>
    </row>
    <row r="13" ht="11.25" customHeight="1">
      <c r="A13" s="210" t="str">
        <f>Bal_Sheet!A48</f>
        <v>Term Loan "A"</v>
      </c>
      <c r="B13" s="211"/>
      <c r="C13" s="211"/>
      <c r="D13" s="205">
        <f>Bal_Sheet!E48</f>
        <v>80000</v>
      </c>
      <c r="E13" s="206">
        <f>termloanA_cou_rate</f>
        <v>0.055</v>
      </c>
      <c r="F13" s="206">
        <f t="shared" si="1"/>
        <v>0.007322502132</v>
      </c>
      <c r="G13" s="4"/>
      <c r="H13" s="42" t="s">
        <v>275</v>
      </c>
      <c r="I13" s="43"/>
      <c r="J13" s="209">
        <f>IF($D$20+$D$25+$D$28=0,0,D25/($D$20+$D$25+$D$28))</f>
        <v>0.06360058831</v>
      </c>
      <c r="K13" s="209">
        <f>E25</f>
        <v>0.07</v>
      </c>
      <c r="L13" s="209">
        <f t="shared" si="2"/>
        <v>0.004452041181</v>
      </c>
      <c r="M13" s="4"/>
      <c r="N13" s="4"/>
      <c r="O13" s="4"/>
      <c r="P13" s="4"/>
      <c r="Q13" s="4"/>
      <c r="R13" s="4"/>
      <c r="S13" s="4"/>
      <c r="T13" s="4"/>
      <c r="U13" s="4"/>
      <c r="V13" s="4"/>
      <c r="W13" s="4"/>
      <c r="X13" s="4"/>
      <c r="Y13" s="4"/>
      <c r="Z13" s="4"/>
    </row>
    <row r="14" ht="11.25" customHeight="1">
      <c r="A14" s="210" t="str">
        <f>Bal_Sheet!A49</f>
        <v>Term Loan "B"</v>
      </c>
      <c r="B14" s="211"/>
      <c r="C14" s="211"/>
      <c r="D14" s="205">
        <f>Bal_Sheet!E49</f>
        <v>55000</v>
      </c>
      <c r="E14" s="206">
        <f>termloanB_cou_rate</f>
        <v>0.0525</v>
      </c>
      <c r="F14" s="206">
        <f t="shared" si="1"/>
        <v>0.004805392024</v>
      </c>
      <c r="G14" s="4"/>
      <c r="H14" s="42" t="s">
        <v>276</v>
      </c>
      <c r="I14" s="43"/>
      <c r="J14" s="209">
        <f>IF($D$20+$D$25+$D$28=0,0,D28/($D$20+$D$25+$D$28))</f>
        <v>0.2994527699</v>
      </c>
      <c r="K14" s="209">
        <f>E28</f>
        <v>0.1602646314</v>
      </c>
      <c r="L14" s="209">
        <f t="shared" si="2"/>
        <v>0.04799168779</v>
      </c>
      <c r="M14" s="4"/>
      <c r="N14" s="4"/>
      <c r="O14" s="4"/>
      <c r="P14" s="4"/>
      <c r="Q14" s="4"/>
      <c r="R14" s="4"/>
      <c r="S14" s="4"/>
      <c r="T14" s="4"/>
      <c r="U14" s="4"/>
      <c r="V14" s="4"/>
      <c r="W14" s="4"/>
      <c r="X14" s="4"/>
      <c r="Y14" s="4"/>
      <c r="Z14" s="4"/>
    </row>
    <row r="15" ht="11.25" customHeight="1">
      <c r="A15" s="210" t="str">
        <f>Bal_Sheet!A50</f>
        <v>Senior Notes</v>
      </c>
      <c r="B15" s="211"/>
      <c r="C15" s="211"/>
      <c r="D15" s="205">
        <f>Bal_Sheet!E50</f>
        <v>65000</v>
      </c>
      <c r="E15" s="206">
        <f>senior_notes_cou_rate</f>
        <v>0.0425</v>
      </c>
      <c r="F15" s="206">
        <f t="shared" si="1"/>
        <v>0.004597366396</v>
      </c>
      <c r="G15" s="4"/>
      <c r="H15" s="212"/>
      <c r="I15" s="6"/>
      <c r="J15" s="71"/>
      <c r="K15" s="71"/>
      <c r="L15" s="213"/>
      <c r="M15" s="4"/>
      <c r="N15" s="4"/>
      <c r="O15" s="4"/>
      <c r="P15" s="4"/>
      <c r="Q15" s="4"/>
      <c r="R15" s="4"/>
      <c r="S15" s="4"/>
      <c r="T15" s="4"/>
      <c r="U15" s="4"/>
      <c r="V15" s="4"/>
      <c r="W15" s="4"/>
      <c r="X15" s="4"/>
      <c r="Y15" s="4"/>
      <c r="Z15" s="4"/>
    </row>
    <row r="16" ht="12.0" customHeight="1">
      <c r="A16" s="210" t="str">
        <f>Bal_Sheet!A51</f>
        <v>Subordinated Notes</v>
      </c>
      <c r="B16" s="211"/>
      <c r="C16" s="211"/>
      <c r="D16" s="205">
        <f>Bal_Sheet!E51</f>
        <v>40000</v>
      </c>
      <c r="E16" s="206">
        <f>sub_notes_cou_rate</f>
        <v>0.045</v>
      </c>
      <c r="F16" s="206">
        <f t="shared" si="1"/>
        <v>0.002995569054</v>
      </c>
      <c r="G16" s="4"/>
      <c r="H16" s="214" t="s">
        <v>261</v>
      </c>
      <c r="I16" s="211"/>
      <c r="J16" s="215"/>
      <c r="K16" s="216"/>
      <c r="L16" s="217">
        <f>SUM(L12:L14)</f>
        <v>0.07216113201</v>
      </c>
      <c r="M16" s="4"/>
      <c r="N16" s="4"/>
      <c r="O16" s="4"/>
      <c r="P16" s="4"/>
      <c r="Q16" s="4"/>
      <c r="R16" s="4"/>
      <c r="S16" s="4"/>
      <c r="T16" s="4"/>
      <c r="U16" s="4"/>
      <c r="V16" s="4"/>
      <c r="W16" s="4"/>
      <c r="X16" s="4"/>
      <c r="Y16" s="4"/>
      <c r="Z16" s="4"/>
    </row>
    <row r="17" ht="11.25" customHeight="1">
      <c r="A17" s="210" t="str">
        <f>Bal_Sheet!A52</f>
        <v>Mezzanine Debt</v>
      </c>
      <c r="B17" s="211"/>
      <c r="C17" s="211"/>
      <c r="D17" s="205">
        <f>Bal_Sheet!E52</f>
        <v>70000</v>
      </c>
      <c r="E17" s="206">
        <f>mezzdebt_cou_rate</f>
        <v>0.045</v>
      </c>
      <c r="F17" s="206">
        <f t="shared" si="1"/>
        <v>0.005242245845</v>
      </c>
      <c r="G17" s="4"/>
      <c r="H17" s="4"/>
      <c r="I17" s="4"/>
      <c r="J17" s="4"/>
      <c r="K17" s="4"/>
      <c r="L17" s="4"/>
      <c r="M17" s="4"/>
      <c r="N17" s="4"/>
      <c r="O17" s="4"/>
      <c r="P17" s="4"/>
      <c r="Q17" s="4"/>
      <c r="R17" s="4"/>
      <c r="S17" s="4"/>
      <c r="T17" s="4"/>
      <c r="U17" s="4"/>
      <c r="V17" s="4"/>
      <c r="W17" s="4"/>
      <c r="X17" s="4"/>
      <c r="Y17" s="4"/>
      <c r="Z17" s="4"/>
    </row>
    <row r="18" ht="12.0" customHeight="1">
      <c r="A18" s="210" t="str">
        <f>Bal_Sheet!A53</f>
        <v>Seller Notes</v>
      </c>
      <c r="B18" s="211"/>
      <c r="C18" s="211"/>
      <c r="D18" s="218">
        <f>Bal_Sheet!E53</f>
        <v>25000</v>
      </c>
      <c r="E18" s="219">
        <f>seller_notes_cou_rate</f>
        <v>0.0525</v>
      </c>
      <c r="F18" s="219">
        <f t="shared" si="1"/>
        <v>0.002184269102</v>
      </c>
      <c r="G18" s="4"/>
      <c r="H18" s="4"/>
      <c r="I18" s="4"/>
      <c r="J18" s="220"/>
      <c r="K18" s="220"/>
      <c r="L18" s="221"/>
      <c r="M18" s="4"/>
      <c r="N18" s="4"/>
      <c r="O18" s="4"/>
      <c r="P18" s="4"/>
      <c r="Q18" s="4"/>
      <c r="R18" s="4"/>
      <c r="S18" s="4"/>
      <c r="T18" s="4"/>
      <c r="U18" s="4"/>
      <c r="V18" s="4"/>
      <c r="W18" s="4"/>
      <c r="X18" s="4"/>
      <c r="Y18" s="4"/>
      <c r="Z18" s="4"/>
    </row>
    <row r="19" ht="11.25" customHeight="1">
      <c r="A19" s="212"/>
      <c r="B19" s="6"/>
      <c r="C19" s="6"/>
      <c r="D19" s="26"/>
      <c r="E19" s="192"/>
      <c r="F19" s="18"/>
      <c r="G19" s="4"/>
      <c r="H19" s="4"/>
      <c r="I19" s="4"/>
      <c r="J19" s="4"/>
      <c r="K19" s="4"/>
      <c r="L19" s="221"/>
      <c r="M19" s="4"/>
      <c r="N19" s="4"/>
      <c r="O19" s="4"/>
      <c r="P19" s="4"/>
      <c r="Q19" s="4"/>
      <c r="R19" s="4"/>
      <c r="S19" s="4"/>
      <c r="T19" s="4"/>
      <c r="U19" s="4"/>
      <c r="V19" s="4"/>
      <c r="W19" s="4"/>
      <c r="X19" s="4"/>
      <c r="Y19" s="4"/>
      <c r="Z19" s="4"/>
    </row>
    <row r="20" ht="12.0" customHeight="1">
      <c r="A20" s="214" t="s">
        <v>277</v>
      </c>
      <c r="B20" s="211"/>
      <c r="C20" s="43"/>
      <c r="D20" s="222">
        <f>SUM(D11:D19)</f>
        <v>600887.5</v>
      </c>
      <c r="E20" s="223"/>
      <c r="F20" s="223">
        <f>SUM(F11:F19)</f>
        <v>0.04762481538</v>
      </c>
      <c r="G20" s="4"/>
      <c r="H20" s="4"/>
      <c r="I20" s="4"/>
      <c r="J20" s="4"/>
      <c r="K20" s="4"/>
      <c r="L20" s="221"/>
      <c r="M20" s="4"/>
      <c r="N20" s="4"/>
      <c r="O20" s="4"/>
      <c r="P20" s="4"/>
      <c r="Q20" s="4"/>
      <c r="R20" s="4"/>
      <c r="S20" s="4"/>
      <c r="T20" s="4"/>
      <c r="U20" s="4"/>
      <c r="V20" s="4"/>
      <c r="W20" s="4"/>
      <c r="X20" s="4"/>
      <c r="Y20" s="4"/>
      <c r="Z20" s="4"/>
    </row>
    <row r="21" ht="12.0" customHeight="1">
      <c r="A21" s="212"/>
      <c r="B21" s="6"/>
      <c r="C21" s="6"/>
      <c r="D21" s="28"/>
      <c r="E21" s="224" t="s">
        <v>278</v>
      </c>
      <c r="F21" s="225">
        <f>F20*(1-tax_rate)</f>
        <v>0.03095613</v>
      </c>
      <c r="G21" s="4"/>
      <c r="H21" s="4"/>
      <c r="I21" s="4"/>
      <c r="J21" s="4"/>
      <c r="K21" s="4"/>
      <c r="L21" s="221"/>
      <c r="M21" s="4"/>
      <c r="N21" s="4"/>
      <c r="O21" s="4"/>
      <c r="P21" s="4"/>
      <c r="Q21" s="4"/>
      <c r="R21" s="4"/>
      <c r="S21" s="4"/>
      <c r="T21" s="4"/>
      <c r="U21" s="4"/>
      <c r="V21" s="4"/>
      <c r="W21" s="4"/>
      <c r="X21" s="4"/>
      <c r="Y21" s="4"/>
      <c r="Z21" s="4"/>
    </row>
    <row r="22" ht="11.25" customHeight="1">
      <c r="A22" s="212"/>
      <c r="B22" s="6"/>
      <c r="C22" s="6"/>
      <c r="D22" s="28"/>
      <c r="E22" s="71"/>
      <c r="F22" s="213"/>
      <c r="G22" s="4"/>
      <c r="H22" s="4"/>
      <c r="I22" s="4"/>
      <c r="J22" s="4"/>
      <c r="K22" s="4"/>
      <c r="L22" s="221"/>
      <c r="M22" s="4"/>
      <c r="N22" s="4"/>
      <c r="O22" s="4"/>
      <c r="P22" s="4"/>
      <c r="Q22" s="4"/>
      <c r="R22" s="4"/>
      <c r="S22" s="4"/>
      <c r="T22" s="4"/>
      <c r="U22" s="4"/>
      <c r="V22" s="4"/>
      <c r="W22" s="4"/>
      <c r="X22" s="4"/>
      <c r="Y22" s="4"/>
      <c r="Z22" s="4"/>
    </row>
    <row r="23" ht="11.25" customHeight="1">
      <c r="A23" s="212"/>
      <c r="B23" s="6"/>
      <c r="C23" s="6"/>
      <c r="D23" s="28"/>
      <c r="E23" s="71"/>
      <c r="F23" s="213"/>
      <c r="G23" s="4"/>
      <c r="H23" s="4"/>
      <c r="I23" s="4"/>
      <c r="J23" s="4"/>
      <c r="K23" s="4"/>
      <c r="L23" s="221"/>
      <c r="M23" s="4"/>
      <c r="N23" s="4"/>
      <c r="O23" s="4"/>
      <c r="P23" s="4"/>
      <c r="Q23" s="4"/>
      <c r="R23" s="4"/>
      <c r="S23" s="4"/>
      <c r="T23" s="4"/>
      <c r="U23" s="4"/>
      <c r="V23" s="4"/>
      <c r="W23" s="4"/>
      <c r="X23" s="4"/>
      <c r="Y23" s="4"/>
      <c r="Z23" s="4"/>
    </row>
    <row r="24" ht="12.0" customHeight="1">
      <c r="A24" s="226" t="s">
        <v>279</v>
      </c>
      <c r="B24" s="227"/>
      <c r="C24" s="227"/>
      <c r="D24" s="228"/>
      <c r="E24" s="71"/>
      <c r="F24" s="229"/>
      <c r="G24" s="4"/>
      <c r="H24" s="4"/>
      <c r="I24" s="4"/>
      <c r="J24" s="4"/>
      <c r="K24" s="4"/>
      <c r="L24" s="221"/>
      <c r="M24" s="4"/>
      <c r="N24" s="4"/>
      <c r="O24" s="4"/>
      <c r="P24" s="4"/>
      <c r="Q24" s="4"/>
      <c r="R24" s="4"/>
      <c r="S24" s="4"/>
      <c r="T24" s="4"/>
      <c r="U24" s="4"/>
      <c r="V24" s="4"/>
      <c r="W24" s="4"/>
      <c r="X24" s="4"/>
      <c r="Y24" s="4"/>
      <c r="Z24" s="4"/>
    </row>
    <row r="25" ht="12.0" customHeight="1">
      <c r="A25" s="210" t="str">
        <f>Bal_Sheet!A61</f>
        <v>Preferred Stock</v>
      </c>
      <c r="B25" s="211"/>
      <c r="C25" s="43"/>
      <c r="D25" s="205">
        <f>Bal_Sheet!E61</f>
        <v>60000</v>
      </c>
      <c r="E25" s="225">
        <f>pref_stock_div</f>
        <v>0.07</v>
      </c>
      <c r="F25" s="229"/>
      <c r="G25" s="4"/>
      <c r="H25" s="4"/>
      <c r="I25" s="4"/>
      <c r="J25" s="4"/>
      <c r="K25" s="4"/>
      <c r="L25" s="221"/>
      <c r="M25" s="4"/>
      <c r="N25" s="4"/>
      <c r="O25" s="4"/>
      <c r="P25" s="4"/>
      <c r="Q25" s="4"/>
      <c r="R25" s="4"/>
      <c r="S25" s="4"/>
      <c r="T25" s="4"/>
      <c r="U25" s="4"/>
      <c r="V25" s="4"/>
      <c r="W25" s="4"/>
      <c r="X25" s="4"/>
      <c r="Y25" s="4"/>
      <c r="Z25" s="4"/>
    </row>
    <row r="26" ht="11.25" customHeight="1">
      <c r="A26" s="212"/>
      <c r="B26" s="6"/>
      <c r="C26" s="6"/>
      <c r="D26" s="28"/>
      <c r="E26" s="71"/>
      <c r="F26" s="229"/>
      <c r="G26" s="4"/>
      <c r="H26" s="4"/>
      <c r="I26" s="4"/>
      <c r="J26" s="4"/>
      <c r="K26" s="4"/>
      <c r="L26" s="221"/>
      <c r="M26" s="4"/>
      <c r="N26" s="4"/>
      <c r="O26" s="4"/>
      <c r="P26" s="4"/>
      <c r="Q26" s="4"/>
      <c r="R26" s="4"/>
      <c r="S26" s="4"/>
      <c r="T26" s="4"/>
      <c r="U26" s="4"/>
      <c r="V26" s="4"/>
      <c r="W26" s="4"/>
      <c r="X26" s="4"/>
      <c r="Y26" s="4"/>
      <c r="Z26" s="4"/>
    </row>
    <row r="27" ht="12.0" customHeight="1">
      <c r="A27" s="226" t="s">
        <v>280</v>
      </c>
      <c r="B27" s="227"/>
      <c r="C27" s="21"/>
      <c r="D27" s="28"/>
      <c r="E27" s="6"/>
      <c r="F27" s="229"/>
      <c r="G27" s="4"/>
      <c r="H27" s="4"/>
      <c r="I27" s="4"/>
      <c r="J27" s="4"/>
      <c r="K27" s="4"/>
      <c r="L27" s="221"/>
      <c r="M27" s="4"/>
      <c r="N27" s="4"/>
      <c r="O27" s="4"/>
      <c r="P27" s="4"/>
      <c r="Q27" s="4"/>
      <c r="R27" s="4"/>
      <c r="S27" s="4"/>
      <c r="T27" s="4"/>
      <c r="U27" s="4"/>
      <c r="V27" s="4"/>
      <c r="W27" s="4"/>
      <c r="X27" s="4"/>
      <c r="Y27" s="4"/>
      <c r="Z27" s="4"/>
    </row>
    <row r="28" ht="12.0" customHeight="1">
      <c r="A28" s="210" t="s">
        <v>281</v>
      </c>
      <c r="B28" s="211"/>
      <c r="C28" s="43"/>
      <c r="D28" s="205">
        <f>Bal_Sheet!E62+Bal_Sheet!E63</f>
        <v>282500</v>
      </c>
      <c r="E28" s="225">
        <f>E5+E6*D54</f>
        <v>0.1602646314</v>
      </c>
      <c r="F28" s="81"/>
      <c r="G28" s="4"/>
      <c r="H28" s="4"/>
      <c r="I28" s="4"/>
      <c r="J28" s="4"/>
      <c r="K28" s="4"/>
      <c r="L28" s="221"/>
      <c r="M28" s="4"/>
      <c r="N28" s="4"/>
      <c r="O28" s="4"/>
      <c r="P28" s="4"/>
      <c r="Q28" s="4"/>
      <c r="R28" s="4"/>
      <c r="S28" s="4"/>
      <c r="T28" s="4"/>
      <c r="U28" s="4"/>
      <c r="V28" s="4"/>
      <c r="W28" s="4"/>
      <c r="X28" s="4"/>
      <c r="Y28" s="4"/>
      <c r="Z28" s="4"/>
    </row>
    <row r="29" ht="11.25" customHeight="1">
      <c r="A29" s="4"/>
      <c r="B29" s="4"/>
      <c r="C29" s="4"/>
      <c r="D29" s="4"/>
      <c r="E29" s="146"/>
      <c r="F29" s="4"/>
      <c r="G29" s="4"/>
      <c r="H29" s="4"/>
      <c r="I29" s="4"/>
      <c r="J29" s="4"/>
      <c r="K29" s="4"/>
      <c r="L29" s="146"/>
      <c r="M29" s="4"/>
      <c r="N29" s="4"/>
      <c r="O29" s="4"/>
      <c r="P29" s="4"/>
      <c r="Q29" s="4"/>
      <c r="R29" s="4"/>
      <c r="S29" s="4"/>
      <c r="T29" s="4"/>
      <c r="U29" s="4"/>
      <c r="V29" s="4"/>
      <c r="W29" s="4"/>
      <c r="X29" s="4"/>
      <c r="Y29" s="4"/>
      <c r="Z29" s="4"/>
    </row>
    <row r="30" ht="11.25" customHeight="1">
      <c r="A30" s="4"/>
      <c r="B30" s="4"/>
      <c r="C30" s="4"/>
      <c r="D30" s="4"/>
      <c r="E30" s="146"/>
      <c r="F30" s="4"/>
      <c r="G30" s="4"/>
      <c r="H30" s="4"/>
      <c r="I30" s="4"/>
      <c r="J30" s="4"/>
      <c r="K30" s="4"/>
      <c r="L30" s="146"/>
      <c r="M30" s="4"/>
      <c r="N30" s="4"/>
      <c r="O30" s="4"/>
      <c r="P30" s="4"/>
      <c r="Q30" s="4"/>
      <c r="R30" s="4"/>
      <c r="S30" s="4"/>
      <c r="T30" s="4"/>
      <c r="U30" s="4"/>
      <c r="V30" s="4"/>
      <c r="W30" s="4"/>
      <c r="X30" s="4"/>
      <c r="Y30" s="4"/>
      <c r="Z30" s="4"/>
    </row>
    <row r="31" ht="11.25" customHeight="1">
      <c r="A31" s="4"/>
      <c r="B31" s="4"/>
      <c r="C31" s="4"/>
      <c r="D31" s="4"/>
      <c r="E31" s="146"/>
      <c r="F31" s="4"/>
      <c r="G31" s="4"/>
      <c r="H31" s="4"/>
      <c r="I31" s="4"/>
      <c r="J31" s="4"/>
      <c r="K31" s="4"/>
      <c r="L31" s="146"/>
      <c r="M31" s="4"/>
      <c r="N31" s="4"/>
      <c r="O31" s="4"/>
      <c r="P31" s="4"/>
      <c r="Q31" s="4"/>
      <c r="R31" s="4"/>
      <c r="S31" s="4"/>
      <c r="T31" s="4"/>
      <c r="U31" s="4"/>
      <c r="V31" s="4"/>
      <c r="W31" s="4"/>
      <c r="X31" s="4"/>
      <c r="Y31" s="4"/>
      <c r="Z31" s="4"/>
    </row>
    <row r="32" ht="12.0" customHeight="1">
      <c r="A32" s="163" t="s">
        <v>282</v>
      </c>
      <c r="B32" s="164"/>
      <c r="C32" s="164"/>
      <c r="D32" s="165"/>
      <c r="E32" s="4"/>
      <c r="F32" s="4"/>
      <c r="G32" s="4"/>
      <c r="H32" s="4"/>
      <c r="I32" s="4"/>
      <c r="J32" s="4"/>
      <c r="K32" s="4"/>
      <c r="L32" s="146"/>
      <c r="M32" s="4"/>
      <c r="N32" s="4"/>
      <c r="O32" s="4"/>
      <c r="P32" s="4"/>
      <c r="Q32" s="4"/>
      <c r="R32" s="4"/>
      <c r="S32" s="4"/>
      <c r="T32" s="4"/>
      <c r="U32" s="4"/>
      <c r="V32" s="4"/>
      <c r="W32" s="4"/>
      <c r="X32" s="4"/>
      <c r="Y32" s="4"/>
      <c r="Z32" s="4"/>
    </row>
    <row r="33" ht="12.0" customHeight="1">
      <c r="A33" s="230"/>
      <c r="B33" s="6"/>
      <c r="C33" s="6"/>
      <c r="D33" s="229"/>
      <c r="E33" s="4"/>
      <c r="F33" s="4"/>
      <c r="G33" s="4"/>
      <c r="H33" s="4"/>
      <c r="I33" s="4"/>
      <c r="J33" s="4"/>
      <c r="K33" s="4"/>
      <c r="L33" s="146"/>
      <c r="M33" s="4"/>
      <c r="N33" s="4"/>
      <c r="O33" s="4"/>
      <c r="P33" s="4"/>
      <c r="Q33" s="4"/>
      <c r="R33" s="4"/>
      <c r="S33" s="4"/>
      <c r="T33" s="4"/>
      <c r="U33" s="4"/>
      <c r="V33" s="4"/>
      <c r="W33" s="4"/>
      <c r="X33" s="4"/>
      <c r="Y33" s="4"/>
      <c r="Z33" s="4"/>
    </row>
    <row r="34" ht="12.0" customHeight="1">
      <c r="A34" s="210" t="s">
        <v>265</v>
      </c>
      <c r="B34" s="211"/>
      <c r="C34" s="43"/>
      <c r="D34" s="231">
        <f>E7</f>
        <v>1.2</v>
      </c>
      <c r="E34" s="4"/>
      <c r="F34" s="4"/>
      <c r="G34" s="4"/>
      <c r="H34" s="4"/>
      <c r="I34" s="4"/>
      <c r="J34" s="4"/>
      <c r="K34" s="4"/>
      <c r="L34" s="146"/>
      <c r="M34" s="4"/>
      <c r="N34" s="4"/>
      <c r="O34" s="4"/>
      <c r="P34" s="4"/>
      <c r="Q34" s="4"/>
      <c r="R34" s="4"/>
      <c r="S34" s="4"/>
      <c r="T34" s="4"/>
      <c r="U34" s="4"/>
      <c r="V34" s="4"/>
      <c r="W34" s="4"/>
      <c r="X34" s="4"/>
      <c r="Y34" s="4"/>
      <c r="Z34" s="4"/>
    </row>
    <row r="35" ht="11.25" customHeight="1">
      <c r="A35" s="232"/>
      <c r="B35" s="6"/>
      <c r="C35" s="6"/>
      <c r="D35" s="213"/>
      <c r="E35" s="4"/>
      <c r="F35" s="4"/>
      <c r="G35" s="4"/>
      <c r="H35" s="4"/>
      <c r="I35" s="4"/>
      <c r="J35" s="4"/>
      <c r="K35" s="4"/>
      <c r="L35" s="146"/>
      <c r="M35" s="4"/>
      <c r="N35" s="4"/>
      <c r="O35" s="4"/>
      <c r="P35" s="4"/>
      <c r="Q35" s="4"/>
      <c r="R35" s="4"/>
      <c r="S35" s="4"/>
      <c r="T35" s="4"/>
      <c r="U35" s="4"/>
      <c r="V35" s="4"/>
      <c r="W35" s="4"/>
      <c r="X35" s="4"/>
      <c r="Y35" s="4"/>
      <c r="Z35" s="4"/>
    </row>
    <row r="36" ht="11.25" customHeight="1">
      <c r="A36" s="203" t="s">
        <v>283</v>
      </c>
      <c r="B36" s="204"/>
      <c r="C36" s="30"/>
      <c r="D36" s="233"/>
      <c r="E36" s="4"/>
      <c r="F36" s="4"/>
      <c r="G36" s="4"/>
      <c r="H36" s="4"/>
      <c r="I36" s="4"/>
      <c r="J36" s="4"/>
      <c r="K36" s="4"/>
      <c r="L36" s="4"/>
      <c r="M36" s="4"/>
      <c r="N36" s="4"/>
      <c r="O36" s="4"/>
      <c r="P36" s="4"/>
      <c r="Q36" s="4"/>
      <c r="R36" s="4"/>
      <c r="S36" s="4"/>
      <c r="T36" s="4"/>
      <c r="U36" s="4"/>
      <c r="V36" s="4"/>
      <c r="W36" s="4"/>
      <c r="X36" s="4"/>
      <c r="Y36" s="4"/>
      <c r="Z36" s="4"/>
    </row>
    <row r="37" ht="11.25" customHeight="1">
      <c r="A37" s="234" t="s">
        <v>284</v>
      </c>
      <c r="B37" s="235"/>
      <c r="C37" s="236"/>
      <c r="D37" s="237">
        <f>Bal_Sheet!C54</f>
        <v>250000</v>
      </c>
      <c r="E37" s="4"/>
      <c r="F37" s="4"/>
      <c r="G37" s="4"/>
      <c r="H37" s="4"/>
      <c r="I37" s="4"/>
      <c r="J37" s="4"/>
      <c r="K37" s="4"/>
      <c r="L37" s="4"/>
      <c r="M37" s="4"/>
      <c r="N37" s="4"/>
      <c r="O37" s="4"/>
      <c r="P37" s="4"/>
      <c r="Q37" s="4"/>
      <c r="R37" s="4"/>
      <c r="S37" s="4"/>
      <c r="T37" s="4"/>
      <c r="U37" s="4"/>
      <c r="V37" s="4"/>
      <c r="W37" s="4"/>
      <c r="X37" s="4"/>
      <c r="Y37" s="4"/>
      <c r="Z37" s="4"/>
    </row>
    <row r="38" ht="11.25" customHeight="1">
      <c r="A38" s="234" t="s">
        <v>285</v>
      </c>
      <c r="B38" s="235"/>
      <c r="C38" s="236"/>
      <c r="D38" s="237">
        <f>Input!C8*no_shares_outs</f>
        <v>600000</v>
      </c>
      <c r="E38" s="4"/>
      <c r="F38" s="4"/>
      <c r="G38" s="4"/>
      <c r="H38" s="4"/>
      <c r="I38" s="4"/>
      <c r="J38" s="4"/>
      <c r="K38" s="4"/>
      <c r="L38" s="4"/>
      <c r="M38" s="4"/>
      <c r="N38" s="4"/>
      <c r="O38" s="4"/>
      <c r="P38" s="4"/>
      <c r="Q38" s="4"/>
      <c r="R38" s="4"/>
      <c r="S38" s="4"/>
      <c r="T38" s="4"/>
      <c r="U38" s="4"/>
      <c r="V38" s="4"/>
      <c r="W38" s="4"/>
      <c r="X38" s="4"/>
      <c r="Y38" s="4"/>
      <c r="Z38" s="4"/>
    </row>
    <row r="39" ht="11.25" customHeight="1">
      <c r="A39" s="234" t="s">
        <v>65</v>
      </c>
      <c r="B39" s="235"/>
      <c r="C39" s="236"/>
      <c r="D39" s="237">
        <v>0.0</v>
      </c>
      <c r="E39" s="4"/>
      <c r="F39" s="4"/>
      <c r="G39" s="4"/>
      <c r="H39" s="4"/>
      <c r="I39" s="4"/>
      <c r="J39" s="4"/>
      <c r="K39" s="4"/>
      <c r="L39" s="4"/>
      <c r="M39" s="4"/>
      <c r="N39" s="4"/>
      <c r="O39" s="4"/>
      <c r="P39" s="4"/>
      <c r="Q39" s="4"/>
      <c r="R39" s="4"/>
      <c r="S39" s="4"/>
      <c r="T39" s="4"/>
      <c r="U39" s="4"/>
      <c r="V39" s="4"/>
      <c r="W39" s="4"/>
      <c r="X39" s="4"/>
      <c r="Y39" s="4"/>
      <c r="Z39" s="4"/>
    </row>
    <row r="40" ht="11.25" customHeight="1">
      <c r="A40" s="234" t="s">
        <v>286</v>
      </c>
      <c r="B40" s="235"/>
      <c r="C40" s="236"/>
      <c r="D40" s="238">
        <f>D37/D38</f>
        <v>0.4166666667</v>
      </c>
      <c r="E40" s="4"/>
      <c r="F40" s="4"/>
      <c r="G40" s="4"/>
      <c r="H40" s="4"/>
      <c r="I40" s="4"/>
      <c r="J40" s="4"/>
      <c r="K40" s="4"/>
      <c r="L40" s="4"/>
      <c r="M40" s="4"/>
      <c r="N40" s="4"/>
      <c r="O40" s="4"/>
      <c r="P40" s="4"/>
      <c r="Q40" s="4"/>
      <c r="R40" s="4"/>
      <c r="S40" s="4"/>
      <c r="T40" s="4"/>
      <c r="U40" s="4"/>
      <c r="V40" s="4"/>
      <c r="W40" s="4"/>
      <c r="X40" s="4"/>
      <c r="Y40" s="4"/>
      <c r="Z40" s="4"/>
    </row>
    <row r="41" ht="11.25" customHeight="1">
      <c r="A41" s="239" t="s">
        <v>287</v>
      </c>
      <c r="B41" s="240"/>
      <c r="C41" s="241"/>
      <c r="D41" s="238">
        <f>D39/D38</f>
        <v>0</v>
      </c>
      <c r="E41" s="4"/>
      <c r="F41" s="4"/>
      <c r="G41" s="4"/>
      <c r="H41" s="4"/>
      <c r="I41" s="4"/>
      <c r="J41" s="4"/>
      <c r="K41" s="4"/>
      <c r="L41" s="4"/>
      <c r="M41" s="4"/>
      <c r="N41" s="4"/>
      <c r="O41" s="4"/>
      <c r="P41" s="4"/>
      <c r="Q41" s="4"/>
      <c r="R41" s="4"/>
      <c r="S41" s="4"/>
      <c r="T41" s="4"/>
      <c r="U41" s="4"/>
      <c r="V41" s="4"/>
      <c r="W41" s="4"/>
      <c r="X41" s="4"/>
      <c r="Y41" s="4"/>
      <c r="Z41" s="4"/>
    </row>
    <row r="42" ht="11.25" customHeight="1">
      <c r="A42" s="232"/>
      <c r="B42" s="6"/>
      <c r="C42" s="6"/>
      <c r="D42" s="213"/>
      <c r="E42" s="4"/>
      <c r="F42" s="4"/>
      <c r="G42" s="4"/>
      <c r="H42" s="4"/>
      <c r="I42" s="4"/>
      <c r="J42" s="4"/>
      <c r="K42" s="4"/>
      <c r="L42" s="4"/>
      <c r="M42" s="4"/>
      <c r="N42" s="4"/>
      <c r="O42" s="4"/>
      <c r="P42" s="4"/>
      <c r="Q42" s="4"/>
      <c r="R42" s="4"/>
      <c r="S42" s="4"/>
      <c r="T42" s="4"/>
      <c r="U42" s="4"/>
      <c r="V42" s="4"/>
      <c r="W42" s="4"/>
      <c r="X42" s="4"/>
      <c r="Y42" s="4"/>
      <c r="Z42" s="4"/>
    </row>
    <row r="43" ht="11.25" customHeight="1">
      <c r="A43" s="29" t="s">
        <v>288</v>
      </c>
      <c r="B43" s="204"/>
      <c r="C43" s="30"/>
      <c r="D43" s="229"/>
      <c r="E43" s="4"/>
      <c r="F43" s="4"/>
      <c r="G43" s="4"/>
      <c r="H43" s="4"/>
      <c r="I43" s="4"/>
      <c r="J43" s="4"/>
      <c r="K43" s="4"/>
      <c r="L43" s="4"/>
      <c r="M43" s="4"/>
      <c r="N43" s="4"/>
      <c r="O43" s="4"/>
      <c r="P43" s="4"/>
      <c r="Q43" s="4"/>
      <c r="R43" s="4"/>
      <c r="S43" s="4"/>
      <c r="T43" s="4"/>
      <c r="U43" s="4"/>
      <c r="V43" s="4"/>
      <c r="W43" s="4"/>
      <c r="X43" s="4"/>
      <c r="Y43" s="4"/>
      <c r="Z43" s="4"/>
    </row>
    <row r="44" ht="11.25" customHeight="1">
      <c r="A44" s="234" t="str">
        <f t="shared" ref="A44:A48" si="3">A37</f>
        <v>Debt</v>
      </c>
      <c r="B44" s="235"/>
      <c r="C44" s="236"/>
      <c r="D44" s="237">
        <f>Bal_Sheet!E54</f>
        <v>600887.5</v>
      </c>
      <c r="E44" s="4"/>
      <c r="F44" s="4"/>
      <c r="G44" s="4"/>
      <c r="H44" s="4"/>
      <c r="I44" s="4"/>
      <c r="J44" s="4"/>
      <c r="K44" s="4"/>
      <c r="L44" s="4"/>
      <c r="M44" s="4"/>
      <c r="N44" s="4"/>
      <c r="O44" s="4"/>
      <c r="P44" s="4"/>
      <c r="Q44" s="4"/>
      <c r="R44" s="4"/>
      <c r="S44" s="4"/>
      <c r="T44" s="4"/>
      <c r="U44" s="4"/>
      <c r="V44" s="4"/>
      <c r="W44" s="4"/>
      <c r="X44" s="4"/>
      <c r="Y44" s="4"/>
      <c r="Z44" s="4"/>
    </row>
    <row r="45" ht="11.25" customHeight="1">
      <c r="A45" s="234" t="str">
        <f t="shared" si="3"/>
        <v>Equity</v>
      </c>
      <c r="B45" s="235"/>
      <c r="C45" s="236"/>
      <c r="D45" s="237">
        <f>SUM(Bal_Sheet!E62:E63)</f>
        <v>282500</v>
      </c>
      <c r="E45" s="4"/>
      <c r="F45" s="4"/>
      <c r="G45" s="4"/>
      <c r="H45" s="4"/>
      <c r="I45" s="4"/>
      <c r="J45" s="4"/>
      <c r="K45" s="4"/>
      <c r="L45" s="4"/>
      <c r="M45" s="4"/>
      <c r="N45" s="4"/>
      <c r="O45" s="4"/>
      <c r="P45" s="4"/>
      <c r="Q45" s="4"/>
      <c r="R45" s="4"/>
      <c r="S45" s="4"/>
      <c r="T45" s="4"/>
      <c r="U45" s="4"/>
      <c r="V45" s="4"/>
      <c r="W45" s="4"/>
      <c r="X45" s="4"/>
      <c r="Y45" s="4"/>
      <c r="Z45" s="4"/>
    </row>
    <row r="46" ht="11.25" customHeight="1">
      <c r="A46" s="234" t="str">
        <f t="shared" si="3"/>
        <v>Preferred Stock</v>
      </c>
      <c r="B46" s="235"/>
      <c r="C46" s="236"/>
      <c r="D46" s="237">
        <f>Bal_Sheet!E61</f>
        <v>60000</v>
      </c>
      <c r="E46" s="4"/>
      <c r="F46" s="4"/>
      <c r="G46" s="4"/>
      <c r="H46" s="4"/>
      <c r="I46" s="4"/>
      <c r="J46" s="4"/>
      <c r="K46" s="4"/>
      <c r="L46" s="4"/>
      <c r="M46" s="4"/>
      <c r="N46" s="4"/>
      <c r="O46" s="4"/>
      <c r="P46" s="4"/>
      <c r="Q46" s="4"/>
      <c r="R46" s="4"/>
      <c r="S46" s="4"/>
      <c r="T46" s="4"/>
      <c r="U46" s="4"/>
      <c r="V46" s="4"/>
      <c r="W46" s="4"/>
      <c r="X46" s="4"/>
      <c r="Y46" s="4"/>
      <c r="Z46" s="4"/>
    </row>
    <row r="47" ht="11.25" customHeight="1">
      <c r="A47" s="234" t="str">
        <f t="shared" si="3"/>
        <v>Debt/Equity Ratio</v>
      </c>
      <c r="B47" s="235"/>
      <c r="C47" s="236"/>
      <c r="D47" s="238">
        <f>D44/D45</f>
        <v>2.127035398</v>
      </c>
      <c r="E47" s="4"/>
      <c r="F47" s="4"/>
      <c r="G47" s="4"/>
      <c r="H47" s="4"/>
      <c r="I47" s="4"/>
      <c r="J47" s="4"/>
      <c r="K47" s="4"/>
      <c r="L47" s="4"/>
      <c r="M47" s="4"/>
      <c r="N47" s="4"/>
      <c r="O47" s="4"/>
      <c r="P47" s="4"/>
      <c r="Q47" s="4"/>
      <c r="R47" s="4"/>
      <c r="S47" s="4"/>
      <c r="T47" s="4"/>
      <c r="U47" s="4"/>
      <c r="V47" s="4"/>
      <c r="W47" s="4"/>
      <c r="X47" s="4"/>
      <c r="Y47" s="4"/>
      <c r="Z47" s="4"/>
    </row>
    <row r="48" ht="11.25" customHeight="1">
      <c r="A48" s="239" t="str">
        <f t="shared" si="3"/>
        <v>Preferred Stock/Equity Ratio</v>
      </c>
      <c r="B48" s="240"/>
      <c r="C48" s="241"/>
      <c r="D48" s="238">
        <f>D46/D45</f>
        <v>0.2123893805</v>
      </c>
      <c r="E48" s="4"/>
      <c r="F48" s="4"/>
      <c r="G48" s="4"/>
      <c r="H48" s="4"/>
      <c r="I48" s="4"/>
      <c r="J48" s="4"/>
      <c r="K48" s="4"/>
      <c r="L48" s="4"/>
      <c r="M48" s="4"/>
      <c r="N48" s="4"/>
      <c r="O48" s="4"/>
      <c r="P48" s="4"/>
      <c r="Q48" s="4"/>
      <c r="R48" s="4"/>
      <c r="S48" s="4"/>
      <c r="T48" s="4"/>
      <c r="U48" s="4"/>
      <c r="V48" s="4"/>
      <c r="W48" s="4"/>
      <c r="X48" s="4"/>
      <c r="Y48" s="4"/>
      <c r="Z48" s="4"/>
    </row>
    <row r="49" ht="11.25" customHeight="1">
      <c r="A49" s="232"/>
      <c r="B49" s="6"/>
      <c r="C49" s="6"/>
      <c r="D49" s="213"/>
      <c r="E49" s="4"/>
      <c r="F49" s="4"/>
      <c r="G49" s="4"/>
      <c r="H49" s="4"/>
      <c r="I49" s="4"/>
      <c r="J49" s="4"/>
      <c r="K49" s="4"/>
      <c r="L49" s="4"/>
      <c r="M49" s="4"/>
      <c r="N49" s="4"/>
      <c r="O49" s="4"/>
      <c r="P49" s="4"/>
      <c r="Q49" s="4"/>
      <c r="R49" s="4"/>
      <c r="S49" s="4"/>
      <c r="T49" s="4"/>
      <c r="U49" s="4"/>
      <c r="V49" s="4"/>
      <c r="W49" s="4"/>
      <c r="X49" s="4"/>
      <c r="Y49" s="4"/>
      <c r="Z49" s="4"/>
    </row>
    <row r="50" ht="11.25" customHeight="1">
      <c r="A50" s="42" t="str">
        <f>Input!L45</f>
        <v>Tax Rate          </v>
      </c>
      <c r="B50" s="211"/>
      <c r="C50" s="43"/>
      <c r="D50" s="206">
        <f>tax_rate</f>
        <v>0.35</v>
      </c>
      <c r="E50" s="4"/>
      <c r="F50" s="4"/>
      <c r="G50" s="4"/>
      <c r="H50" s="4"/>
      <c r="I50" s="4"/>
      <c r="J50" s="4"/>
      <c r="K50" s="4"/>
      <c r="L50" s="4"/>
      <c r="M50" s="4"/>
      <c r="N50" s="4"/>
      <c r="O50" s="4"/>
      <c r="P50" s="4"/>
      <c r="Q50" s="4"/>
      <c r="R50" s="4"/>
      <c r="S50" s="4"/>
      <c r="T50" s="4"/>
      <c r="U50" s="4"/>
      <c r="V50" s="4"/>
      <c r="W50" s="4"/>
      <c r="X50" s="4"/>
      <c r="Y50" s="4"/>
      <c r="Z50" s="4"/>
    </row>
    <row r="51" ht="11.25" customHeight="1">
      <c r="A51" s="212"/>
      <c r="B51" s="6"/>
      <c r="C51" s="6"/>
      <c r="D51" s="229"/>
      <c r="E51" s="4"/>
      <c r="F51" s="4"/>
      <c r="G51" s="4"/>
      <c r="H51" s="4"/>
      <c r="I51" s="4"/>
      <c r="J51" s="4"/>
      <c r="K51" s="4"/>
      <c r="L51" s="4"/>
      <c r="M51" s="4"/>
      <c r="N51" s="4"/>
      <c r="O51" s="4"/>
      <c r="P51" s="4"/>
      <c r="Q51" s="4"/>
      <c r="R51" s="4"/>
      <c r="S51" s="4"/>
      <c r="T51" s="4"/>
      <c r="U51" s="4"/>
      <c r="V51" s="4"/>
      <c r="W51" s="4"/>
      <c r="X51" s="4"/>
      <c r="Y51" s="4"/>
      <c r="Z51" s="4"/>
    </row>
    <row r="52" ht="12.0" customHeight="1">
      <c r="A52" s="214" t="s">
        <v>289</v>
      </c>
      <c r="B52" s="242"/>
      <c r="C52" s="243"/>
      <c r="D52" s="244">
        <f>D34/(1+(1-D50)*D40+D41)</f>
        <v>0.9442622951</v>
      </c>
      <c r="E52" s="4"/>
      <c r="F52" s="4"/>
      <c r="G52" s="4"/>
      <c r="H52" s="4"/>
      <c r="I52" s="4"/>
      <c r="J52" s="4"/>
      <c r="K52" s="4"/>
      <c r="L52" s="4"/>
      <c r="M52" s="4"/>
      <c r="N52" s="4"/>
      <c r="O52" s="4"/>
      <c r="P52" s="4"/>
      <c r="Q52" s="4"/>
      <c r="R52" s="4"/>
      <c r="S52" s="4"/>
      <c r="T52" s="4"/>
      <c r="U52" s="4"/>
      <c r="V52" s="4"/>
      <c r="W52" s="4"/>
      <c r="X52" s="4"/>
      <c r="Y52" s="4"/>
      <c r="Z52" s="4"/>
    </row>
    <row r="53" ht="11.25" customHeight="1">
      <c r="A53" s="212"/>
      <c r="B53" s="6"/>
      <c r="C53" s="6"/>
      <c r="D53" s="245"/>
      <c r="E53" s="4"/>
      <c r="F53" s="4"/>
      <c r="G53" s="4"/>
      <c r="H53" s="4"/>
      <c r="I53" s="4"/>
      <c r="J53" s="4"/>
      <c r="K53" s="4"/>
      <c r="L53" s="4"/>
      <c r="M53" s="4"/>
      <c r="N53" s="4"/>
      <c r="O53" s="4"/>
      <c r="P53" s="4"/>
      <c r="Q53" s="4"/>
      <c r="R53" s="4"/>
      <c r="S53" s="4"/>
      <c r="T53" s="4"/>
      <c r="U53" s="4"/>
      <c r="V53" s="4"/>
      <c r="W53" s="4"/>
      <c r="X53" s="4"/>
      <c r="Y53" s="4"/>
      <c r="Z53" s="4"/>
    </row>
    <row r="54" ht="12.0" customHeight="1">
      <c r="A54" s="214" t="s">
        <v>290</v>
      </c>
      <c r="B54" s="242"/>
      <c r="C54" s="243"/>
      <c r="D54" s="244">
        <f>D52*(1+(1-D50)*D47+D48)</f>
        <v>2.450325141</v>
      </c>
      <c r="E54" s="4"/>
      <c r="F54" s="4"/>
      <c r="G54" s="4"/>
      <c r="H54" s="4"/>
      <c r="I54" s="4"/>
      <c r="J54" s="4"/>
      <c r="K54" s="4"/>
      <c r="L54" s="4"/>
      <c r="M54" s="4"/>
      <c r="N54" s="4"/>
      <c r="O54" s="4"/>
      <c r="P54" s="4"/>
      <c r="Q54" s="4"/>
      <c r="R54" s="4"/>
      <c r="S54" s="4"/>
      <c r="T54" s="4"/>
      <c r="U54" s="4"/>
      <c r="V54" s="4"/>
      <c r="W54" s="4"/>
      <c r="X54" s="4"/>
      <c r="Y54" s="4"/>
      <c r="Z54" s="4"/>
    </row>
    <row r="55" ht="11.25" customHeight="1">
      <c r="A55" s="4"/>
      <c r="B55" s="4"/>
      <c r="C55" s="4"/>
      <c r="D55" s="146"/>
      <c r="E55" s="4"/>
      <c r="F55" s="4"/>
      <c r="G55" s="4"/>
      <c r="H55" s="4"/>
      <c r="I55" s="4"/>
      <c r="J55" s="4"/>
      <c r="K55" s="4"/>
      <c r="L55" s="4"/>
      <c r="M55" s="4"/>
      <c r="N55" s="4"/>
      <c r="O55" s="4"/>
      <c r="P55" s="4"/>
      <c r="Q55" s="4"/>
      <c r="R55" s="4"/>
      <c r="S55" s="4"/>
      <c r="T55" s="4"/>
      <c r="U55" s="4"/>
      <c r="V55" s="4"/>
      <c r="W55" s="4"/>
      <c r="X55" s="4"/>
      <c r="Y55" s="4"/>
      <c r="Z55" s="4"/>
    </row>
    <row r="56" ht="11.25" customHeight="1">
      <c r="A56" s="4"/>
      <c r="B56" s="4"/>
      <c r="C56" s="4"/>
      <c r="D56" s="146"/>
      <c r="E56" s="4"/>
      <c r="F56" s="4"/>
      <c r="G56" s="4"/>
      <c r="H56" s="4"/>
      <c r="I56" s="4"/>
      <c r="J56" s="4"/>
      <c r="K56" s="4"/>
      <c r="L56" s="4"/>
      <c r="M56" s="4"/>
      <c r="N56" s="4"/>
      <c r="O56" s="4"/>
      <c r="P56" s="4"/>
      <c r="Q56" s="4"/>
      <c r="R56" s="4"/>
      <c r="S56" s="4"/>
      <c r="T56" s="4"/>
      <c r="U56" s="4"/>
      <c r="V56" s="4"/>
      <c r="W56" s="4"/>
      <c r="X56" s="4"/>
      <c r="Y56" s="4"/>
      <c r="Z56" s="4"/>
    </row>
    <row r="57" ht="11.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1.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1.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1.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1.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1.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1.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1.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246"/>
      <c r="B65" s="4"/>
      <c r="C65" s="4"/>
      <c r="D65" s="4"/>
      <c r="E65" s="4"/>
      <c r="F65" s="4"/>
      <c r="G65" s="4"/>
      <c r="H65" s="4"/>
      <c r="I65" s="4"/>
      <c r="J65" s="4"/>
      <c r="K65" s="4"/>
      <c r="L65" s="4"/>
      <c r="M65" s="4"/>
      <c r="N65" s="4"/>
      <c r="O65" s="4"/>
      <c r="P65" s="4"/>
      <c r="Q65" s="4"/>
      <c r="R65" s="4"/>
      <c r="S65" s="4"/>
      <c r="T65" s="4"/>
      <c r="U65" s="4"/>
      <c r="V65" s="4"/>
      <c r="W65" s="4"/>
      <c r="X65" s="4"/>
      <c r="Y65" s="4"/>
      <c r="Z65" s="4"/>
    </row>
    <row r="66" ht="11.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1.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1.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1.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1.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1.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1.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1.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1.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1.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1.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1.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1.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1.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1.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1.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1.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1.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1.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1.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1.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1.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1.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1.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1.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1.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1.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1.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1.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1.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1.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1.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1.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1.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1.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1.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1.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1.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1.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1.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1.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1.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1.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1.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1.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1.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1.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1.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1.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1.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1.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1.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1.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1.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1.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1.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1.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1.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1.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1.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1.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1.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1.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1.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1.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1.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1.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1.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1.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1.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1.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1.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1.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1.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1.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1.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1.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1.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1.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1.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1.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1.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1.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1.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1.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1.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1.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1.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1.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1.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1.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1.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1.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1.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1.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1.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1.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1.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1.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1.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1.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1.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1.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1.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1.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1.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1.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1.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1.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1.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1.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1.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1.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1.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1.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1.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1.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1.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1.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1.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1.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1.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1.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1.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1.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1.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1.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1.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1.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1.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1.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1.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1.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1.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1.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1.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1.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1.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1.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1.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1.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1.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1.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1.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1.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1.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1.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1.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1.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1.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1.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1.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1.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1.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1.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1.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1.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1.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1.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1.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1.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1.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1.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1.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1.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1.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1.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1.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1.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1.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1.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1.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1.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1.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1.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1.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1.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1.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1.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1.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1.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1.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1.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1.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1.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1.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1.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1.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1.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1.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1.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1.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1.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1.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1.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1.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1.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1.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1.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1.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1.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1.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1.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1.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1.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1.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1.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1.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1.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1.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1.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1.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1.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1.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1.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1.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1.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1.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1.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1.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1.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1.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1.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1.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1.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1.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1.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1.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1.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1.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1.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1.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1.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1.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1.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1.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1.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1.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1.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1.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1.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1.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1.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1.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1.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1.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1.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1.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1.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1.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1.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1.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1.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1.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1.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1.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1.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1.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1.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1.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1.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1.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1.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1.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1.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1.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1.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1.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1.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1.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1.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1.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1.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1.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1.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1.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1.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1.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1.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1.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1.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1.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1.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1.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1.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1.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1.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1.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1.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1.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1.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1.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1.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1.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1.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1.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1.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1.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1.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1.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1.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1.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1.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1.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1.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1.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1.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1.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1.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1.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1.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1.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1.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1.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1.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1.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1.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1.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1.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1.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1.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1.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1.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1.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1.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1.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1.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1.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1.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1.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1.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1.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1.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1.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1.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1.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1.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1.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1.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1.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1.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1.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1.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1.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1.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1.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1.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1.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1.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1.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1.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1.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1.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1.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1.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1.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1.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1.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1.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1.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1.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1.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1.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1.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1.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1.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1.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1.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1.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1.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1.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1.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1.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1.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1.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1.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1.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1.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1.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1.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1.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1.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1.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1.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1.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1.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1.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1.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1.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1.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1.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1.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1.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1.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1.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1.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1.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1.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1.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1.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1.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1.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1.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1.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1.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1.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1.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1.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1.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1.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1.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1.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1.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1.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1.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1.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1.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1.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1.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1.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1.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1.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1.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1.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1.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1.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1.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1.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1.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1.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1.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1.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1.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1.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1.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1.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1.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1.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1.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1.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1.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1.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1.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1.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1.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1.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1.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1.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1.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1.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1.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1.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1.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1.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1.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1.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1.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1.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1.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1.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1.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1.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1.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1.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1.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1.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1.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1.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1.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1.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1.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1.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1.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1.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1.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1.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1.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1.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1.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1.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1.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1.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1.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1.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1.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1.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1.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1.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1.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1.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1.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1.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1.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1.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1.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1.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1.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1.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1.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1.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1.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1.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1.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1.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1.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1.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1.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1.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1.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1.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1.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1.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1.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1.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1.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1.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1.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1.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1.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1.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1.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1.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1.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1.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1.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1.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1.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1.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1.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1.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1.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1.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1.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1.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1.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1.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1.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1.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1.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1.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1.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1.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1.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1.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1.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1.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1.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1.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1.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1.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1.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1.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1.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1.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1.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1.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1.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1.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1.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1.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1.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1.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1.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1.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1.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1.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1.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1.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1.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1.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1.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1.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1.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1.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1.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1.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1.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1.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1.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1.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1.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1.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1.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1.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1.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1.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1.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1.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1.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1.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1.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1.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1.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1.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1.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1.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1.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1.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1.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1.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1.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1.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1.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1.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1.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1.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1.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1.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1.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1.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1.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1.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1.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1.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1.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1.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1.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1.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1.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1.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1.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1.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1.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1.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1.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1.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1.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1.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1.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1.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1.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1.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1.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1.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1.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1.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1.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1.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1.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1.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1.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1.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1.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1.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1.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1.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1.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1.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1.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1.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1.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1.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1.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1.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1.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1.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1.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1.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1.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1.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1.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1.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1.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1.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1.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1.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1.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1.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1.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1.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1.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1.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1.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1.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1.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1.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1.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1.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1.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1.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1.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1.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1.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1.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1.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1.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1.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1.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1.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1.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1.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1.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1.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1.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1.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1.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1.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1.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1.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1.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1.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1.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1.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1.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1.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1.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1.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1.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1.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1.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1.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1.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1.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1.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1.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1.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1.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1.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1.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1.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1.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1.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1.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1.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1.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1.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1.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1.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1.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1.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1.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1.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1.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1.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1.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1.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1.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1.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1.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1.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1.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1.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1.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1.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1.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1.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1.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1.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1.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1.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1.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1.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1.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1.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1.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1.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1.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1.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1.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1.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1.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1.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1.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1.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1.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1.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1.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1.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1.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1.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1.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1.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1.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1.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1.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1.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1.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1.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1.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1.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1.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1.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1.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1.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1.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1.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1.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1.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1.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1.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1.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1.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1.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1.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1.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1.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1.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1.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1.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1.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1.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1.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1.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1.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1.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1.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1.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1.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1.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1.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1.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1.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1.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1.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1.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1.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1.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1.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1.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1.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1.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1.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1.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1.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1.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1.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1.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1.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1.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1.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1.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1.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1.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1.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1.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1.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1.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1.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1.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1.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1.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1.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1.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1.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1.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1.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1.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1.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1.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1.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1.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1.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1.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1.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1.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1.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1.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1.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1.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1.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1.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1.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1.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1.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1.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1.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1.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1.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1.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1.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1.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1.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1.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1.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1.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1.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1.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1.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1.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1.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1.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1.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1.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1.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1.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1.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1.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1.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1.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1.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1.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1.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1.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1.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1.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1.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1.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1.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1.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1.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1.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1.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1.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1.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1.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1.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1.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1.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1.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1.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1.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1.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1.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1.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1.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1.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1.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1.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1.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1.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1.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1.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1.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1.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1.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1.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1.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1.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1.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1.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1.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1.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1.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1.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1.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H5:J5"/>
    <mergeCell ref="H6:J6"/>
    <mergeCell ref="I7:J7"/>
    <mergeCell ref="H10:L10"/>
    <mergeCell ref="A32:D32"/>
  </mergeCells>
  <dataValidations>
    <dataValidation type="list" allowBlank="1" showInputMessage="1" showErrorMessage="1" prompt=" - " sqref="H7">
      <formula1>"0,1"</formula1>
    </dataValidation>
  </dataValidation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5" width="10.63"/>
    <col customWidth="1" min="6" max="6" width="11.38"/>
    <col customWidth="1" min="7" max="7" width="10.0"/>
    <col customWidth="1" min="8" max="9" width="10.63"/>
    <col customWidth="1" min="10" max="10" width="11.13"/>
    <col customWidth="1" min="11" max="11" width="11.5"/>
    <col customWidth="1" min="12" max="12" width="10.63"/>
    <col customWidth="1" min="13" max="19" width="10.38"/>
    <col customWidth="1" min="20" max="36" width="9.13"/>
  </cols>
  <sheetData>
    <row r="1" ht="11.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row>
    <row r="2" ht="15.0" customHeight="1">
      <c r="A2" s="4"/>
      <c r="B2" s="115" t="s">
        <v>291</v>
      </c>
      <c r="C2" s="247"/>
      <c r="D2" s="247"/>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row>
    <row r="3" ht="11.2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row>
    <row r="4" ht="12.75" customHeight="1">
      <c r="A4" s="4"/>
      <c r="B4" s="163" t="s">
        <v>292</v>
      </c>
      <c r="C4" s="164"/>
      <c r="D4" s="165"/>
      <c r="E4" s="140"/>
      <c r="F4" s="140"/>
      <c r="G4" s="140"/>
      <c r="H4" s="4"/>
      <c r="I4" s="4"/>
      <c r="J4" s="4"/>
      <c r="K4" s="4"/>
      <c r="L4" s="4"/>
      <c r="M4" s="170"/>
      <c r="N4" s="4"/>
      <c r="O4" s="4"/>
      <c r="P4" s="4"/>
      <c r="Q4" s="170"/>
      <c r="R4" s="170"/>
      <c r="S4" s="170"/>
      <c r="T4" s="170"/>
      <c r="U4" s="170"/>
      <c r="V4" s="170"/>
      <c r="W4" s="170"/>
      <c r="X4" s="170"/>
      <c r="Y4" s="170"/>
      <c r="Z4" s="170"/>
      <c r="AA4" s="170"/>
      <c r="AB4" s="170"/>
      <c r="AC4" s="170"/>
      <c r="AD4" s="170"/>
      <c r="AE4" s="170"/>
      <c r="AF4" s="170"/>
      <c r="AG4" s="170"/>
      <c r="AH4" s="170"/>
      <c r="AI4" s="170"/>
      <c r="AJ4" s="170"/>
    </row>
    <row r="5" ht="12.75" customHeight="1">
      <c r="A5" s="4"/>
      <c r="B5" s="248"/>
      <c r="C5" s="249"/>
      <c r="D5" s="250"/>
      <c r="E5" s="4"/>
      <c r="F5" s="4"/>
      <c r="G5" s="4"/>
      <c r="H5" s="4"/>
      <c r="I5" s="4"/>
      <c r="J5" s="4"/>
      <c r="K5" s="4"/>
      <c r="L5" s="4"/>
      <c r="M5" s="170"/>
      <c r="N5" s="4"/>
      <c r="O5" s="4"/>
      <c r="P5" s="4"/>
      <c r="Q5" s="170"/>
      <c r="R5" s="170"/>
      <c r="S5" s="170"/>
      <c r="T5" s="170"/>
      <c r="U5" s="170"/>
      <c r="V5" s="170"/>
      <c r="W5" s="170"/>
      <c r="X5" s="170"/>
      <c r="Y5" s="170"/>
      <c r="Z5" s="170"/>
      <c r="AA5" s="170"/>
      <c r="AB5" s="170"/>
      <c r="AC5" s="170"/>
      <c r="AD5" s="170"/>
      <c r="AE5" s="170"/>
      <c r="AF5" s="170"/>
      <c r="AG5" s="170"/>
      <c r="AH5" s="170"/>
      <c r="AI5" s="170"/>
      <c r="AJ5" s="170"/>
    </row>
    <row r="6" ht="11.25" customHeight="1">
      <c r="A6" s="4"/>
      <c r="B6" s="101" t="str">
        <f t="shared" ref="B6:B8" si="1">"NPV of FCFF @ "&amp;TEXT(B29,"0.00%")</f>
        <v>NPV of FCFF @ 6.00%</v>
      </c>
      <c r="C6" s="102"/>
      <c r="D6" s="205" t="str">
        <f t="array" ref="D6">NPV(B29,Cash_Flow!$D$70:$M$70)</f>
        <v>#REF!</v>
      </c>
      <c r="E6" s="4"/>
      <c r="F6" s="4"/>
      <c r="G6" s="4"/>
      <c r="H6" s="4"/>
      <c r="I6" s="4"/>
      <c r="J6" s="4"/>
      <c r="K6" s="4"/>
      <c r="L6" s="4"/>
      <c r="M6" s="58"/>
      <c r="N6" s="58"/>
      <c r="O6" s="4"/>
      <c r="P6" s="4"/>
      <c r="Q6" s="4"/>
      <c r="R6" s="4"/>
      <c r="S6" s="4"/>
      <c r="T6" s="4"/>
      <c r="U6" s="4"/>
      <c r="V6" s="4"/>
      <c r="W6" s="4"/>
      <c r="X6" s="4"/>
      <c r="Y6" s="4"/>
      <c r="Z6" s="4"/>
      <c r="AA6" s="4"/>
      <c r="AB6" s="4"/>
      <c r="AC6" s="4"/>
      <c r="AD6" s="4"/>
      <c r="AE6" s="4"/>
      <c r="AF6" s="4"/>
      <c r="AG6" s="4"/>
      <c r="AH6" s="4"/>
      <c r="AI6" s="4"/>
      <c r="AJ6" s="4"/>
    </row>
    <row r="7" ht="11.25" customHeight="1">
      <c r="A7" s="4"/>
      <c r="B7" s="101" t="str">
        <f t="shared" si="1"/>
        <v>NPV of FCFF @ 7.00%</v>
      </c>
      <c r="C7" s="102"/>
      <c r="D7" s="205" t="str">
        <f t="array" ref="D7">NPV(B30,Cash_Flow!$D$70:$M$70)</f>
        <v>#REF!</v>
      </c>
      <c r="E7" s="4"/>
      <c r="F7" s="4"/>
      <c r="G7" s="4"/>
      <c r="H7" s="4"/>
      <c r="I7" s="4"/>
      <c r="J7" s="4"/>
      <c r="K7" s="4"/>
      <c r="L7" s="4"/>
      <c r="M7" s="58"/>
      <c r="N7" s="58"/>
      <c r="O7" s="4"/>
      <c r="P7" s="4"/>
      <c r="Q7" s="4"/>
      <c r="R7" s="4"/>
      <c r="S7" s="4"/>
      <c r="T7" s="4"/>
      <c r="U7" s="4"/>
      <c r="V7" s="4"/>
      <c r="W7" s="4"/>
      <c r="X7" s="4"/>
      <c r="Y7" s="4"/>
      <c r="Z7" s="4"/>
      <c r="AA7" s="4"/>
      <c r="AB7" s="4"/>
      <c r="AC7" s="4"/>
      <c r="AD7" s="4"/>
      <c r="AE7" s="4"/>
      <c r="AF7" s="4"/>
      <c r="AG7" s="4"/>
      <c r="AH7" s="4"/>
      <c r="AI7" s="4"/>
      <c r="AJ7" s="4"/>
    </row>
    <row r="8" ht="11.25" customHeight="1">
      <c r="A8" s="4"/>
      <c r="B8" s="101" t="str">
        <f t="shared" si="1"/>
        <v>NPV of FCFF @ 8.00%</v>
      </c>
      <c r="C8" s="102"/>
      <c r="D8" s="205" t="str">
        <f t="array" ref="D8">NPV(B31,Cash_Flow!$D$70:$M$70)</f>
        <v>#REF!</v>
      </c>
      <c r="E8" s="4"/>
      <c r="F8" s="4"/>
      <c r="G8" s="4"/>
      <c r="H8" s="4"/>
      <c r="I8" s="4"/>
      <c r="J8" s="4"/>
      <c r="K8" s="4"/>
      <c r="L8" s="4"/>
      <c r="M8" s="58"/>
      <c r="N8" s="58"/>
      <c r="O8" s="4"/>
      <c r="P8" s="4"/>
      <c r="Q8" s="4"/>
      <c r="R8" s="4"/>
      <c r="S8" s="4"/>
      <c r="T8" s="4"/>
      <c r="U8" s="4"/>
      <c r="V8" s="4"/>
      <c r="W8" s="4"/>
      <c r="X8" s="4"/>
      <c r="Y8" s="4"/>
      <c r="Z8" s="4"/>
      <c r="AA8" s="4"/>
      <c r="AB8" s="4"/>
      <c r="AC8" s="4"/>
      <c r="AD8" s="4"/>
      <c r="AE8" s="4"/>
      <c r="AF8" s="4"/>
      <c r="AG8" s="4"/>
      <c r="AH8" s="4"/>
      <c r="AI8" s="4"/>
      <c r="AJ8" s="4"/>
    </row>
    <row r="9" ht="11.25" customHeight="1">
      <c r="A9" s="4"/>
      <c r="B9" s="4"/>
      <c r="C9" s="4"/>
      <c r="D9" s="4"/>
      <c r="E9" s="4"/>
      <c r="F9" s="4"/>
      <c r="G9" s="4"/>
      <c r="H9" s="4"/>
      <c r="I9" s="4"/>
      <c r="J9" s="4"/>
      <c r="K9" s="4"/>
      <c r="L9" s="4"/>
      <c r="M9" s="58"/>
      <c r="N9" s="58"/>
      <c r="O9" s="4"/>
      <c r="P9" s="4"/>
      <c r="Q9" s="4"/>
      <c r="R9" s="4"/>
      <c r="S9" s="4"/>
      <c r="T9" s="4"/>
      <c r="U9" s="4"/>
      <c r="V9" s="4"/>
      <c r="W9" s="4"/>
      <c r="X9" s="4"/>
      <c r="Y9" s="4"/>
      <c r="Z9" s="4"/>
      <c r="AA9" s="4"/>
      <c r="AB9" s="4"/>
      <c r="AC9" s="4"/>
      <c r="AD9" s="4"/>
      <c r="AE9" s="4"/>
      <c r="AF9" s="4"/>
      <c r="AG9" s="4"/>
      <c r="AH9" s="4"/>
      <c r="AI9" s="4"/>
      <c r="AJ9" s="4"/>
    </row>
    <row r="10" ht="11.25" customHeight="1">
      <c r="A10" s="4"/>
      <c r="B10" s="4"/>
      <c r="C10" s="4"/>
      <c r="D10" s="4"/>
      <c r="E10" s="4"/>
      <c r="F10" s="4"/>
      <c r="G10" s="4"/>
      <c r="H10" s="4"/>
      <c r="I10" s="4"/>
      <c r="J10" s="4"/>
      <c r="K10" s="4"/>
      <c r="L10" s="4"/>
      <c r="M10" s="58"/>
      <c r="N10" s="58"/>
      <c r="O10" s="4"/>
      <c r="P10" s="4"/>
      <c r="Q10" s="4"/>
      <c r="R10" s="4"/>
      <c r="S10" s="4"/>
      <c r="T10" s="4"/>
      <c r="U10" s="4"/>
      <c r="V10" s="4"/>
      <c r="W10" s="4"/>
      <c r="X10" s="4"/>
      <c r="Y10" s="4"/>
      <c r="Z10" s="4"/>
      <c r="AA10" s="4"/>
      <c r="AB10" s="4"/>
      <c r="AC10" s="4"/>
      <c r="AD10" s="4"/>
      <c r="AE10" s="4"/>
      <c r="AF10" s="4"/>
      <c r="AG10" s="4"/>
      <c r="AH10" s="4"/>
      <c r="AI10" s="4"/>
      <c r="AJ10" s="4"/>
    </row>
    <row r="11" ht="12.0" customHeight="1">
      <c r="A11" s="4"/>
      <c r="B11" s="163" t="s">
        <v>293</v>
      </c>
      <c r="C11" s="164"/>
      <c r="D11" s="165"/>
      <c r="E11" s="4"/>
      <c r="F11" s="4"/>
      <c r="G11" s="4"/>
      <c r="H11" s="163" t="s">
        <v>294</v>
      </c>
      <c r="I11" s="164"/>
      <c r="J11" s="164"/>
      <c r="K11" s="164"/>
      <c r="L11" s="165"/>
      <c r="M11" s="4"/>
      <c r="N11" s="4"/>
      <c r="O11" s="4"/>
      <c r="P11" s="4"/>
      <c r="Q11" s="4"/>
      <c r="R11" s="4"/>
      <c r="S11" s="4"/>
      <c r="T11" s="4"/>
      <c r="U11" s="4"/>
      <c r="V11" s="4"/>
      <c r="W11" s="4"/>
      <c r="X11" s="4"/>
      <c r="Y11" s="4"/>
      <c r="Z11" s="4"/>
      <c r="AA11" s="4"/>
      <c r="AB11" s="4"/>
      <c r="AC11" s="4"/>
      <c r="AD11" s="4"/>
      <c r="AE11" s="4"/>
      <c r="AF11" s="4"/>
      <c r="AG11" s="4"/>
      <c r="AH11" s="4"/>
      <c r="AI11" s="4"/>
      <c r="AJ11" s="4"/>
    </row>
    <row r="12" ht="12.75" customHeight="1">
      <c r="A12" s="4"/>
      <c r="B12" s="248"/>
      <c r="C12" s="249"/>
      <c r="D12" s="250"/>
      <c r="E12" s="4"/>
      <c r="F12" s="4"/>
      <c r="G12" s="4"/>
      <c r="H12" s="97"/>
      <c r="I12" s="28"/>
      <c r="J12" s="251">
        <f t="shared" ref="J12:L12" si="2">C28</f>
        <v>4</v>
      </c>
      <c r="K12" s="251">
        <f t="shared" si="2"/>
        <v>6</v>
      </c>
      <c r="L12" s="251">
        <f t="shared" si="2"/>
        <v>8</v>
      </c>
      <c r="M12" s="4"/>
      <c r="N12" s="4"/>
      <c r="O12" s="4"/>
      <c r="P12" s="4"/>
      <c r="Q12" s="4"/>
      <c r="R12" s="4"/>
      <c r="S12" s="4"/>
      <c r="T12" s="4"/>
      <c r="U12" s="4"/>
      <c r="V12" s="4"/>
      <c r="W12" s="4"/>
      <c r="X12" s="4"/>
      <c r="Y12" s="4"/>
      <c r="Z12" s="4"/>
      <c r="AA12" s="4"/>
      <c r="AB12" s="4"/>
      <c r="AC12" s="4"/>
      <c r="AD12" s="4"/>
      <c r="AE12" s="4"/>
      <c r="AF12" s="4"/>
      <c r="AG12" s="4"/>
      <c r="AH12" s="4"/>
      <c r="AI12" s="4"/>
      <c r="AJ12" s="4"/>
    </row>
    <row r="13" ht="11.25" customHeight="1">
      <c r="A13" s="4"/>
      <c r="B13" s="101" t="str">
        <f>"Terminal Value @ "&amp;TEXT(C28,"0.0x")</f>
        <v>Terminal Value @ 4.0x</v>
      </c>
      <c r="C13" s="102"/>
      <c r="D13" s="205">
        <f>(Cash_Flow!$M$61+Cash_Flow!$M$62+Cash_Flow!$M$66)*C28</f>
        <v>2819044.496</v>
      </c>
      <c r="E13" s="4"/>
      <c r="F13" s="4"/>
      <c r="G13" s="4"/>
      <c r="H13" s="101" t="str">
        <f t="shared" ref="H13:H15" si="3">"Terminal Value @ "&amp;TEXT(B29,"0.00%")</f>
        <v>Terminal Value @ 6.00%</v>
      </c>
      <c r="I13" s="102"/>
      <c r="J13" s="205">
        <f>$D$13/(1+B29)^Cash_Flow!$M$5</f>
        <v>1574139.722</v>
      </c>
      <c r="K13" s="205">
        <f>$D$14/(1+B29)^Cash_Flow!$M$5</f>
        <v>2361209.583</v>
      </c>
      <c r="L13" s="205">
        <f>$D$15/(1+B29)^Cash_Flow!$M$5</f>
        <v>3148279.445</v>
      </c>
      <c r="M13" s="4"/>
      <c r="N13" s="4"/>
      <c r="O13" s="4"/>
      <c r="P13" s="4"/>
      <c r="Q13" s="4"/>
      <c r="R13" s="4"/>
      <c r="S13" s="4"/>
      <c r="T13" s="4"/>
      <c r="U13" s="4"/>
      <c r="V13" s="4"/>
      <c r="W13" s="4"/>
      <c r="X13" s="4"/>
      <c r="Y13" s="4"/>
      <c r="Z13" s="4"/>
      <c r="AA13" s="4"/>
      <c r="AB13" s="4"/>
      <c r="AC13" s="4"/>
      <c r="AD13" s="4"/>
      <c r="AE13" s="4"/>
      <c r="AF13" s="4"/>
      <c r="AG13" s="4"/>
      <c r="AH13" s="4"/>
      <c r="AI13" s="4"/>
      <c r="AJ13" s="4"/>
    </row>
    <row r="14" ht="11.25" customHeight="1">
      <c r="A14" s="4"/>
      <c r="B14" s="101" t="str">
        <f>"Terminal Value @ "&amp;TEXT(D28,"0.0x")</f>
        <v>Terminal Value @ 6.0x</v>
      </c>
      <c r="C14" s="102"/>
      <c r="D14" s="205">
        <f>(Cash_Flow!$M$61+Cash_Flow!$M$62+Cash_Flow!$M$66)*D28</f>
        <v>4228566.744</v>
      </c>
      <c r="E14" s="4"/>
      <c r="F14" s="4"/>
      <c r="G14" s="4"/>
      <c r="H14" s="101" t="str">
        <f t="shared" si="3"/>
        <v>Terminal Value @ 7.00%</v>
      </c>
      <c r="I14" s="102"/>
      <c r="J14" s="205">
        <f>$D$13/(1+B30)^Cash_Flow!$M$5</f>
        <v>1433059.274</v>
      </c>
      <c r="K14" s="205">
        <f>$D$14/(1+B30)^Cash_Flow!$M$5</f>
        <v>2149588.911</v>
      </c>
      <c r="L14" s="205">
        <f>$D$15/(1+B30)^Cash_Flow!$M$5</f>
        <v>2866118.548</v>
      </c>
      <c r="M14" s="4"/>
      <c r="N14" s="4"/>
      <c r="O14" s="4"/>
      <c r="P14" s="4"/>
      <c r="Q14" s="4"/>
      <c r="R14" s="4"/>
      <c r="S14" s="4"/>
      <c r="T14" s="4"/>
      <c r="U14" s="4"/>
      <c r="V14" s="4"/>
      <c r="W14" s="4"/>
      <c r="X14" s="4"/>
      <c r="Y14" s="4"/>
      <c r="Z14" s="4"/>
      <c r="AA14" s="4"/>
      <c r="AB14" s="4"/>
      <c r="AC14" s="4"/>
      <c r="AD14" s="4"/>
      <c r="AE14" s="4"/>
      <c r="AF14" s="4"/>
      <c r="AG14" s="4"/>
      <c r="AH14" s="4"/>
      <c r="AI14" s="4"/>
      <c r="AJ14" s="4"/>
    </row>
    <row r="15" ht="11.25" customHeight="1">
      <c r="A15" s="4"/>
      <c r="B15" s="101" t="str">
        <f>"Terminal Value @ "&amp;TEXT(E28,"0.0x")</f>
        <v>Terminal Value @ 8.0x</v>
      </c>
      <c r="C15" s="102"/>
      <c r="D15" s="205">
        <f>(Cash_Flow!$M$61+Cash_Flow!$M$62+Cash_Flow!$M$66)*E28</f>
        <v>5638088.991</v>
      </c>
      <c r="E15" s="4"/>
      <c r="F15" s="4"/>
      <c r="G15" s="4"/>
      <c r="H15" s="101" t="str">
        <f t="shared" si="3"/>
        <v>Terminal Value @ 8.00%</v>
      </c>
      <c r="I15" s="102"/>
      <c r="J15" s="205">
        <f>$D$13/(1+B31)^Cash_Flow!$M$5</f>
        <v>1305763.053</v>
      </c>
      <c r="K15" s="205">
        <f>$D$14/(1+B31)^Cash_Flow!$M$5</f>
        <v>1958644.58</v>
      </c>
      <c r="L15" s="205">
        <f>$D$15/(1+B31)^Cash_Flow!$M$5</f>
        <v>2611526.106</v>
      </c>
      <c r="M15" s="4"/>
      <c r="N15" s="4"/>
      <c r="O15" s="4"/>
      <c r="P15" s="4"/>
      <c r="Q15" s="4"/>
      <c r="R15" s="4"/>
      <c r="S15" s="4"/>
      <c r="T15" s="4"/>
      <c r="U15" s="4"/>
      <c r="V15" s="4"/>
      <c r="W15" s="4"/>
      <c r="X15" s="4"/>
      <c r="Y15" s="4"/>
      <c r="Z15" s="4"/>
      <c r="AA15" s="4"/>
      <c r="AB15" s="4"/>
      <c r="AC15" s="4"/>
      <c r="AD15" s="4"/>
      <c r="AE15" s="4"/>
      <c r="AF15" s="4"/>
      <c r="AG15" s="4"/>
      <c r="AH15" s="4"/>
      <c r="AI15" s="4"/>
      <c r="AJ15" s="4"/>
    </row>
    <row r="16" ht="11.25" customHeight="1">
      <c r="A16" s="4"/>
      <c r="B16" s="58"/>
      <c r="C16" s="58"/>
      <c r="D16" s="58"/>
      <c r="E16" s="58"/>
      <c r="F16" s="58"/>
      <c r="G16" s="58"/>
      <c r="H16" s="58"/>
      <c r="I16" s="58"/>
      <c r="J16" s="58"/>
      <c r="K16" s="58"/>
      <c r="L16" s="58"/>
      <c r="M16" s="4"/>
      <c r="N16" s="4"/>
      <c r="O16" s="4"/>
      <c r="P16" s="4"/>
      <c r="Q16" s="4"/>
      <c r="R16" s="4"/>
      <c r="S16" s="4"/>
      <c r="T16" s="4"/>
      <c r="U16" s="4"/>
      <c r="V16" s="4"/>
      <c r="W16" s="4"/>
      <c r="X16" s="4"/>
      <c r="Y16" s="4"/>
      <c r="Z16" s="4"/>
      <c r="AA16" s="4"/>
      <c r="AB16" s="4"/>
      <c r="AC16" s="4"/>
      <c r="AD16" s="4"/>
      <c r="AE16" s="4"/>
      <c r="AF16" s="4"/>
      <c r="AG16" s="4"/>
      <c r="AH16" s="4"/>
      <c r="AI16" s="4"/>
      <c r="AJ16" s="4"/>
    </row>
    <row r="17" ht="11.25" customHeight="1">
      <c r="A17" s="4"/>
      <c r="B17" s="58"/>
      <c r="C17" s="58"/>
      <c r="D17" s="58"/>
      <c r="E17" s="58"/>
      <c r="F17" s="58"/>
      <c r="G17" s="58"/>
      <c r="H17" s="58"/>
      <c r="I17" s="58"/>
      <c r="J17" s="58"/>
      <c r="K17" s="58"/>
      <c r="L17" s="58"/>
      <c r="M17" s="4"/>
      <c r="N17" s="4"/>
      <c r="O17" s="4"/>
      <c r="P17" s="4"/>
      <c r="Q17" s="4"/>
      <c r="R17" s="4"/>
      <c r="S17" s="4"/>
      <c r="T17" s="4"/>
      <c r="U17" s="4"/>
      <c r="V17" s="4"/>
      <c r="W17" s="4"/>
      <c r="X17" s="4"/>
      <c r="Y17" s="4"/>
      <c r="Z17" s="4"/>
      <c r="AA17" s="4"/>
      <c r="AB17" s="4"/>
      <c r="AC17" s="4"/>
      <c r="AD17" s="4"/>
      <c r="AE17" s="4"/>
      <c r="AF17" s="4"/>
      <c r="AG17" s="4"/>
      <c r="AH17" s="4"/>
      <c r="AI17" s="4"/>
      <c r="AJ17" s="4"/>
    </row>
    <row r="18" ht="12.0" customHeight="1">
      <c r="A18" s="4"/>
      <c r="B18" s="163" t="s">
        <v>295</v>
      </c>
      <c r="C18" s="164"/>
      <c r="D18" s="164"/>
      <c r="E18" s="164"/>
      <c r="F18" s="165"/>
      <c r="G18" s="4"/>
      <c r="H18" s="163" t="s">
        <v>296</v>
      </c>
      <c r="I18" s="164"/>
      <c r="J18" s="164"/>
      <c r="K18" s="164"/>
      <c r="L18" s="165"/>
      <c r="M18" s="4"/>
      <c r="N18" s="4"/>
      <c r="O18" s="4"/>
      <c r="P18" s="4"/>
      <c r="Q18" s="4"/>
      <c r="R18" s="4"/>
      <c r="S18" s="4"/>
      <c r="T18" s="4"/>
      <c r="U18" s="4"/>
      <c r="V18" s="4"/>
      <c r="W18" s="4"/>
      <c r="X18" s="4"/>
      <c r="Y18" s="4"/>
      <c r="Z18" s="4"/>
      <c r="AA18" s="4"/>
      <c r="AB18" s="4"/>
      <c r="AC18" s="4"/>
      <c r="AD18" s="4"/>
      <c r="AE18" s="4"/>
      <c r="AF18" s="4"/>
      <c r="AG18" s="4"/>
      <c r="AH18" s="4"/>
      <c r="AI18" s="4"/>
      <c r="AJ18" s="4"/>
    </row>
    <row r="19" ht="11.25" customHeight="1">
      <c r="A19" s="4"/>
      <c r="B19" s="97"/>
      <c r="C19" s="28"/>
      <c r="D19" s="252">
        <f t="shared" ref="D19:F19" si="4">H28</f>
        <v>0.025</v>
      </c>
      <c r="E19" s="252">
        <f t="shared" si="4"/>
        <v>0.03</v>
      </c>
      <c r="F19" s="252">
        <f t="shared" si="4"/>
        <v>0.035</v>
      </c>
      <c r="G19" s="4"/>
      <c r="H19" s="97"/>
      <c r="I19" s="28"/>
      <c r="J19" s="252">
        <f t="shared" ref="J19:L19" si="5">H28</f>
        <v>0.025</v>
      </c>
      <c r="K19" s="252">
        <f t="shared" si="5"/>
        <v>0.03</v>
      </c>
      <c r="L19" s="252">
        <f t="shared" si="5"/>
        <v>0.035</v>
      </c>
      <c r="M19" s="4"/>
      <c r="N19" s="4"/>
      <c r="O19" s="4"/>
      <c r="P19" s="4"/>
      <c r="Q19" s="4"/>
      <c r="R19" s="4"/>
      <c r="S19" s="4"/>
      <c r="T19" s="4"/>
      <c r="U19" s="4"/>
      <c r="V19" s="4"/>
      <c r="W19" s="4"/>
      <c r="X19" s="4"/>
      <c r="Y19" s="4"/>
      <c r="Z19" s="4"/>
      <c r="AA19" s="4"/>
      <c r="AB19" s="4"/>
      <c r="AC19" s="4"/>
      <c r="AD19" s="4"/>
      <c r="AE19" s="4"/>
      <c r="AF19" s="4"/>
      <c r="AG19" s="4"/>
      <c r="AH19" s="4"/>
      <c r="AI19" s="4"/>
      <c r="AJ19" s="4"/>
    </row>
    <row r="20" ht="11.25" customHeight="1">
      <c r="A20" s="4"/>
      <c r="B20" s="101" t="str">
        <f t="shared" ref="B20:B22" si="6">"Terminal Value @ "&amp;TEXT(G29,"0.00%")</f>
        <v>Terminal Value @ 6.00%</v>
      </c>
      <c r="C20" s="102"/>
      <c r="D20" s="205" t="str">
        <f>(Cash_Flow!$M$70*(1+D$19))/($G29-D$19)</f>
        <v>#REF!</v>
      </c>
      <c r="E20" s="205" t="str">
        <f>(Cash_Flow!$M$70*(1+E$19))/($G29-E$19)</f>
        <v>#REF!</v>
      </c>
      <c r="F20" s="205" t="str">
        <f>(Cash_Flow!$M$70*(1+F$19))/($G29-F$19)</f>
        <v>#REF!</v>
      </c>
      <c r="G20" s="4"/>
      <c r="H20" s="101" t="str">
        <f t="shared" ref="H20:H22" si="7">"Terminal Value @ "&amp;TEXT(G29,"0.00%")</f>
        <v>Terminal Value @ 6.00%</v>
      </c>
      <c r="I20" s="102"/>
      <c r="J20" s="205" t="str">
        <f>D20/(1+$G29)^Cash_Flow!$M$5</f>
        <v>#REF!</v>
      </c>
      <c r="K20" s="205" t="str">
        <f>E20/(1+$G29)^Cash_Flow!$M$5</f>
        <v>#REF!</v>
      </c>
      <c r="L20" s="205" t="str">
        <f>F20/(1+$G29)^Cash_Flow!$M$5</f>
        <v>#REF!</v>
      </c>
      <c r="M20" s="4"/>
      <c r="N20" s="4"/>
      <c r="O20" s="4"/>
      <c r="P20" s="4"/>
      <c r="Q20" s="4"/>
      <c r="R20" s="4"/>
      <c r="S20" s="4"/>
      <c r="T20" s="4"/>
      <c r="U20" s="4"/>
      <c r="V20" s="4"/>
      <c r="W20" s="4"/>
      <c r="X20" s="4"/>
      <c r="Y20" s="4"/>
      <c r="Z20" s="4"/>
      <c r="AA20" s="4"/>
      <c r="AB20" s="4"/>
      <c r="AC20" s="4"/>
      <c r="AD20" s="4"/>
      <c r="AE20" s="4"/>
      <c r="AF20" s="4"/>
      <c r="AG20" s="4"/>
      <c r="AH20" s="4"/>
      <c r="AI20" s="4"/>
      <c r="AJ20" s="4"/>
    </row>
    <row r="21" ht="11.25" customHeight="1">
      <c r="A21" s="4"/>
      <c r="B21" s="101" t="str">
        <f t="shared" si="6"/>
        <v>Terminal Value @ 7.00%</v>
      </c>
      <c r="C21" s="102"/>
      <c r="D21" s="205" t="str">
        <f>(Cash_Flow!$M$70*(1+D$19))/($G30-D$19)</f>
        <v>#REF!</v>
      </c>
      <c r="E21" s="205" t="str">
        <f>(Cash_Flow!$M$70*(1+E$19))/($G30-E$19)</f>
        <v>#REF!</v>
      </c>
      <c r="F21" s="205" t="str">
        <f>(Cash_Flow!$M$70*(1+F$19))/($G30-F$19)</f>
        <v>#REF!</v>
      </c>
      <c r="G21" s="4"/>
      <c r="H21" s="101" t="str">
        <f t="shared" si="7"/>
        <v>Terminal Value @ 7.00%</v>
      </c>
      <c r="I21" s="102"/>
      <c r="J21" s="205" t="str">
        <f>D21/(1+$G30)^Cash_Flow!$M$5</f>
        <v>#REF!</v>
      </c>
      <c r="K21" s="205" t="str">
        <f>E21/(1+$G30)^Cash_Flow!$M$5</f>
        <v>#REF!</v>
      </c>
      <c r="L21" s="205" t="str">
        <f>F21/(1+$G30)^Cash_Flow!$M$5</f>
        <v>#REF!</v>
      </c>
      <c r="M21" s="4"/>
      <c r="N21" s="4"/>
      <c r="O21" s="4"/>
      <c r="P21" s="4"/>
      <c r="Q21" s="4"/>
      <c r="R21" s="4"/>
      <c r="S21" s="4"/>
      <c r="T21" s="4"/>
      <c r="U21" s="4"/>
      <c r="V21" s="4"/>
      <c r="W21" s="4"/>
      <c r="X21" s="4"/>
      <c r="Y21" s="4"/>
      <c r="Z21" s="4"/>
      <c r="AA21" s="4"/>
      <c r="AB21" s="4"/>
      <c r="AC21" s="4"/>
      <c r="AD21" s="4"/>
      <c r="AE21" s="4"/>
      <c r="AF21" s="4"/>
      <c r="AG21" s="4"/>
      <c r="AH21" s="4"/>
      <c r="AI21" s="4"/>
      <c r="AJ21" s="4"/>
    </row>
    <row r="22" ht="11.25" customHeight="1">
      <c r="A22" s="4"/>
      <c r="B22" s="101" t="str">
        <f t="shared" si="6"/>
        <v>Terminal Value @ 8.00%</v>
      </c>
      <c r="C22" s="102"/>
      <c r="D22" s="205" t="str">
        <f>(Cash_Flow!$M$70*(1+D$19))/($G31-D$19)</f>
        <v>#REF!</v>
      </c>
      <c r="E22" s="205" t="str">
        <f>(Cash_Flow!$M$70*(1+E$19))/($G31-E$19)</f>
        <v>#REF!</v>
      </c>
      <c r="F22" s="205" t="str">
        <f>(Cash_Flow!$M$70*(1+F$19))/($G31-F$19)</f>
        <v>#REF!</v>
      </c>
      <c r="G22" s="4"/>
      <c r="H22" s="101" t="str">
        <f t="shared" si="7"/>
        <v>Terminal Value @ 8.00%</v>
      </c>
      <c r="I22" s="102"/>
      <c r="J22" s="205" t="str">
        <f>D22/(1+$G31)^Cash_Flow!$M$5</f>
        <v>#REF!</v>
      </c>
      <c r="K22" s="205" t="str">
        <f>E22/(1+$G31)^Cash_Flow!$M$5</f>
        <v>#REF!</v>
      </c>
      <c r="L22" s="205" t="str">
        <f>F22/(1+$G31)^Cash_Flow!$M$5</f>
        <v>#REF!</v>
      </c>
      <c r="M22" s="4"/>
      <c r="N22" s="4"/>
      <c r="O22" s="4"/>
      <c r="P22" s="4"/>
      <c r="Q22" s="4"/>
      <c r="R22" s="4"/>
      <c r="S22" s="4"/>
      <c r="T22" s="4"/>
      <c r="U22" s="4"/>
      <c r="V22" s="4"/>
      <c r="W22" s="4"/>
      <c r="X22" s="4"/>
      <c r="Y22" s="4"/>
      <c r="Z22" s="4"/>
      <c r="AA22" s="4"/>
      <c r="AB22" s="4"/>
      <c r="AC22" s="4"/>
      <c r="AD22" s="4"/>
      <c r="AE22" s="4"/>
      <c r="AF22" s="4"/>
      <c r="AG22" s="4"/>
      <c r="AH22" s="4"/>
      <c r="AI22" s="4"/>
      <c r="AJ22" s="4"/>
    </row>
    <row r="23" ht="11.25" customHeight="1">
      <c r="A23" s="4"/>
      <c r="B23" s="4"/>
      <c r="C23" s="58"/>
      <c r="D23" s="58"/>
      <c r="E23" s="58"/>
      <c r="F23" s="58"/>
      <c r="G23" s="58"/>
      <c r="H23" s="58"/>
      <c r="I23" s="58"/>
      <c r="J23" s="58"/>
      <c r="K23" s="58"/>
      <c r="L23" s="58"/>
      <c r="M23" s="58"/>
      <c r="N23" s="58"/>
      <c r="O23" s="4"/>
      <c r="P23" s="4"/>
      <c r="Q23" s="4"/>
      <c r="R23" s="4"/>
      <c r="S23" s="4"/>
      <c r="T23" s="4"/>
      <c r="U23" s="4"/>
      <c r="V23" s="4"/>
      <c r="W23" s="4"/>
      <c r="X23" s="4"/>
      <c r="Y23" s="4"/>
      <c r="Z23" s="4"/>
      <c r="AA23" s="4"/>
      <c r="AB23" s="4"/>
      <c r="AC23" s="4"/>
      <c r="AD23" s="4"/>
      <c r="AE23" s="4"/>
      <c r="AF23" s="4"/>
      <c r="AG23" s="4"/>
      <c r="AH23" s="4"/>
      <c r="AI23" s="4"/>
      <c r="AJ23" s="4"/>
    </row>
    <row r="24" ht="11.25" customHeight="1">
      <c r="A24" s="4"/>
      <c r="B24" s="4"/>
      <c r="C24" s="4"/>
      <c r="D24" s="58"/>
      <c r="E24" s="58"/>
      <c r="F24" s="58"/>
      <c r="G24" s="58"/>
      <c r="H24" s="58"/>
      <c r="I24" s="58"/>
      <c r="J24" s="58"/>
      <c r="K24" s="58"/>
      <c r="L24" s="58"/>
      <c r="M24" s="58"/>
      <c r="N24" s="58"/>
      <c r="O24" s="4"/>
      <c r="P24" s="4"/>
      <c r="Q24" s="4"/>
      <c r="R24" s="4"/>
      <c r="S24" s="4"/>
      <c r="T24" s="4"/>
      <c r="U24" s="4"/>
      <c r="V24" s="4"/>
      <c r="W24" s="4"/>
      <c r="X24" s="4"/>
      <c r="Y24" s="4"/>
      <c r="Z24" s="4"/>
      <c r="AA24" s="4"/>
      <c r="AB24" s="4"/>
      <c r="AC24" s="4"/>
      <c r="AD24" s="4"/>
      <c r="AE24" s="4"/>
      <c r="AF24" s="4"/>
      <c r="AG24" s="4"/>
      <c r="AH24" s="4"/>
      <c r="AI24" s="4"/>
      <c r="AJ24" s="4"/>
    </row>
    <row r="25" ht="11.25" customHeight="1">
      <c r="A25" s="4"/>
      <c r="B25" s="4"/>
      <c r="C25" s="4"/>
      <c r="D25" s="58"/>
      <c r="E25" s="58"/>
      <c r="F25" s="58"/>
      <c r="G25" s="58"/>
      <c r="H25" s="58"/>
      <c r="I25" s="58"/>
      <c r="J25" s="58"/>
      <c r="K25" s="58"/>
      <c r="L25" s="58"/>
      <c r="M25" s="58"/>
      <c r="N25" s="58"/>
      <c r="O25" s="4"/>
      <c r="P25" s="4"/>
      <c r="Q25" s="4"/>
      <c r="R25" s="4"/>
      <c r="S25" s="4"/>
      <c r="T25" s="4"/>
      <c r="U25" s="4"/>
      <c r="V25" s="4"/>
      <c r="W25" s="4"/>
      <c r="X25" s="4"/>
      <c r="Y25" s="4"/>
      <c r="Z25" s="4"/>
      <c r="AA25" s="4"/>
      <c r="AB25" s="4"/>
      <c r="AC25" s="4"/>
      <c r="AD25" s="4"/>
      <c r="AE25" s="4"/>
      <c r="AF25" s="4"/>
      <c r="AG25" s="4"/>
      <c r="AH25" s="4"/>
      <c r="AI25" s="4"/>
      <c r="AJ25" s="4"/>
    </row>
    <row r="26" ht="12.0" customHeight="1">
      <c r="A26" s="4"/>
      <c r="B26" s="253" t="s">
        <v>297</v>
      </c>
      <c r="C26" s="164"/>
      <c r="D26" s="164"/>
      <c r="E26" s="164"/>
      <c r="F26" s="164"/>
      <c r="G26" s="164"/>
      <c r="H26" s="164"/>
      <c r="I26" s="164"/>
      <c r="J26" s="165"/>
      <c r="K26" s="58"/>
      <c r="L26" s="254" t="s">
        <v>298</v>
      </c>
      <c r="M26" s="164"/>
      <c r="N26" s="164"/>
      <c r="O26" s="164"/>
      <c r="P26" s="165"/>
      <c r="Q26" s="4"/>
      <c r="R26" s="4"/>
      <c r="S26" s="4"/>
      <c r="T26" s="4"/>
      <c r="U26" s="4"/>
      <c r="V26" s="4"/>
      <c r="W26" s="4"/>
      <c r="X26" s="4"/>
      <c r="Y26" s="4"/>
      <c r="Z26" s="4"/>
      <c r="AA26" s="4"/>
      <c r="AB26" s="4"/>
      <c r="AC26" s="4"/>
      <c r="AD26" s="4"/>
      <c r="AE26" s="4"/>
      <c r="AF26" s="4"/>
      <c r="AG26" s="4"/>
      <c r="AH26" s="4"/>
      <c r="AI26" s="4"/>
      <c r="AJ26" s="4"/>
    </row>
    <row r="27" ht="12.0" customHeight="1">
      <c r="A27" s="4"/>
      <c r="B27" s="59"/>
      <c r="C27" s="163" t="s">
        <v>299</v>
      </c>
      <c r="D27" s="164"/>
      <c r="E27" s="255"/>
      <c r="F27" s="256"/>
      <c r="G27" s="85"/>
      <c r="H27" s="257" t="s">
        <v>300</v>
      </c>
      <c r="I27" s="164"/>
      <c r="J27" s="165"/>
      <c r="K27" s="58"/>
      <c r="L27" s="258"/>
      <c r="M27" s="249"/>
      <c r="N27" s="249"/>
      <c r="O27" s="207"/>
      <c r="P27" s="36"/>
      <c r="Q27" s="4"/>
      <c r="R27" s="4"/>
      <c r="S27" s="4"/>
      <c r="T27" s="4"/>
      <c r="U27" s="4"/>
      <c r="V27" s="4"/>
      <c r="W27" s="4"/>
      <c r="X27" s="4"/>
      <c r="Y27" s="4"/>
      <c r="Z27" s="4"/>
      <c r="AA27" s="4"/>
      <c r="AB27" s="4"/>
      <c r="AC27" s="4"/>
      <c r="AD27" s="4"/>
      <c r="AE27" s="4"/>
      <c r="AF27" s="4"/>
      <c r="AG27" s="4"/>
      <c r="AH27" s="4"/>
      <c r="AI27" s="4"/>
      <c r="AJ27" s="4"/>
    </row>
    <row r="28" ht="12.0" customHeight="1">
      <c r="A28" s="4"/>
      <c r="B28" s="59"/>
      <c r="C28" s="259">
        <f>D28-ebitda_multiple_range</f>
        <v>4</v>
      </c>
      <c r="D28" s="259">
        <f>ebitda_multiple</f>
        <v>6</v>
      </c>
      <c r="E28" s="260">
        <f>D28+ebitda_multiple_range</f>
        <v>8</v>
      </c>
      <c r="F28" s="261"/>
      <c r="G28" s="85"/>
      <c r="H28" s="262">
        <f>I28-perpetuity_growth_range</f>
        <v>0.025</v>
      </c>
      <c r="I28" s="262">
        <f>perpetuity_growth_rate</f>
        <v>0.03</v>
      </c>
      <c r="J28" s="262">
        <f>I28+perpetuity_growth_range</f>
        <v>0.035</v>
      </c>
      <c r="K28" s="58"/>
      <c r="L28" s="263"/>
      <c r="M28" s="28"/>
      <c r="N28" s="257" t="str">
        <f t="shared" ref="N28:N29" si="10">C27</f>
        <v>EBITDA Multiple Method</v>
      </c>
      <c r="O28" s="164"/>
      <c r="P28" s="165"/>
      <c r="Q28" s="4"/>
      <c r="R28" s="4"/>
      <c r="S28" s="4"/>
      <c r="T28" s="4"/>
      <c r="U28" s="4"/>
      <c r="V28" s="4"/>
      <c r="W28" s="4"/>
      <c r="X28" s="4"/>
      <c r="Y28" s="4"/>
      <c r="Z28" s="4"/>
      <c r="AA28" s="4"/>
      <c r="AB28" s="4"/>
      <c r="AC28" s="4"/>
      <c r="AD28" s="4"/>
      <c r="AE28" s="4"/>
      <c r="AF28" s="4"/>
      <c r="AG28" s="4"/>
      <c r="AH28" s="4"/>
      <c r="AI28" s="4"/>
      <c r="AJ28" s="4"/>
    </row>
    <row r="29" ht="12.0" customHeight="1">
      <c r="A29" s="4"/>
      <c r="B29" s="262">
        <f>B30-discount_rate_range</f>
        <v>0.06</v>
      </c>
      <c r="C29" s="237" t="str">
        <f t="shared" ref="C29:E29" si="8">$D6+J13</f>
        <v>#REF!</v>
      </c>
      <c r="D29" s="237" t="str">
        <f t="shared" si="8"/>
        <v>#REF!</v>
      </c>
      <c r="E29" s="237" t="str">
        <f t="shared" si="8"/>
        <v>#REF!</v>
      </c>
      <c r="F29" s="261"/>
      <c r="G29" s="264">
        <f>G30-discount_rate_range</f>
        <v>0.06</v>
      </c>
      <c r="H29" s="237" t="str">
        <f t="shared" ref="H29:J29" si="9">$D6+J20</f>
        <v>#REF!</v>
      </c>
      <c r="I29" s="237" t="str">
        <f t="shared" si="9"/>
        <v>#REF!</v>
      </c>
      <c r="J29" s="237" t="str">
        <f t="shared" si="9"/>
        <v>#REF!</v>
      </c>
      <c r="K29" s="58"/>
      <c r="L29" s="265" t="s">
        <v>301</v>
      </c>
      <c r="M29" s="266"/>
      <c r="N29" s="259">
        <f t="shared" si="10"/>
        <v>4</v>
      </c>
      <c r="O29" s="259">
        <f t="shared" ref="O29:P29" si="11">D28</f>
        <v>6</v>
      </c>
      <c r="P29" s="259">
        <f t="shared" si="11"/>
        <v>8</v>
      </c>
      <c r="Q29" s="4"/>
      <c r="R29" s="4"/>
      <c r="S29" s="4"/>
      <c r="T29" s="4"/>
      <c r="U29" s="4"/>
      <c r="V29" s="4"/>
      <c r="W29" s="4"/>
      <c r="X29" s="4"/>
      <c r="Y29" s="4"/>
      <c r="Z29" s="4"/>
      <c r="AA29" s="4"/>
      <c r="AB29" s="4"/>
      <c r="AC29" s="4"/>
      <c r="AD29" s="4"/>
      <c r="AE29" s="4"/>
      <c r="AF29" s="4"/>
      <c r="AG29" s="4"/>
      <c r="AH29" s="4"/>
      <c r="AI29" s="4"/>
      <c r="AJ29" s="4"/>
    </row>
    <row r="30" ht="11.25" customHeight="1">
      <c r="A30" s="4"/>
      <c r="B30" s="262">
        <f>WACC</f>
        <v>0.07</v>
      </c>
      <c r="C30" s="237" t="str">
        <f t="shared" ref="C30:E30" si="12">$D7+J14</f>
        <v>#REF!</v>
      </c>
      <c r="D30" s="237" t="str">
        <f t="shared" si="12"/>
        <v>#REF!</v>
      </c>
      <c r="E30" s="237" t="str">
        <f t="shared" si="12"/>
        <v>#REF!</v>
      </c>
      <c r="F30" s="261"/>
      <c r="G30" s="264">
        <f>B30</f>
        <v>0.07</v>
      </c>
      <c r="H30" s="237" t="str">
        <f t="shared" ref="H30:J30" si="13">$D7+J21</f>
        <v>#REF!</v>
      </c>
      <c r="I30" s="237" t="str">
        <f t="shared" si="13"/>
        <v>#REF!</v>
      </c>
      <c r="J30" s="237" t="str">
        <f t="shared" si="13"/>
        <v>#REF!</v>
      </c>
      <c r="K30" s="58"/>
      <c r="L30" s="267" t="str">
        <f t="shared" ref="L30:L32" si="17">"@ "&amp;TEXT(B29,"0.00%")</f>
        <v>@ 6.00%</v>
      </c>
      <c r="M30" s="102"/>
      <c r="N30" s="268" t="str">
        <f t="shared" ref="N30:P30" si="14">$D6/C29</f>
        <v>#REF!</v>
      </c>
      <c r="O30" s="268" t="str">
        <f t="shared" si="14"/>
        <v>#REF!</v>
      </c>
      <c r="P30" s="268" t="str">
        <f t="shared" si="14"/>
        <v>#REF!</v>
      </c>
      <c r="Q30" s="4"/>
      <c r="R30" s="4"/>
      <c r="S30" s="4"/>
      <c r="T30" s="4"/>
      <c r="U30" s="4"/>
      <c r="V30" s="4"/>
      <c r="W30" s="4"/>
      <c r="X30" s="4"/>
      <c r="Y30" s="4"/>
      <c r="Z30" s="4"/>
      <c r="AA30" s="4"/>
      <c r="AB30" s="4"/>
      <c r="AC30" s="4"/>
      <c r="AD30" s="4"/>
      <c r="AE30" s="4"/>
      <c r="AF30" s="4"/>
      <c r="AG30" s="4"/>
      <c r="AH30" s="4"/>
      <c r="AI30" s="4"/>
      <c r="AJ30" s="4"/>
    </row>
    <row r="31" ht="11.25" customHeight="1">
      <c r="A31" s="4"/>
      <c r="B31" s="262">
        <f>B30+discount_rate_range</f>
        <v>0.08</v>
      </c>
      <c r="C31" s="237" t="str">
        <f t="shared" ref="C31:E31" si="15">$D8+J15</f>
        <v>#REF!</v>
      </c>
      <c r="D31" s="237" t="str">
        <f t="shared" si="15"/>
        <v>#REF!</v>
      </c>
      <c r="E31" s="237" t="str">
        <f t="shared" si="15"/>
        <v>#REF!</v>
      </c>
      <c r="F31" s="269"/>
      <c r="G31" s="264">
        <f>G30+discount_rate_range</f>
        <v>0.08</v>
      </c>
      <c r="H31" s="237" t="str">
        <f t="shared" ref="H31:J31" si="16">$D8+J22</f>
        <v>#REF!</v>
      </c>
      <c r="I31" s="237" t="str">
        <f t="shared" si="16"/>
        <v>#REF!</v>
      </c>
      <c r="J31" s="237" t="str">
        <f t="shared" si="16"/>
        <v>#REF!</v>
      </c>
      <c r="K31" s="58"/>
      <c r="L31" s="267" t="str">
        <f t="shared" si="17"/>
        <v>@ 7.00%</v>
      </c>
      <c r="M31" s="102"/>
      <c r="N31" s="268" t="str">
        <f t="shared" ref="N31:P31" si="18">$D7/C30</f>
        <v>#REF!</v>
      </c>
      <c r="O31" s="268" t="str">
        <f t="shared" si="18"/>
        <v>#REF!</v>
      </c>
      <c r="P31" s="268" t="str">
        <f t="shared" si="18"/>
        <v>#REF!</v>
      </c>
      <c r="Q31" s="4"/>
      <c r="R31" s="4"/>
      <c r="S31" s="4"/>
      <c r="T31" s="4"/>
      <c r="U31" s="4"/>
      <c r="V31" s="4"/>
      <c r="W31" s="4"/>
      <c r="X31" s="4"/>
      <c r="Y31" s="4"/>
      <c r="Z31" s="4"/>
      <c r="AA31" s="4"/>
      <c r="AB31" s="4"/>
      <c r="AC31" s="4"/>
      <c r="AD31" s="4"/>
      <c r="AE31" s="4"/>
      <c r="AF31" s="4"/>
      <c r="AG31" s="4"/>
      <c r="AH31" s="4"/>
      <c r="AI31" s="4"/>
      <c r="AJ31" s="4"/>
    </row>
    <row r="32" ht="11.25" customHeight="1">
      <c r="A32" s="4"/>
      <c r="B32" s="4"/>
      <c r="C32" s="4"/>
      <c r="D32" s="58"/>
      <c r="E32" s="58"/>
      <c r="F32" s="58"/>
      <c r="G32" s="58"/>
      <c r="H32" s="58"/>
      <c r="I32" s="58"/>
      <c r="J32" s="58"/>
      <c r="K32" s="58"/>
      <c r="L32" s="267" t="str">
        <f t="shared" si="17"/>
        <v>@ 8.00%</v>
      </c>
      <c r="M32" s="102"/>
      <c r="N32" s="268" t="str">
        <f t="shared" ref="N32:P32" si="19">$D8/C31</f>
        <v>#REF!</v>
      </c>
      <c r="O32" s="268" t="str">
        <f t="shared" si="19"/>
        <v>#REF!</v>
      </c>
      <c r="P32" s="268" t="str">
        <f t="shared" si="19"/>
        <v>#REF!</v>
      </c>
      <c r="Q32" s="4"/>
      <c r="R32" s="4"/>
      <c r="S32" s="4"/>
      <c r="T32" s="4"/>
      <c r="U32" s="4"/>
      <c r="V32" s="4"/>
      <c r="W32" s="4"/>
      <c r="X32" s="4"/>
      <c r="Y32" s="4"/>
      <c r="Z32" s="4"/>
      <c r="AA32" s="4"/>
      <c r="AB32" s="4"/>
      <c r="AC32" s="4"/>
      <c r="AD32" s="4"/>
      <c r="AE32" s="4"/>
      <c r="AF32" s="4"/>
      <c r="AG32" s="4"/>
      <c r="AH32" s="4"/>
      <c r="AI32" s="4"/>
      <c r="AJ32" s="4"/>
    </row>
    <row r="33" ht="12.0" customHeight="1">
      <c r="A33" s="4"/>
      <c r="B33" s="58"/>
      <c r="C33" s="58"/>
      <c r="D33" s="58"/>
      <c r="E33" s="58"/>
      <c r="F33" s="58"/>
      <c r="G33" s="58"/>
      <c r="H33" s="58"/>
      <c r="I33" s="58"/>
      <c r="J33" s="58"/>
      <c r="K33" s="58"/>
      <c r="L33" s="265" t="s">
        <v>302</v>
      </c>
      <c r="M33" s="266"/>
      <c r="N33" s="28"/>
      <c r="O33" s="6"/>
      <c r="P33" s="229"/>
      <c r="Q33" s="4"/>
      <c r="R33" s="4"/>
      <c r="S33" s="4"/>
      <c r="T33" s="4"/>
      <c r="U33" s="4"/>
      <c r="V33" s="4"/>
      <c r="W33" s="4"/>
      <c r="X33" s="4"/>
      <c r="Y33" s="4"/>
      <c r="Z33" s="4"/>
      <c r="AA33" s="4"/>
      <c r="AB33" s="4"/>
      <c r="AC33" s="4"/>
      <c r="AD33" s="4"/>
      <c r="AE33" s="4"/>
      <c r="AF33" s="4"/>
      <c r="AG33" s="4"/>
      <c r="AH33" s="4"/>
      <c r="AI33" s="4"/>
      <c r="AJ33" s="4"/>
    </row>
    <row r="34" ht="12.0" customHeight="1">
      <c r="A34" s="4"/>
      <c r="B34" s="253" t="s">
        <v>303</v>
      </c>
      <c r="C34" s="164"/>
      <c r="D34" s="164"/>
      <c r="E34" s="164"/>
      <c r="F34" s="164"/>
      <c r="G34" s="164"/>
      <c r="H34" s="164"/>
      <c r="I34" s="164"/>
      <c r="J34" s="165"/>
      <c r="K34" s="58"/>
      <c r="L34" s="267" t="str">
        <f t="shared" ref="L34:L36" si="21">"@ "&amp;TEXT(B29,"0.00%")</f>
        <v>@ 6.00%</v>
      </c>
      <c r="M34" s="102"/>
      <c r="N34" s="268" t="str">
        <f t="shared" ref="N34:P34" si="20">J13/C29</f>
        <v>#REF!</v>
      </c>
      <c r="O34" s="268" t="str">
        <f t="shared" si="20"/>
        <v>#REF!</v>
      </c>
      <c r="P34" s="268" t="str">
        <f t="shared" si="20"/>
        <v>#REF!</v>
      </c>
      <c r="Q34" s="4"/>
      <c r="R34" s="4"/>
      <c r="S34" s="4"/>
      <c r="T34" s="4"/>
      <c r="U34" s="4"/>
      <c r="V34" s="4"/>
      <c r="W34" s="4"/>
      <c r="X34" s="4"/>
      <c r="Y34" s="4"/>
      <c r="Z34" s="4"/>
      <c r="AA34" s="4"/>
      <c r="AB34" s="4"/>
      <c r="AC34" s="4"/>
      <c r="AD34" s="4"/>
      <c r="AE34" s="4"/>
      <c r="AF34" s="4"/>
      <c r="AG34" s="4"/>
      <c r="AH34" s="4"/>
      <c r="AI34" s="4"/>
      <c r="AJ34" s="4"/>
    </row>
    <row r="35" ht="12.0" customHeight="1">
      <c r="A35" s="4"/>
      <c r="B35" s="59"/>
      <c r="C35" s="163" t="s">
        <v>299</v>
      </c>
      <c r="D35" s="164"/>
      <c r="E35" s="255"/>
      <c r="F35" s="256"/>
      <c r="G35" s="85"/>
      <c r="H35" s="257" t="s">
        <v>300</v>
      </c>
      <c r="I35" s="164"/>
      <c r="J35" s="165"/>
      <c r="K35" s="58"/>
      <c r="L35" s="267" t="str">
        <f t="shared" si="21"/>
        <v>@ 7.00%</v>
      </c>
      <c r="M35" s="102"/>
      <c r="N35" s="268" t="str">
        <f t="shared" ref="N35:P35" si="22">J14/C30</f>
        <v>#REF!</v>
      </c>
      <c r="O35" s="268" t="str">
        <f t="shared" si="22"/>
        <v>#REF!</v>
      </c>
      <c r="P35" s="268" t="str">
        <f t="shared" si="22"/>
        <v>#REF!</v>
      </c>
      <c r="Q35" s="4"/>
      <c r="R35" s="4"/>
      <c r="S35" s="4"/>
      <c r="T35" s="4"/>
      <c r="U35" s="4"/>
      <c r="V35" s="4"/>
      <c r="W35" s="4"/>
      <c r="X35" s="4"/>
      <c r="Y35" s="4"/>
      <c r="Z35" s="4"/>
      <c r="AA35" s="4"/>
      <c r="AB35" s="4"/>
      <c r="AC35" s="4"/>
      <c r="AD35" s="4"/>
      <c r="AE35" s="4"/>
      <c r="AF35" s="4"/>
      <c r="AG35" s="4"/>
      <c r="AH35" s="4"/>
      <c r="AI35" s="4"/>
      <c r="AJ35" s="4"/>
    </row>
    <row r="36" ht="11.25" customHeight="1">
      <c r="A36" s="4"/>
      <c r="B36" s="59"/>
      <c r="C36" s="259">
        <f>D36-ebitda_multiple_range</f>
        <v>4</v>
      </c>
      <c r="D36" s="259">
        <f>D28</f>
        <v>6</v>
      </c>
      <c r="E36" s="260">
        <f>D36+ebitda_multiple_range</f>
        <v>8</v>
      </c>
      <c r="F36" s="261"/>
      <c r="G36" s="85"/>
      <c r="H36" s="262">
        <f>I36-perpetuity_growth_range</f>
        <v>0.025</v>
      </c>
      <c r="I36" s="262">
        <f>I28</f>
        <v>0.03</v>
      </c>
      <c r="J36" s="262">
        <f>I36+perpetuity_growth_range</f>
        <v>0.035</v>
      </c>
      <c r="K36" s="58"/>
      <c r="L36" s="267" t="str">
        <f t="shared" si="21"/>
        <v>@ 8.00%</v>
      </c>
      <c r="M36" s="102"/>
      <c r="N36" s="268" t="str">
        <f t="shared" ref="N36:P36" si="23">J15/C31</f>
        <v>#REF!</v>
      </c>
      <c r="O36" s="268" t="str">
        <f t="shared" si="23"/>
        <v>#REF!</v>
      </c>
      <c r="P36" s="268" t="str">
        <f t="shared" si="23"/>
        <v>#REF!</v>
      </c>
      <c r="Q36" s="4"/>
      <c r="R36" s="4"/>
      <c r="S36" s="4"/>
      <c r="T36" s="4"/>
      <c r="U36" s="4"/>
      <c r="V36" s="4"/>
      <c r="W36" s="4"/>
      <c r="X36" s="4"/>
      <c r="Y36" s="4"/>
      <c r="Z36" s="4"/>
      <c r="AA36" s="4"/>
      <c r="AB36" s="4"/>
      <c r="AC36" s="4"/>
      <c r="AD36" s="4"/>
      <c r="AE36" s="4"/>
      <c r="AF36" s="4"/>
      <c r="AG36" s="4"/>
      <c r="AH36" s="4"/>
      <c r="AI36" s="4"/>
      <c r="AJ36" s="4"/>
    </row>
    <row r="37" ht="11.25" customHeight="1">
      <c r="A37" s="4"/>
      <c r="B37" s="262">
        <f>B38-discount_rate_range</f>
        <v>0.06</v>
      </c>
      <c r="C37" s="237" t="str">
        <f>C29-Input!$N$56</f>
        <v>#REF!</v>
      </c>
      <c r="D37" s="237" t="str">
        <f>D29-Input!$N$56</f>
        <v>#REF!</v>
      </c>
      <c r="E37" s="237" t="str">
        <f>E29-Input!$N$56</f>
        <v>#REF!</v>
      </c>
      <c r="F37" s="261"/>
      <c r="G37" s="264">
        <f>G38-discount_rate_range</f>
        <v>0.06</v>
      </c>
      <c r="H37" s="237" t="str">
        <f>H29-Input!$N$56</f>
        <v>#REF!</v>
      </c>
      <c r="I37" s="237" t="str">
        <f>I29-Input!$N$56</f>
        <v>#REF!</v>
      </c>
      <c r="J37" s="237" t="str">
        <f>J29-Input!$N$56</f>
        <v>#REF!</v>
      </c>
      <c r="K37" s="58"/>
      <c r="L37" s="263"/>
      <c r="M37" s="28"/>
      <c r="N37" s="28"/>
      <c r="O37" s="6"/>
      <c r="P37" s="229"/>
      <c r="Q37" s="4"/>
      <c r="R37" s="4"/>
      <c r="S37" s="4"/>
      <c r="T37" s="4"/>
      <c r="U37" s="4"/>
      <c r="V37" s="4"/>
      <c r="W37" s="4"/>
      <c r="X37" s="4"/>
      <c r="Y37" s="4"/>
      <c r="Z37" s="4"/>
      <c r="AA37" s="4"/>
      <c r="AB37" s="4"/>
      <c r="AC37" s="4"/>
      <c r="AD37" s="4"/>
      <c r="AE37" s="4"/>
      <c r="AF37" s="4"/>
      <c r="AG37" s="4"/>
      <c r="AH37" s="4"/>
      <c r="AI37" s="4"/>
      <c r="AJ37" s="4"/>
    </row>
    <row r="38" ht="12.0" customHeight="1">
      <c r="A38" s="4"/>
      <c r="B38" s="262">
        <f>B30</f>
        <v>0.07</v>
      </c>
      <c r="C38" s="237" t="str">
        <f>C30-Input!$N$56</f>
        <v>#REF!</v>
      </c>
      <c r="D38" s="237" t="str">
        <f>D30-Input!$N$56</f>
        <v>#REF!</v>
      </c>
      <c r="E38" s="237" t="str">
        <f>E30-Input!$N$56</f>
        <v>#REF!</v>
      </c>
      <c r="F38" s="261"/>
      <c r="G38" s="264">
        <f>B30</f>
        <v>0.07</v>
      </c>
      <c r="H38" s="237" t="str">
        <f>H30-Input!$N$56</f>
        <v>#REF!</v>
      </c>
      <c r="I38" s="237" t="str">
        <f>I30-Input!$N$56</f>
        <v>#REF!</v>
      </c>
      <c r="J38" s="237" t="str">
        <f>J30-Input!$N$56</f>
        <v>#REF!</v>
      </c>
      <c r="K38" s="58"/>
      <c r="L38" s="263"/>
      <c r="M38" s="28"/>
      <c r="N38" s="257" t="str">
        <f t="shared" ref="N38:N39" si="24">H27</f>
        <v>Perpetuity Growth Method</v>
      </c>
      <c r="O38" s="164"/>
      <c r="P38" s="165"/>
      <c r="Q38" s="4"/>
      <c r="R38" s="4"/>
      <c r="S38" s="4"/>
      <c r="T38" s="4"/>
      <c r="U38" s="4"/>
      <c r="V38" s="4"/>
      <c r="W38" s="4"/>
      <c r="X38" s="4"/>
      <c r="Y38" s="4"/>
      <c r="Z38" s="4"/>
      <c r="AA38" s="4"/>
      <c r="AB38" s="4"/>
      <c r="AC38" s="4"/>
      <c r="AD38" s="4"/>
      <c r="AE38" s="4"/>
      <c r="AF38" s="4"/>
      <c r="AG38" s="4"/>
      <c r="AH38" s="4"/>
      <c r="AI38" s="4"/>
      <c r="AJ38" s="4"/>
    </row>
    <row r="39" ht="12.0" customHeight="1">
      <c r="A39" s="4"/>
      <c r="B39" s="262">
        <f>B38+discount_rate_range</f>
        <v>0.08</v>
      </c>
      <c r="C39" s="237" t="str">
        <f>C31-Input!$N$56</f>
        <v>#REF!</v>
      </c>
      <c r="D39" s="237" t="str">
        <f>D31-Input!$N$56</f>
        <v>#REF!</v>
      </c>
      <c r="E39" s="237" t="str">
        <f>E31-Input!$N$56</f>
        <v>#REF!</v>
      </c>
      <c r="F39" s="269"/>
      <c r="G39" s="264">
        <f>G38+discount_rate_range</f>
        <v>0.08</v>
      </c>
      <c r="H39" s="237" t="str">
        <f>H31-Input!$N$56</f>
        <v>#REF!</v>
      </c>
      <c r="I39" s="237" t="str">
        <f>I31-Input!$N$56</f>
        <v>#REF!</v>
      </c>
      <c r="J39" s="237" t="str">
        <f>J31-Input!$N$56</f>
        <v>#REF!</v>
      </c>
      <c r="K39" s="58"/>
      <c r="L39" s="265" t="s">
        <v>301</v>
      </c>
      <c r="M39" s="266"/>
      <c r="N39" s="262">
        <f t="shared" si="24"/>
        <v>0.025</v>
      </c>
      <c r="O39" s="262">
        <f t="shared" ref="O39:P39" si="25">I28</f>
        <v>0.03</v>
      </c>
      <c r="P39" s="262">
        <f t="shared" si="25"/>
        <v>0.035</v>
      </c>
      <c r="Q39" s="4"/>
      <c r="R39" s="4"/>
      <c r="S39" s="4"/>
      <c r="T39" s="4"/>
      <c r="U39" s="4"/>
      <c r="V39" s="4"/>
      <c r="W39" s="4"/>
      <c r="X39" s="4"/>
      <c r="Y39" s="4"/>
      <c r="Z39" s="4"/>
      <c r="AA39" s="4"/>
      <c r="AB39" s="4"/>
      <c r="AC39" s="4"/>
      <c r="AD39" s="4"/>
      <c r="AE39" s="4"/>
      <c r="AF39" s="4"/>
      <c r="AG39" s="4"/>
      <c r="AH39" s="4"/>
      <c r="AI39" s="4"/>
      <c r="AJ39" s="4"/>
    </row>
    <row r="40" ht="11.25" customHeight="1">
      <c r="A40" s="4"/>
      <c r="B40" s="4"/>
      <c r="C40" s="58"/>
      <c r="D40" s="58"/>
      <c r="E40" s="58"/>
      <c r="F40" s="58"/>
      <c r="G40" s="58"/>
      <c r="H40" s="58"/>
      <c r="I40" s="58"/>
      <c r="J40" s="58"/>
      <c r="K40" s="58"/>
      <c r="L40" s="267" t="str">
        <f t="shared" ref="L40:L42" si="27">"@ "&amp;TEXT(B29,"0.00%")</f>
        <v>@ 6.00%</v>
      </c>
      <c r="M40" s="102"/>
      <c r="N40" s="268" t="str">
        <f t="shared" ref="N40:P40" si="26">$D6/H29</f>
        <v>#REF!</v>
      </c>
      <c r="O40" s="268" t="str">
        <f t="shared" si="26"/>
        <v>#REF!</v>
      </c>
      <c r="P40" s="268" t="str">
        <f t="shared" si="26"/>
        <v>#REF!</v>
      </c>
      <c r="Q40" s="4"/>
      <c r="R40" s="4"/>
      <c r="S40" s="4"/>
      <c r="T40" s="4"/>
      <c r="U40" s="4"/>
      <c r="V40" s="4"/>
      <c r="W40" s="4"/>
      <c r="X40" s="4"/>
      <c r="Y40" s="4"/>
      <c r="Z40" s="4"/>
      <c r="AA40" s="4"/>
      <c r="AB40" s="4"/>
      <c r="AC40" s="4"/>
      <c r="AD40" s="4"/>
      <c r="AE40" s="4"/>
      <c r="AF40" s="4"/>
      <c r="AG40" s="4"/>
      <c r="AH40" s="4"/>
      <c r="AI40" s="4"/>
      <c r="AJ40" s="4"/>
    </row>
    <row r="41" ht="11.25" customHeight="1">
      <c r="A41" s="4"/>
      <c r="B41" s="4"/>
      <c r="C41" s="58"/>
      <c r="D41" s="58"/>
      <c r="E41" s="58"/>
      <c r="F41" s="58"/>
      <c r="G41" s="58"/>
      <c r="H41" s="58"/>
      <c r="I41" s="58"/>
      <c r="J41" s="58"/>
      <c r="K41" s="58"/>
      <c r="L41" s="267" t="str">
        <f t="shared" si="27"/>
        <v>@ 7.00%</v>
      </c>
      <c r="M41" s="102"/>
      <c r="N41" s="268" t="str">
        <f t="shared" ref="N41:P41" si="28">$D7/H30</f>
        <v>#REF!</v>
      </c>
      <c r="O41" s="268" t="str">
        <f t="shared" si="28"/>
        <v>#REF!</v>
      </c>
      <c r="P41" s="268" t="str">
        <f t="shared" si="28"/>
        <v>#REF!</v>
      </c>
      <c r="Q41" s="4"/>
      <c r="R41" s="4"/>
      <c r="S41" s="4"/>
      <c r="T41" s="4"/>
      <c r="U41" s="4"/>
      <c r="V41" s="4"/>
      <c r="W41" s="4"/>
      <c r="X41" s="4"/>
      <c r="Y41" s="4"/>
      <c r="Z41" s="4"/>
      <c r="AA41" s="4"/>
      <c r="AB41" s="4"/>
      <c r="AC41" s="4"/>
      <c r="AD41" s="4"/>
      <c r="AE41" s="4"/>
      <c r="AF41" s="4"/>
      <c r="AG41" s="4"/>
      <c r="AH41" s="4"/>
      <c r="AI41" s="4"/>
      <c r="AJ41" s="4"/>
    </row>
    <row r="42" ht="12.0" customHeight="1">
      <c r="A42" s="4"/>
      <c r="B42" s="253" t="s">
        <v>304</v>
      </c>
      <c r="C42" s="164"/>
      <c r="D42" s="164"/>
      <c r="E42" s="164"/>
      <c r="F42" s="164"/>
      <c r="G42" s="164"/>
      <c r="H42" s="164"/>
      <c r="I42" s="164"/>
      <c r="J42" s="165"/>
      <c r="K42" s="58"/>
      <c r="L42" s="267" t="str">
        <f t="shared" si="27"/>
        <v>@ 8.00%</v>
      </c>
      <c r="M42" s="102"/>
      <c r="N42" s="268" t="str">
        <f t="shared" ref="N42:P42" si="29">$D8/H31</f>
        <v>#REF!</v>
      </c>
      <c r="O42" s="268" t="str">
        <f t="shared" si="29"/>
        <v>#REF!</v>
      </c>
      <c r="P42" s="268" t="str">
        <f t="shared" si="29"/>
        <v>#REF!</v>
      </c>
      <c r="Q42" s="4"/>
      <c r="R42" s="4"/>
      <c r="S42" s="4"/>
      <c r="T42" s="4"/>
      <c r="U42" s="4"/>
      <c r="V42" s="4"/>
      <c r="W42" s="4"/>
      <c r="X42" s="4"/>
      <c r="Y42" s="4"/>
      <c r="Z42" s="4"/>
      <c r="AA42" s="4"/>
      <c r="AB42" s="4"/>
      <c r="AC42" s="4"/>
      <c r="AD42" s="4"/>
      <c r="AE42" s="4"/>
      <c r="AF42" s="4"/>
      <c r="AG42" s="4"/>
      <c r="AH42" s="4"/>
      <c r="AI42" s="4"/>
      <c r="AJ42" s="4"/>
    </row>
    <row r="43" ht="12.0" customHeight="1">
      <c r="A43" s="4"/>
      <c r="B43" s="59"/>
      <c r="C43" s="163" t="s">
        <v>299</v>
      </c>
      <c r="D43" s="164"/>
      <c r="E43" s="255"/>
      <c r="F43" s="256"/>
      <c r="G43" s="85"/>
      <c r="H43" s="257" t="s">
        <v>300</v>
      </c>
      <c r="I43" s="164"/>
      <c r="J43" s="165"/>
      <c r="K43" s="58"/>
      <c r="L43" s="265" t="s">
        <v>302</v>
      </c>
      <c r="M43" s="266"/>
      <c r="N43" s="28"/>
      <c r="O43" s="6"/>
      <c r="P43" s="229"/>
      <c r="Q43" s="4"/>
      <c r="R43" s="4"/>
      <c r="S43" s="4"/>
      <c r="T43" s="4"/>
      <c r="U43" s="4"/>
      <c r="V43" s="4"/>
      <c r="W43" s="4"/>
      <c r="X43" s="4"/>
      <c r="Y43" s="4"/>
      <c r="Z43" s="4"/>
      <c r="AA43" s="4"/>
      <c r="AB43" s="4"/>
      <c r="AC43" s="4"/>
      <c r="AD43" s="4"/>
      <c r="AE43" s="4"/>
      <c r="AF43" s="4"/>
      <c r="AG43" s="4"/>
      <c r="AH43" s="4"/>
      <c r="AI43" s="4"/>
      <c r="AJ43" s="4"/>
    </row>
    <row r="44" ht="11.25" customHeight="1">
      <c r="A44" s="4"/>
      <c r="B44" s="59"/>
      <c r="C44" s="259">
        <f>D44-ebitda_multiple_range</f>
        <v>4</v>
      </c>
      <c r="D44" s="259">
        <f>D28</f>
        <v>6</v>
      </c>
      <c r="E44" s="260">
        <f>D44+ebitda_multiple_range</f>
        <v>8</v>
      </c>
      <c r="F44" s="261"/>
      <c r="G44" s="85"/>
      <c r="H44" s="262">
        <f>I44-perpetuity_growth_range</f>
        <v>0.025</v>
      </c>
      <c r="I44" s="262">
        <f>I28</f>
        <v>0.03</v>
      </c>
      <c r="J44" s="262">
        <f>I44+perpetuity_growth_range</f>
        <v>0.035</v>
      </c>
      <c r="K44" s="58"/>
      <c r="L44" s="267" t="str">
        <f t="shared" ref="L44:L46" si="31">"@ "&amp;TEXT(B29,"0.00%")</f>
        <v>@ 6.00%</v>
      </c>
      <c r="M44" s="102"/>
      <c r="N44" s="268" t="str">
        <f t="shared" ref="N44:P44" si="30">J20/H29</f>
        <v>#REF!</v>
      </c>
      <c r="O44" s="268" t="str">
        <f t="shared" si="30"/>
        <v>#REF!</v>
      </c>
      <c r="P44" s="268" t="str">
        <f t="shared" si="30"/>
        <v>#REF!</v>
      </c>
      <c r="Q44" s="4"/>
      <c r="R44" s="4"/>
      <c r="S44" s="4"/>
      <c r="T44" s="4"/>
      <c r="U44" s="4"/>
      <c r="V44" s="4"/>
      <c r="W44" s="4"/>
      <c r="X44" s="4"/>
      <c r="Y44" s="4"/>
      <c r="Z44" s="4"/>
      <c r="AA44" s="4"/>
      <c r="AB44" s="4"/>
      <c r="AC44" s="4"/>
      <c r="AD44" s="4"/>
      <c r="AE44" s="4"/>
      <c r="AF44" s="4"/>
      <c r="AG44" s="4"/>
      <c r="AH44" s="4"/>
      <c r="AI44" s="4"/>
      <c r="AJ44" s="4"/>
    </row>
    <row r="45" ht="11.25" customHeight="1">
      <c r="A45" s="4"/>
      <c r="B45" s="262">
        <f>B46-discount_rate_range</f>
        <v>0.06</v>
      </c>
      <c r="C45" s="270" t="str">
        <f>IF(no_shares_outs=0,0,C37/no_shares_outs)</f>
        <v>#REF!</v>
      </c>
      <c r="D45" s="270" t="str">
        <f>IF(no_shares_outs=0,0,D37/no_shares_outs)</f>
        <v>#REF!</v>
      </c>
      <c r="E45" s="270" t="str">
        <f>IF(no_shares_outs=0,0,E37/no_shares_outs)</f>
        <v>#REF!</v>
      </c>
      <c r="F45" s="261"/>
      <c r="G45" s="264">
        <f>G46-discount_rate_range</f>
        <v>0.06</v>
      </c>
      <c r="H45" s="270" t="str">
        <f>IF(no_shares_outs=0,0,H37/no_shares_outs)</f>
        <v>#REF!</v>
      </c>
      <c r="I45" s="270" t="str">
        <f>IF(no_shares_outs=0,0,I37/no_shares_outs)</f>
        <v>#REF!</v>
      </c>
      <c r="J45" s="270" t="str">
        <f>IF(no_shares_outs=0,0,J37/no_shares_outs)</f>
        <v>#REF!</v>
      </c>
      <c r="K45" s="58"/>
      <c r="L45" s="267" t="str">
        <f t="shared" si="31"/>
        <v>@ 7.00%</v>
      </c>
      <c r="M45" s="102"/>
      <c r="N45" s="268" t="str">
        <f t="shared" ref="N45:P45" si="32">J21/H30</f>
        <v>#REF!</v>
      </c>
      <c r="O45" s="268" t="str">
        <f t="shared" si="32"/>
        <v>#REF!</v>
      </c>
      <c r="P45" s="268" t="str">
        <f t="shared" si="32"/>
        <v>#REF!</v>
      </c>
      <c r="Q45" s="4"/>
      <c r="R45" s="4"/>
      <c r="S45" s="4"/>
      <c r="T45" s="4"/>
      <c r="U45" s="4"/>
      <c r="V45" s="4"/>
      <c r="W45" s="4"/>
      <c r="X45" s="4"/>
      <c r="Y45" s="4"/>
      <c r="Z45" s="4"/>
      <c r="AA45" s="4"/>
      <c r="AB45" s="4"/>
      <c r="AC45" s="4"/>
      <c r="AD45" s="4"/>
      <c r="AE45" s="4"/>
      <c r="AF45" s="4"/>
      <c r="AG45" s="4"/>
      <c r="AH45" s="4"/>
      <c r="AI45" s="4"/>
      <c r="AJ45" s="4"/>
    </row>
    <row r="46" ht="11.25" customHeight="1">
      <c r="A46" s="4"/>
      <c r="B46" s="262">
        <f>B30</f>
        <v>0.07</v>
      </c>
      <c r="C46" s="270" t="str">
        <f>IF(no_shares_outs=0,0,C38/no_shares_outs)</f>
        <v>#REF!</v>
      </c>
      <c r="D46" s="270" t="str">
        <f>IF(no_shares_outs=0,0,D38/no_shares_outs)</f>
        <v>#REF!</v>
      </c>
      <c r="E46" s="270" t="str">
        <f>IF(no_shares_outs=0,0,E38/no_shares_outs)</f>
        <v>#REF!</v>
      </c>
      <c r="F46" s="261"/>
      <c r="G46" s="264">
        <f>B30</f>
        <v>0.07</v>
      </c>
      <c r="H46" s="270" t="str">
        <f>IF(no_shares_outs=0,0,H38/no_shares_outs)</f>
        <v>#REF!</v>
      </c>
      <c r="I46" s="270" t="str">
        <f>IF(no_shares_outs=0,0,I38/no_shares_outs)</f>
        <v>#REF!</v>
      </c>
      <c r="J46" s="270" t="str">
        <f>IF(no_shares_outs=0,0,J38/no_shares_outs)</f>
        <v>#REF!</v>
      </c>
      <c r="K46" s="58"/>
      <c r="L46" s="267" t="str">
        <f t="shared" si="31"/>
        <v>@ 8.00%</v>
      </c>
      <c r="M46" s="102"/>
      <c r="N46" s="268" t="str">
        <f t="shared" ref="N46:P46" si="33">J22/H31</f>
        <v>#REF!</v>
      </c>
      <c r="O46" s="268" t="str">
        <f t="shared" si="33"/>
        <v>#REF!</v>
      </c>
      <c r="P46" s="268" t="str">
        <f t="shared" si="33"/>
        <v>#REF!</v>
      </c>
      <c r="Q46" s="4"/>
      <c r="R46" s="4"/>
      <c r="S46" s="4"/>
      <c r="T46" s="4"/>
      <c r="U46" s="4"/>
      <c r="V46" s="4"/>
      <c r="W46" s="4"/>
      <c r="X46" s="4"/>
      <c r="Y46" s="4"/>
      <c r="Z46" s="4"/>
      <c r="AA46" s="4"/>
      <c r="AB46" s="4"/>
      <c r="AC46" s="4"/>
      <c r="AD46" s="4"/>
      <c r="AE46" s="4"/>
      <c r="AF46" s="4"/>
      <c r="AG46" s="4"/>
      <c r="AH46" s="4"/>
      <c r="AI46" s="4"/>
      <c r="AJ46" s="4"/>
    </row>
    <row r="47" ht="11.25" customHeight="1">
      <c r="A47" s="4"/>
      <c r="B47" s="262">
        <f>B46+discount_rate_range</f>
        <v>0.08</v>
      </c>
      <c r="C47" s="270" t="str">
        <f>IF(no_shares_outs=0,0,C39/no_shares_outs)</f>
        <v>#REF!</v>
      </c>
      <c r="D47" s="270" t="str">
        <f>IF(no_shares_outs=0,0,D39/no_shares_outs)</f>
        <v>#REF!</v>
      </c>
      <c r="E47" s="270" t="str">
        <f>IF(no_shares_outs=0,0,E39/no_shares_outs)</f>
        <v>#REF!</v>
      </c>
      <c r="F47" s="269"/>
      <c r="G47" s="264">
        <f>G46+discount_rate_range</f>
        <v>0.08</v>
      </c>
      <c r="H47" s="270" t="str">
        <f>IF(no_shares_outs=0,0,H39/no_shares_outs)</f>
        <v>#REF!</v>
      </c>
      <c r="I47" s="270" t="str">
        <f>IF(no_shares_outs=0,0,I39/no_shares_outs)</f>
        <v>#REF!</v>
      </c>
      <c r="J47" s="270" t="str">
        <f>IF(no_shares_outs=0,0,J39/no_shares_outs)</f>
        <v>#REF!</v>
      </c>
      <c r="K47" s="58"/>
      <c r="L47" s="58"/>
      <c r="M47" s="58"/>
      <c r="N47" s="58"/>
      <c r="O47" s="4"/>
      <c r="P47" s="4"/>
      <c r="Q47" s="4"/>
      <c r="R47" s="4"/>
      <c r="S47" s="4"/>
      <c r="T47" s="4"/>
      <c r="U47" s="4"/>
      <c r="V47" s="4"/>
      <c r="W47" s="4"/>
      <c r="X47" s="4"/>
      <c r="Y47" s="4"/>
      <c r="Z47" s="4"/>
      <c r="AA47" s="4"/>
      <c r="AB47" s="4"/>
      <c r="AC47" s="4"/>
      <c r="AD47" s="4"/>
      <c r="AE47" s="4"/>
      <c r="AF47" s="4"/>
      <c r="AG47" s="4"/>
      <c r="AH47" s="4"/>
      <c r="AI47" s="4"/>
      <c r="AJ47" s="4"/>
    </row>
    <row r="48" ht="11.25" customHeight="1">
      <c r="A48" s="4"/>
      <c r="B48" s="4"/>
      <c r="C48" s="58"/>
      <c r="D48" s="58"/>
      <c r="E48" s="58"/>
      <c r="F48" s="58"/>
      <c r="G48" s="58"/>
      <c r="H48" s="58"/>
      <c r="I48" s="58"/>
      <c r="J48" s="58"/>
      <c r="K48" s="58"/>
      <c r="L48" s="58"/>
      <c r="M48" s="58"/>
      <c r="N48" s="58"/>
      <c r="O48" s="4"/>
      <c r="P48" s="4"/>
      <c r="Q48" s="4"/>
      <c r="R48" s="4"/>
      <c r="S48" s="4"/>
      <c r="T48" s="4"/>
      <c r="U48" s="4"/>
      <c r="V48" s="4"/>
      <c r="W48" s="4"/>
      <c r="X48" s="4"/>
      <c r="Y48" s="4"/>
      <c r="Z48" s="4"/>
      <c r="AA48" s="4"/>
      <c r="AB48" s="4"/>
      <c r="AC48" s="4"/>
      <c r="AD48" s="4"/>
      <c r="AE48" s="4"/>
      <c r="AF48" s="4"/>
      <c r="AG48" s="4"/>
      <c r="AH48" s="4"/>
      <c r="AI48" s="4"/>
      <c r="AJ48" s="4"/>
    </row>
    <row r="49" ht="11.25" customHeight="1">
      <c r="A49" s="4"/>
      <c r="B49" s="4"/>
      <c r="C49" s="58"/>
      <c r="D49" s="58"/>
      <c r="E49" s="58"/>
      <c r="F49" s="58"/>
      <c r="G49" s="58"/>
      <c r="H49" s="58"/>
      <c r="I49" s="58"/>
      <c r="J49" s="58"/>
      <c r="K49" s="58"/>
      <c r="L49" s="58"/>
      <c r="M49" s="58"/>
      <c r="N49" s="58"/>
      <c r="O49" s="4"/>
      <c r="P49" s="4"/>
      <c r="Q49" s="4"/>
      <c r="R49" s="4"/>
      <c r="S49" s="4"/>
      <c r="T49" s="4"/>
      <c r="U49" s="4"/>
      <c r="V49" s="4"/>
      <c r="W49" s="4"/>
      <c r="X49" s="4"/>
      <c r="Y49" s="4"/>
      <c r="Z49" s="4"/>
      <c r="AA49" s="4"/>
      <c r="AB49" s="4"/>
      <c r="AC49" s="4"/>
      <c r="AD49" s="4"/>
      <c r="AE49" s="4"/>
      <c r="AF49" s="4"/>
      <c r="AG49" s="4"/>
      <c r="AH49" s="4"/>
      <c r="AI49" s="4"/>
      <c r="AJ49" s="4"/>
    </row>
    <row r="50" ht="11.25" customHeight="1">
      <c r="A50" s="4"/>
      <c r="B50" s="4"/>
      <c r="C50" s="58"/>
      <c r="D50" s="58"/>
      <c r="E50" s="58"/>
      <c r="F50" s="58"/>
      <c r="G50" s="58"/>
      <c r="H50" s="58"/>
      <c r="I50" s="58"/>
      <c r="J50" s="58"/>
      <c r="K50" s="58"/>
      <c r="L50" s="58"/>
      <c r="M50" s="58"/>
      <c r="N50" s="58"/>
      <c r="O50" s="4"/>
      <c r="P50" s="4"/>
      <c r="Q50" s="4"/>
      <c r="R50" s="4"/>
      <c r="S50" s="4"/>
      <c r="T50" s="4"/>
      <c r="U50" s="4"/>
      <c r="V50" s="4"/>
      <c r="W50" s="4"/>
      <c r="X50" s="4"/>
      <c r="Y50" s="4"/>
      <c r="Z50" s="4"/>
      <c r="AA50" s="4"/>
      <c r="AB50" s="4"/>
      <c r="AC50" s="4"/>
      <c r="AD50" s="4"/>
      <c r="AE50" s="4"/>
      <c r="AF50" s="4"/>
      <c r="AG50" s="4"/>
      <c r="AH50" s="4"/>
      <c r="AI50" s="4"/>
      <c r="AJ50" s="4"/>
    </row>
    <row r="51" ht="11.25" customHeight="1">
      <c r="A51" s="4"/>
      <c r="B51" s="4"/>
      <c r="C51" s="58"/>
      <c r="D51" s="58"/>
      <c r="E51" s="58"/>
      <c r="F51" s="58"/>
      <c r="G51" s="58"/>
      <c r="H51" s="58"/>
      <c r="I51" s="58"/>
      <c r="J51" s="58"/>
      <c r="K51" s="58"/>
      <c r="L51" s="58"/>
      <c r="M51" s="58"/>
      <c r="N51" s="58"/>
      <c r="O51" s="4"/>
      <c r="P51" s="4"/>
      <c r="Q51" s="4"/>
      <c r="R51" s="4"/>
      <c r="S51" s="4"/>
      <c r="T51" s="4"/>
      <c r="U51" s="4"/>
      <c r="V51" s="4"/>
      <c r="W51" s="4"/>
      <c r="X51" s="4"/>
      <c r="Y51" s="4"/>
      <c r="Z51" s="4"/>
      <c r="AA51" s="4"/>
      <c r="AB51" s="4"/>
      <c r="AC51" s="4"/>
      <c r="AD51" s="4"/>
      <c r="AE51" s="4"/>
      <c r="AF51" s="4"/>
      <c r="AG51" s="4"/>
      <c r="AH51" s="4"/>
      <c r="AI51" s="4"/>
      <c r="AJ51" s="4"/>
    </row>
    <row r="52" ht="11.25" customHeight="1">
      <c r="A52" s="4"/>
      <c r="B52" s="4"/>
      <c r="C52" s="58"/>
      <c r="D52" s="58"/>
      <c r="E52" s="58"/>
      <c r="F52" s="58"/>
      <c r="G52" s="58"/>
      <c r="H52" s="58"/>
      <c r="I52" s="58"/>
      <c r="J52" s="58"/>
      <c r="K52" s="58"/>
      <c r="L52" s="58"/>
      <c r="M52" s="58"/>
      <c r="N52" s="58"/>
      <c r="O52" s="4"/>
      <c r="P52" s="4"/>
      <c r="Q52" s="4"/>
      <c r="R52" s="4"/>
      <c r="S52" s="4"/>
      <c r="T52" s="4"/>
      <c r="U52" s="4"/>
      <c r="V52" s="4"/>
      <c r="W52" s="4"/>
      <c r="X52" s="4"/>
      <c r="Y52" s="4"/>
      <c r="Z52" s="4"/>
      <c r="AA52" s="4"/>
      <c r="AB52" s="4"/>
      <c r="AC52" s="4"/>
      <c r="AD52" s="4"/>
      <c r="AE52" s="4"/>
      <c r="AF52" s="4"/>
      <c r="AG52" s="4"/>
      <c r="AH52" s="4"/>
      <c r="AI52" s="4"/>
      <c r="AJ52" s="4"/>
    </row>
    <row r="53" ht="11.2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ht="11.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ht="11.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ht="11.2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row>
    <row r="57" ht="11.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ht="11.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row>
    <row r="59" ht="11.2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row>
    <row r="60" ht="11.2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row>
    <row r="61" ht="11.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row>
    <row r="62" ht="11.2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row>
    <row r="63" ht="11.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row>
    <row r="64" ht="11.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row>
    <row r="65" ht="11.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row>
    <row r="66" ht="11.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row>
    <row r="67" ht="11.2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row>
    <row r="68" ht="11.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row>
    <row r="69" ht="11.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row>
    <row r="70" ht="11.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row>
    <row r="71" ht="11.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row>
    <row r="72" ht="11.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row>
    <row r="73" ht="11.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row>
    <row r="74" ht="11.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row>
    <row r="75" ht="11.2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row>
    <row r="76" ht="11.2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row>
    <row r="77" ht="11.2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row>
    <row r="78" ht="11.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row>
    <row r="79" ht="11.2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row>
    <row r="80" ht="11.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row>
    <row r="81" ht="11.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row>
    <row r="82" ht="11.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row>
    <row r="83" ht="11.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row>
    <row r="84" ht="11.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row>
    <row r="85" ht="11.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row>
    <row r="86" ht="11.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row>
    <row r="87" ht="11.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row>
    <row r="88" ht="11.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row>
    <row r="89" ht="11.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row>
    <row r="90" ht="11.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row>
    <row r="91" ht="11.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row>
    <row r="92" ht="11.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row>
    <row r="93" ht="11.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4" ht="11.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row>
    <row r="95" ht="11.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row>
    <row r="96" ht="11.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row>
    <row r="97" ht="11.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row>
    <row r="98" ht="11.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row>
    <row r="99" ht="11.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row>
    <row r="100" ht="11.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row>
    <row r="101" ht="11.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row>
    <row r="102" ht="11.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row>
    <row r="103" ht="11.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row>
    <row r="104" ht="11.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row>
    <row r="105" ht="11.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row>
    <row r="106" ht="11.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row>
    <row r="107" ht="11.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row>
    <row r="108" ht="11.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row>
    <row r="109" ht="11.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row>
    <row r="110" ht="11.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row>
    <row r="111" ht="11.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row>
    <row r="112" ht="11.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row>
    <row r="113" ht="11.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row>
    <row r="114" ht="11.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row>
    <row r="115" ht="11.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row>
    <row r="116" ht="11.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row>
    <row r="117" ht="11.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row>
    <row r="118" ht="11.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row>
    <row r="119" ht="11.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row>
    <row r="120" ht="11.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row>
    <row r="121" ht="11.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ht="11.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row>
    <row r="123" ht="11.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row>
    <row r="124" ht="11.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row>
    <row r="125" ht="11.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row>
    <row r="126" ht="11.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row>
    <row r="127" ht="11.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row>
    <row r="128" ht="11.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row>
    <row r="129" ht="11.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ht="11.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row>
    <row r="131" ht="11.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row>
    <row r="132" ht="11.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row>
    <row r="133" ht="11.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ht="11.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ht="11.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row>
    <row r="136" ht="11.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row>
    <row r="137" ht="11.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row>
    <row r="138" ht="11.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row>
    <row r="139" ht="11.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ht="11.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row>
    <row r="141" ht="11.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ht="11.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ht="11.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row>
    <row r="144" ht="11.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row>
    <row r="145" ht="11.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row>
    <row r="146" ht="11.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row>
    <row r="147" ht="11.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row>
    <row r="148" ht="11.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row>
    <row r="149" ht="11.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ht="11.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row>
    <row r="151" ht="11.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ht="11.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row>
    <row r="153" ht="11.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ht="11.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ht="11.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ht="11.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row>
    <row r="157" ht="11.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ht="11.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row>
    <row r="159" ht="11.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ht="11.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row>
    <row r="161" ht="11.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ht="11.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row>
    <row r="163" ht="11.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ht="11.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row>
    <row r="165" ht="11.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ht="11.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row>
    <row r="167" ht="11.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row>
    <row r="168" ht="11.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row>
    <row r="169" ht="11.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ht="11.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row>
    <row r="171" ht="11.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row>
    <row r="172" ht="11.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row>
    <row r="173" ht="11.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row>
    <row r="174" ht="11.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row>
    <row r="175" ht="11.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ht="11.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row>
    <row r="177" ht="11.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row>
    <row r="178" ht="11.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row>
    <row r="179" ht="11.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row>
    <row r="180" ht="11.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row>
    <row r="181" ht="11.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row>
    <row r="182" ht="11.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row>
    <row r="183" ht="11.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row>
    <row r="184" ht="11.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row>
    <row r="185" ht="11.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row>
    <row r="186" ht="11.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row>
    <row r="187" ht="11.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row>
    <row r="188" ht="11.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ht="11.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ht="11.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row>
    <row r="191" ht="11.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ht="11.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row>
    <row r="193" ht="11.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ht="11.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row>
    <row r="195" ht="11.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ht="11.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row>
    <row r="197" ht="11.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row>
    <row r="198" ht="11.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row>
    <row r="199" ht="11.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row>
    <row r="200" ht="11.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row>
    <row r="201" ht="11.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row>
    <row r="202" ht="11.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row>
    <row r="203" ht="11.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row>
    <row r="204" ht="11.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row>
    <row r="205" ht="11.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row>
    <row r="206" ht="11.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row>
    <row r="207" ht="11.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row>
    <row r="208" ht="11.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row>
    <row r="209" ht="11.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row>
    <row r="210" ht="11.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row>
    <row r="211" ht="11.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row>
    <row r="212" ht="11.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row>
    <row r="213" ht="11.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row>
    <row r="214" ht="11.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row>
    <row r="215" ht="11.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row>
    <row r="216" ht="11.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row>
    <row r="217" ht="11.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row>
    <row r="218" ht="11.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row>
    <row r="219" ht="11.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row>
    <row r="220" ht="11.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row>
    <row r="221" ht="11.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row>
    <row r="222" ht="11.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row>
    <row r="223" ht="11.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row>
    <row r="224" ht="11.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row>
    <row r="225" ht="11.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row>
    <row r="226" ht="11.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row>
    <row r="227" ht="11.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row>
    <row r="228" ht="11.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ht="11.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row>
    <row r="230" ht="11.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row>
    <row r="231" ht="11.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row>
    <row r="232" ht="11.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row>
    <row r="233" ht="11.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ht="11.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row>
    <row r="235" ht="11.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row>
    <row r="236" ht="11.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row>
    <row r="237" ht="11.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row>
    <row r="238" ht="11.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row>
    <row r="239" ht="11.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row>
    <row r="240" ht="11.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row>
    <row r="241" ht="11.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row>
    <row r="242" ht="11.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row>
    <row r="243" ht="11.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row>
    <row r="244" ht="11.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row>
    <row r="245" ht="11.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row>
    <row r="246" ht="11.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row>
    <row r="247" ht="11.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row>
    <row r="248" ht="11.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row>
    <row r="249" ht="11.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row>
    <row r="250" ht="11.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row>
    <row r="251" ht="11.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row>
    <row r="252" ht="11.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ht="11.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row>
    <row r="254" ht="11.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row>
    <row r="255" ht="11.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row>
    <row r="256" ht="11.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row>
    <row r="257" ht="11.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row>
    <row r="258" ht="11.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row>
    <row r="259" ht="11.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row>
    <row r="260" ht="11.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row>
    <row r="261" ht="11.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row>
    <row r="262" ht="11.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row>
    <row r="263" ht="11.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row>
    <row r="264" ht="11.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row>
    <row r="265" ht="11.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row>
    <row r="266" ht="11.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row>
    <row r="267" ht="11.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row>
    <row r="268" ht="11.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row>
    <row r="269" ht="11.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ht="11.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row>
    <row r="271" ht="11.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row>
    <row r="272" ht="11.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row>
    <row r="273" ht="11.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row>
    <row r="274" ht="11.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row>
    <row r="275" ht="11.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row>
    <row r="276" ht="11.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row>
    <row r="277" ht="11.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row>
    <row r="278" ht="11.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row>
    <row r="279" ht="11.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row>
    <row r="280" ht="11.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row>
    <row r="281" ht="11.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row>
    <row r="282" ht="11.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row>
    <row r="283" ht="11.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row>
    <row r="284" ht="11.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row>
    <row r="285" ht="11.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row>
    <row r="286" ht="11.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row>
    <row r="287" ht="11.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row>
    <row r="288" ht="11.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row>
    <row r="289" ht="11.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row>
    <row r="290" ht="11.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row>
    <row r="291" ht="11.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row>
    <row r="292" ht="11.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row>
    <row r="293" ht="11.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row>
    <row r="294" ht="11.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row>
    <row r="295" ht="11.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row>
    <row r="296" ht="11.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row>
    <row r="297" ht="11.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row>
    <row r="298" ht="11.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row>
    <row r="299" ht="11.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row>
    <row r="300" ht="11.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row>
    <row r="301" ht="11.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row>
    <row r="302" ht="11.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row>
    <row r="303" ht="11.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row>
    <row r="304" ht="11.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1.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1.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1.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1.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1.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1.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1.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1.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1.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1.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1.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1.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1.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1.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1.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1.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1.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1.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1.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1.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1.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1.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1.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1.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1.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1.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1.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1.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1.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1.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1.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1.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1.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1.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1.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1.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1.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1.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1.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1.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1.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1.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1.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1.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1.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1.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1.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1.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1.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1.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1.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1.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1.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1.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1.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1.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1.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1.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1.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1.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1.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1.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1.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1.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1.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1.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1.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1.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1.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1.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1.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1.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1.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1.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1.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1.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1.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1.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1.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1.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1.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1.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1.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1.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1.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1.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1.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1.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1.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1.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1.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1.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1.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1.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1.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1.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1.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1.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1.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1.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1.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1.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1.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1.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1.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1.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1.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1.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1.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1.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1.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1.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1.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1.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1.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1.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1.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1.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1.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1.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1.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1.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1.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1.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1.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1.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1.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1.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1.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1.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1.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1.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1.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1.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1.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1.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1.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1.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1.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1.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1.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1.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1.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1.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1.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1.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1.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1.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1.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1.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1.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1.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1.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1.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1.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1.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1.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1.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1.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1.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1.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1.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1.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1.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1.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1.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1.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1.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1.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1.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1.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1.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1.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1.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1.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1.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1.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1.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1.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1.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1.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1.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1.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1.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1.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1.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1.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1.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1.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1.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1.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1.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1.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1.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1.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1.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1.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1.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1.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1.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1.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1.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1.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1.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1.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1.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1.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1.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1.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1.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1.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1.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1.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1.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1.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1.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1.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1.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1.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1.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1.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1.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1.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1.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1.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1.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1.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1.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1.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1.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1.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1.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1.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1.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1.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1.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1.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1.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1.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1.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1.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1.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1.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1.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1.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1.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1.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1.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1.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1.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1.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1.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1.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1.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1.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1.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1.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1.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1.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1.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1.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1.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1.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1.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1.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1.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1.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1.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1.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1.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1.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1.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1.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1.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1.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1.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1.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1.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1.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1.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1.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1.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1.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1.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1.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1.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1.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1.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1.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1.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1.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1.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1.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1.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1.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1.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1.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1.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1.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1.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1.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1.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1.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1.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1.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1.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1.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1.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1.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1.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1.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1.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1.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1.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1.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1.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1.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1.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1.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1.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1.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1.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1.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1.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1.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1.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1.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1.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1.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1.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1.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1.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1.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1.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1.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1.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1.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1.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1.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1.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1.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1.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1.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1.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1.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1.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1.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1.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1.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1.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1.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1.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1.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1.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1.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1.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1.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1.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1.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1.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1.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1.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1.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1.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1.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1.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1.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1.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1.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1.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1.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1.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1.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1.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1.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1.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1.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1.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1.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1.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1.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1.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1.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1.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1.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1.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1.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1.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1.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1.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1.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1.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1.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1.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1.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1.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1.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1.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1.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1.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1.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1.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1.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1.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1.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1.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1.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1.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1.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1.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1.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1.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1.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1.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1.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1.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1.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1.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1.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1.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1.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1.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1.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1.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1.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1.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1.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1.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1.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1.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1.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1.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1.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1.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1.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1.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1.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1.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1.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1.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1.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1.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1.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1.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1.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1.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1.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1.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1.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1.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1.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1.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1.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1.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1.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1.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1.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1.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1.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1.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1.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1.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1.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1.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1.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1.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1.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1.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1.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1.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1.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1.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1.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1.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1.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1.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1.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1.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1.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1.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1.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1.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1.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1.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1.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1.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1.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1.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1.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1.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1.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1.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1.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1.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1.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1.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1.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1.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1.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1.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1.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1.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1.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1.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1.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1.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1.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1.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1.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1.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1.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1.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1.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1.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1.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1.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1.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1.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1.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1.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1.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1.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1.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1.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1.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1.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1.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1.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1.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1.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1.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1.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1.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1.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1.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1.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1.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1.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1.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1.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1.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1.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1.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1.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1.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1.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1.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1.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1.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1.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1.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1.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1.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1.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1.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1.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1.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1.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1.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1.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1.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1.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1.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1.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1.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1.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1.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1.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1.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1.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1.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1.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1.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1.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1.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1.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1.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1.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1.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1.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1.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1.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1.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1.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1.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1.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1.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1.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1.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1.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1.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1.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1.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1.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1.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1.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1.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1.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1.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1.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1.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1.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1.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1.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1.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1.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1.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1.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1.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1.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1.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1.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1.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1.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1.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1.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1.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1.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1.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1.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1.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1.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1.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1.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1.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1.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1.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1.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1.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1.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1.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1.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1.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1.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1.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1.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1.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1.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1.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1.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1.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1.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1.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1.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1.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1.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1.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1.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1.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1.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1.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1.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1.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1.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1.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1.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1.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1.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1.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1.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1.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1.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1.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1.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1.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1.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1.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1.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1.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1.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1.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1.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1.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1.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1.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1.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1.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1.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1.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1.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1.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1.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1.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1.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1.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1.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1.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1.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1.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1.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1.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1.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1.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1.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1.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1.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sheetData>
  <mergeCells count="17">
    <mergeCell ref="B4:D4"/>
    <mergeCell ref="B11:D11"/>
    <mergeCell ref="H11:L11"/>
    <mergeCell ref="B18:F18"/>
    <mergeCell ref="H18:L18"/>
    <mergeCell ref="B26:J26"/>
    <mergeCell ref="L26:P26"/>
    <mergeCell ref="B42:J42"/>
    <mergeCell ref="C43:E43"/>
    <mergeCell ref="H43:J43"/>
    <mergeCell ref="C27:E27"/>
    <mergeCell ref="H27:J27"/>
    <mergeCell ref="N28:P28"/>
    <mergeCell ref="B34:J34"/>
    <mergeCell ref="C35:E35"/>
    <mergeCell ref="H35:J35"/>
    <mergeCell ref="N38:P38"/>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 width="9.63"/>
    <col customWidth="1" min="3" max="13" width="10.63"/>
    <col customWidth="1" min="14" max="18" width="10.38"/>
    <col customWidth="1" min="19" max="33" width="9.13"/>
  </cols>
  <sheetData>
    <row r="1" ht="11.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ht="15.0" customHeight="1">
      <c r="A2" s="115" t="s">
        <v>305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1.2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2.0" customHeight="1">
      <c r="A4" s="64" t="s">
        <v>306</v>
      </c>
      <c r="B4" s="197">
        <v>2018.0</v>
      </c>
      <c r="C4" s="53">
        <f>IF(exit_year&gt;0,HLOOKUP(exit_year,Inc_St!D4:M5,2,FALSE),0)</f>
        <v>3</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1.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12.0" customHeight="1">
      <c r="A6" s="271" t="s">
        <v>307</v>
      </c>
      <c r="B6" s="272"/>
      <c r="C6" s="273" t="s">
        <v>308</v>
      </c>
      <c r="D6" s="273" t="s">
        <v>309</v>
      </c>
      <c r="E6" s="273" t="s">
        <v>310</v>
      </c>
      <c r="F6" s="273" t="s">
        <v>311</v>
      </c>
      <c r="G6" s="274" t="s">
        <v>312</v>
      </c>
      <c r="H6" s="4"/>
      <c r="I6" s="275" t="s">
        <v>313</v>
      </c>
      <c r="J6" s="276"/>
      <c r="K6" s="277"/>
      <c r="L6" s="278"/>
      <c r="M6" s="4"/>
      <c r="N6" s="4"/>
      <c r="O6" s="4"/>
      <c r="P6" s="4"/>
      <c r="Q6" s="4"/>
      <c r="R6" s="4"/>
      <c r="S6" s="4"/>
      <c r="T6" s="4"/>
      <c r="U6" s="4"/>
      <c r="V6" s="4"/>
      <c r="W6" s="4"/>
      <c r="X6" s="4"/>
      <c r="Y6" s="4"/>
      <c r="Z6" s="4"/>
      <c r="AA6" s="4"/>
      <c r="AB6" s="4"/>
      <c r="AC6" s="4"/>
      <c r="AD6" s="4"/>
      <c r="AE6" s="4"/>
      <c r="AF6" s="4"/>
      <c r="AG6" s="4"/>
    </row>
    <row r="7" ht="11.25" customHeight="1">
      <c r="A7" s="212"/>
      <c r="B7" s="6"/>
      <c r="C7" s="6"/>
      <c r="D7" s="6"/>
      <c r="E7" s="6"/>
      <c r="F7" s="6"/>
      <c r="G7" s="279"/>
      <c r="H7" s="4"/>
      <c r="I7" s="212"/>
      <c r="J7" s="6"/>
      <c r="K7" s="6"/>
      <c r="L7" s="229"/>
      <c r="M7" s="4"/>
      <c r="N7" s="4"/>
      <c r="O7" s="4"/>
      <c r="P7" s="4"/>
      <c r="Q7" s="4"/>
      <c r="R7" s="4"/>
      <c r="S7" s="4"/>
      <c r="T7" s="4"/>
      <c r="U7" s="4"/>
      <c r="V7" s="4"/>
      <c r="W7" s="4"/>
      <c r="X7" s="4"/>
      <c r="Y7" s="4"/>
      <c r="Z7" s="4"/>
      <c r="AA7" s="4"/>
      <c r="AB7" s="4"/>
      <c r="AC7" s="4"/>
      <c r="AD7" s="4"/>
      <c r="AE7" s="4"/>
      <c r="AF7" s="4"/>
      <c r="AG7" s="4"/>
    </row>
    <row r="8" ht="11.25" customHeight="1">
      <c r="A8" s="42" t="str">
        <f>Input!A37</f>
        <v>Common - Sponsor Equity</v>
      </c>
      <c r="B8" s="43"/>
      <c r="C8" s="237">
        <f>Input!C37</f>
        <v>220000</v>
      </c>
      <c r="D8" s="206">
        <f t="shared" ref="D8:D10" si="1">C8/SUM($C$8:$C$10)</f>
        <v>0.7719298246</v>
      </c>
      <c r="E8" s="206">
        <v>0.0</v>
      </c>
      <c r="F8" s="206">
        <f t="shared" ref="F8:F9" si="2">D8*(1-$E$16)</f>
        <v>0.6329824561</v>
      </c>
      <c r="G8" s="205" t="str">
        <f t="shared" ref="G8:G14" si="3">F8*$L$16</f>
        <v>#REF!</v>
      </c>
      <c r="H8" s="4"/>
      <c r="I8" s="42" t="s">
        <v>314</v>
      </c>
      <c r="J8" s="211"/>
      <c r="K8" s="43"/>
      <c r="L8" s="251">
        <f>ebitda_multiple</f>
        <v>6</v>
      </c>
      <c r="M8" s="4"/>
      <c r="N8" s="4"/>
      <c r="O8" s="4"/>
      <c r="P8" s="4"/>
      <c r="Q8" s="4"/>
      <c r="R8" s="4"/>
      <c r="S8" s="4"/>
      <c r="T8" s="4"/>
      <c r="U8" s="4"/>
      <c r="V8" s="4"/>
      <c r="W8" s="4"/>
      <c r="X8" s="4"/>
      <c r="Y8" s="4"/>
      <c r="Z8" s="4"/>
      <c r="AA8" s="4"/>
      <c r="AB8" s="4"/>
      <c r="AC8" s="4"/>
      <c r="AD8" s="4"/>
      <c r="AE8" s="4"/>
      <c r="AF8" s="4"/>
      <c r="AG8" s="4"/>
    </row>
    <row r="9" ht="11.25" customHeight="1">
      <c r="A9" s="42" t="str">
        <f>Input!A38</f>
        <v>Management Equity</v>
      </c>
      <c r="B9" s="43"/>
      <c r="C9" s="205">
        <f>Input!C38</f>
        <v>40000</v>
      </c>
      <c r="D9" s="206">
        <f t="shared" si="1"/>
        <v>0.1403508772</v>
      </c>
      <c r="E9" s="206">
        <v>0.0</v>
      </c>
      <c r="F9" s="206">
        <f t="shared" si="2"/>
        <v>0.1150877193</v>
      </c>
      <c r="G9" s="205" t="str">
        <f t="shared" si="3"/>
        <v>#REF!</v>
      </c>
      <c r="H9" s="4"/>
      <c r="I9" s="42" t="s">
        <v>315</v>
      </c>
      <c r="J9" s="211"/>
      <c r="K9" s="43"/>
      <c r="L9" s="205">
        <f>IF($C$4&gt;0,OFFSET(Inc_St!C18,0,$C$4,1,1),0)</f>
        <v>380643.9287</v>
      </c>
      <c r="M9" s="4"/>
      <c r="N9" s="4"/>
      <c r="O9" s="4"/>
      <c r="P9" s="4"/>
      <c r="Q9" s="4"/>
      <c r="R9" s="4"/>
      <c r="S9" s="4"/>
      <c r="T9" s="4"/>
      <c r="U9" s="4"/>
      <c r="V9" s="4"/>
      <c r="W9" s="4"/>
      <c r="X9" s="4"/>
      <c r="Y9" s="4"/>
      <c r="Z9" s="4"/>
      <c r="AA9" s="4"/>
      <c r="AB9" s="4"/>
      <c r="AC9" s="4"/>
      <c r="AD9" s="4"/>
      <c r="AE9" s="4"/>
      <c r="AF9" s="4"/>
      <c r="AG9" s="4"/>
    </row>
    <row r="10" ht="12.0" customHeight="1">
      <c r="A10" s="42" t="str">
        <f>Input!A39</f>
        <v>New Equity</v>
      </c>
      <c r="B10" s="43"/>
      <c r="C10" s="205">
        <f>Input!C39</f>
        <v>25000</v>
      </c>
      <c r="D10" s="206">
        <f t="shared" si="1"/>
        <v>0.08771929825</v>
      </c>
      <c r="E10" s="193">
        <v>0.02</v>
      </c>
      <c r="F10" s="206">
        <f>D10*(1-$E$16)+E10</f>
        <v>0.09192982456</v>
      </c>
      <c r="G10" s="205" t="str">
        <f t="shared" si="3"/>
        <v>#REF!</v>
      </c>
      <c r="H10" s="4"/>
      <c r="I10" s="214" t="s">
        <v>316</v>
      </c>
      <c r="J10" s="211"/>
      <c r="K10" s="43"/>
      <c r="L10" s="280">
        <f>L8*L9</f>
        <v>2283863.572</v>
      </c>
      <c r="M10" s="4"/>
      <c r="N10" s="4"/>
      <c r="O10" s="4"/>
      <c r="P10" s="4"/>
      <c r="Q10" s="4"/>
      <c r="R10" s="4"/>
      <c r="S10" s="4"/>
      <c r="T10" s="4"/>
      <c r="U10" s="4"/>
      <c r="V10" s="4"/>
      <c r="W10" s="4"/>
      <c r="X10" s="4"/>
      <c r="Y10" s="4"/>
      <c r="Z10" s="4"/>
      <c r="AA10" s="4"/>
      <c r="AB10" s="4"/>
      <c r="AC10" s="4"/>
      <c r="AD10" s="4"/>
      <c r="AE10" s="4"/>
      <c r="AF10" s="4"/>
      <c r="AG10" s="4"/>
    </row>
    <row r="11" ht="12.0" customHeight="1">
      <c r="A11" s="42" t="str">
        <f>Input!A31</f>
        <v>Subordinated Notes</v>
      </c>
      <c r="B11" s="43"/>
      <c r="C11" s="205">
        <f>Input!C31</f>
        <v>40000</v>
      </c>
      <c r="D11" s="209" t="s">
        <v>317</v>
      </c>
      <c r="E11" s="193">
        <v>0.03</v>
      </c>
      <c r="F11" s="206">
        <f t="shared" ref="F11:F14" si="4">E11</f>
        <v>0.03</v>
      </c>
      <c r="G11" s="205" t="str">
        <f t="shared" si="3"/>
        <v>#REF!</v>
      </c>
      <c r="H11" s="4"/>
      <c r="I11" s="212"/>
      <c r="J11" s="6"/>
      <c r="K11" s="6"/>
      <c r="L11" s="279"/>
      <c r="M11" s="4"/>
      <c r="N11" s="4"/>
      <c r="O11" s="4"/>
      <c r="P11" s="4"/>
      <c r="Q11" s="4"/>
      <c r="R11" s="4"/>
      <c r="S11" s="4"/>
      <c r="T11" s="4"/>
      <c r="U11" s="4"/>
      <c r="V11" s="4"/>
      <c r="W11" s="4"/>
      <c r="X11" s="4"/>
      <c r="Y11" s="4"/>
      <c r="Z11" s="4"/>
      <c r="AA11" s="4"/>
      <c r="AB11" s="4"/>
      <c r="AC11" s="4"/>
      <c r="AD11" s="4"/>
      <c r="AE11" s="4"/>
      <c r="AF11" s="4"/>
      <c r="AG11" s="4"/>
    </row>
    <row r="12" ht="12.0" customHeight="1">
      <c r="A12" s="42" t="str">
        <f>Input!A32</f>
        <v>Mezzanine Debt</v>
      </c>
      <c r="B12" s="43"/>
      <c r="C12" s="205">
        <f>Input!C32</f>
        <v>70000</v>
      </c>
      <c r="D12" s="209" t="s">
        <v>317</v>
      </c>
      <c r="E12" s="193">
        <v>0.05</v>
      </c>
      <c r="F12" s="206">
        <f t="shared" si="4"/>
        <v>0.05</v>
      </c>
      <c r="G12" s="205" t="str">
        <f t="shared" si="3"/>
        <v>#REF!</v>
      </c>
      <c r="H12" s="4"/>
      <c r="I12" s="42" t="s">
        <v>318</v>
      </c>
      <c r="J12" s="211"/>
      <c r="K12" s="43"/>
      <c r="L12" s="205" t="str">
        <f>IF($C$4&gt;0,OFFSET(Bal_Sheet!$E54,0,$C$4,1,1),0)</f>
        <v>#REF!</v>
      </c>
      <c r="M12" s="4"/>
      <c r="N12" s="4"/>
      <c r="O12" s="4"/>
      <c r="P12" s="4"/>
      <c r="Q12" s="4"/>
      <c r="R12" s="4"/>
      <c r="S12" s="4"/>
      <c r="T12" s="4"/>
      <c r="U12" s="4"/>
      <c r="V12" s="4"/>
      <c r="W12" s="4"/>
      <c r="X12" s="4"/>
      <c r="Y12" s="4"/>
      <c r="Z12" s="4"/>
      <c r="AA12" s="4"/>
      <c r="AB12" s="4"/>
      <c r="AC12" s="4"/>
      <c r="AD12" s="4"/>
      <c r="AE12" s="4"/>
      <c r="AF12" s="4"/>
      <c r="AG12" s="4"/>
    </row>
    <row r="13" ht="12.0" customHeight="1">
      <c r="A13" s="42" t="str">
        <f>Input!A35</f>
        <v>Preferred Stock</v>
      </c>
      <c r="B13" s="43"/>
      <c r="C13" s="205">
        <f>Input!C35</f>
        <v>60000</v>
      </c>
      <c r="D13" s="209" t="s">
        <v>317</v>
      </c>
      <c r="E13" s="193">
        <v>0.04</v>
      </c>
      <c r="F13" s="206">
        <f t="shared" si="4"/>
        <v>0.04</v>
      </c>
      <c r="G13" s="205" t="str">
        <f t="shared" si="3"/>
        <v>#REF!</v>
      </c>
      <c r="H13" s="4"/>
      <c r="I13" s="42" t="s">
        <v>319</v>
      </c>
      <c r="J13" s="211"/>
      <c r="K13" s="43"/>
      <c r="L13" s="205">
        <f>IF($C$4&gt;0,OFFSET(Bal_Sheet!$E61,0,$C$4,1,1),0)</f>
        <v>73502.58</v>
      </c>
      <c r="M13" s="4"/>
      <c r="N13" s="4"/>
      <c r="O13" s="4"/>
      <c r="P13" s="4"/>
      <c r="Q13" s="4"/>
      <c r="R13" s="4"/>
      <c r="S13" s="4"/>
      <c r="T13" s="4"/>
      <c r="U13" s="4"/>
      <c r="V13" s="4"/>
      <c r="W13" s="4"/>
      <c r="X13" s="4"/>
      <c r="Y13" s="4"/>
      <c r="Z13" s="4"/>
      <c r="AA13" s="4"/>
      <c r="AB13" s="4"/>
      <c r="AC13" s="4"/>
      <c r="AD13" s="4"/>
      <c r="AE13" s="4"/>
      <c r="AF13" s="4"/>
      <c r="AG13" s="4"/>
    </row>
    <row r="14" ht="12.0" customHeight="1">
      <c r="A14" s="42" t="s">
        <v>320</v>
      </c>
      <c r="B14" s="43"/>
      <c r="C14" s="281" t="s">
        <v>317</v>
      </c>
      <c r="D14" s="209" t="s">
        <v>317</v>
      </c>
      <c r="E14" s="193">
        <v>0.04</v>
      </c>
      <c r="F14" s="206">
        <f t="shared" si="4"/>
        <v>0.04</v>
      </c>
      <c r="G14" s="205" t="str">
        <f t="shared" si="3"/>
        <v>#REF!</v>
      </c>
      <c r="H14" s="4"/>
      <c r="I14" s="42" t="s">
        <v>321</v>
      </c>
      <c r="J14" s="211"/>
      <c r="K14" s="43"/>
      <c r="L14" s="205" t="str">
        <f>IF($C$4&gt;0,OFFSET(Bal_Sheet!$E10,0,$C$4,1,1),0)</f>
        <v>#REF!</v>
      </c>
      <c r="M14" s="4"/>
      <c r="N14" s="4"/>
      <c r="O14" s="4"/>
      <c r="P14" s="4"/>
      <c r="Q14" s="4"/>
      <c r="R14" s="4"/>
      <c r="S14" s="4"/>
      <c r="T14" s="4"/>
      <c r="U14" s="4"/>
      <c r="V14" s="4"/>
      <c r="W14" s="4"/>
      <c r="X14" s="4"/>
      <c r="Y14" s="4"/>
      <c r="Z14" s="4"/>
      <c r="AA14" s="4"/>
      <c r="AB14" s="4"/>
      <c r="AC14" s="4"/>
      <c r="AD14" s="4"/>
      <c r="AE14" s="4"/>
      <c r="AF14" s="4"/>
      <c r="AG14" s="4"/>
    </row>
    <row r="15" ht="11.25" customHeight="1">
      <c r="A15" s="212"/>
      <c r="B15" s="6"/>
      <c r="C15" s="28"/>
      <c r="D15" s="6"/>
      <c r="E15" s="71"/>
      <c r="F15" s="71"/>
      <c r="G15" s="279"/>
      <c r="H15" s="4"/>
      <c r="I15" s="212"/>
      <c r="J15" s="6"/>
      <c r="K15" s="6"/>
      <c r="L15" s="279"/>
      <c r="M15" s="4"/>
      <c r="N15" s="4"/>
      <c r="O15" s="4"/>
      <c r="P15" s="4"/>
      <c r="Q15" s="4"/>
      <c r="R15" s="4"/>
      <c r="S15" s="4"/>
      <c r="T15" s="4"/>
      <c r="U15" s="4"/>
      <c r="V15" s="4"/>
      <c r="W15" s="4"/>
      <c r="X15" s="4"/>
      <c r="Y15" s="4"/>
      <c r="Z15" s="4"/>
      <c r="AA15" s="4"/>
      <c r="AB15" s="4"/>
      <c r="AC15" s="4"/>
      <c r="AD15" s="4"/>
      <c r="AE15" s="4"/>
      <c r="AF15" s="4"/>
      <c r="AG15" s="4"/>
    </row>
    <row r="16" ht="12.0" customHeight="1">
      <c r="A16" s="42" t="s">
        <v>74</v>
      </c>
      <c r="B16" s="43"/>
      <c r="C16" s="205">
        <f t="shared" ref="C16:G16" si="5">SUM(C8:C15)</f>
        <v>455000</v>
      </c>
      <c r="D16" s="206">
        <f t="shared" si="5"/>
        <v>1</v>
      </c>
      <c r="E16" s="206">
        <f t="shared" si="5"/>
        <v>0.18</v>
      </c>
      <c r="F16" s="206">
        <f t="shared" si="5"/>
        <v>1</v>
      </c>
      <c r="G16" s="205" t="str">
        <f t="shared" si="5"/>
        <v>#REF!</v>
      </c>
      <c r="H16" s="4"/>
      <c r="I16" s="214" t="s">
        <v>322</v>
      </c>
      <c r="J16" s="211"/>
      <c r="K16" s="43"/>
      <c r="L16" s="205" t="str">
        <f>SUM(L10,-L12,-L13,L14)</f>
        <v>#REF!</v>
      </c>
      <c r="M16" s="4"/>
      <c r="N16" s="4"/>
      <c r="O16" s="4"/>
      <c r="P16" s="4"/>
      <c r="Q16" s="4"/>
      <c r="R16" s="4"/>
      <c r="S16" s="4"/>
      <c r="T16" s="4"/>
      <c r="U16" s="4"/>
      <c r="V16" s="4"/>
      <c r="W16" s="4"/>
      <c r="X16" s="4"/>
      <c r="Y16" s="4"/>
      <c r="Z16" s="4"/>
      <c r="AA16" s="4"/>
      <c r="AB16" s="4"/>
      <c r="AC16" s="4"/>
      <c r="AD16" s="4"/>
      <c r="AE16" s="4"/>
      <c r="AF16" s="4"/>
      <c r="AG16" s="4"/>
    </row>
    <row r="17" ht="11.25" customHeight="1">
      <c r="A17" s="4"/>
      <c r="B17" s="4"/>
      <c r="C17" s="58"/>
      <c r="D17" s="4"/>
      <c r="E17" s="4"/>
      <c r="F17" s="4"/>
      <c r="G17" s="58"/>
      <c r="H17" s="4"/>
      <c r="I17" s="4"/>
      <c r="J17" s="4"/>
      <c r="K17" s="4"/>
      <c r="L17" s="4"/>
      <c r="M17" s="282"/>
      <c r="N17" s="4"/>
      <c r="O17" s="4"/>
      <c r="P17" s="4"/>
      <c r="Q17" s="4"/>
      <c r="R17" s="4"/>
      <c r="S17" s="4"/>
      <c r="T17" s="4"/>
      <c r="U17" s="4"/>
      <c r="V17" s="4"/>
      <c r="W17" s="4"/>
      <c r="X17" s="4"/>
      <c r="Y17" s="4"/>
      <c r="Z17" s="4"/>
      <c r="AA17" s="4"/>
      <c r="AB17" s="4"/>
      <c r="AC17" s="4"/>
      <c r="AD17" s="4"/>
      <c r="AE17" s="4"/>
      <c r="AF17" s="4"/>
      <c r="AG17" s="4"/>
    </row>
    <row r="18" ht="11.25" customHeight="1">
      <c r="A18" s="4"/>
      <c r="B18" s="4"/>
      <c r="C18" s="58"/>
      <c r="D18" s="4"/>
      <c r="E18" s="4"/>
      <c r="F18" s="4"/>
      <c r="G18" s="58"/>
      <c r="H18" s="4"/>
      <c r="I18" s="4"/>
      <c r="J18" s="4"/>
      <c r="K18" s="4"/>
      <c r="L18" s="4"/>
      <c r="M18" s="4"/>
      <c r="N18" s="4"/>
      <c r="O18" s="4"/>
      <c r="P18" s="4"/>
      <c r="Q18" s="4"/>
      <c r="R18" s="4"/>
      <c r="S18" s="4"/>
      <c r="T18" s="4"/>
      <c r="U18" s="4"/>
      <c r="V18" s="4"/>
      <c r="W18" s="4"/>
      <c r="X18" s="4"/>
      <c r="Y18" s="4"/>
      <c r="Z18" s="4"/>
      <c r="AA18" s="4"/>
      <c r="AB18" s="4"/>
      <c r="AC18" s="4"/>
      <c r="AD18" s="4"/>
      <c r="AE18" s="4"/>
      <c r="AF18" s="4"/>
      <c r="AG18" s="4"/>
    </row>
    <row r="19" ht="11.25" customHeight="1">
      <c r="A19" s="4"/>
      <c r="B19" s="4"/>
      <c r="C19" s="58"/>
      <c r="D19" s="4"/>
      <c r="E19" s="4"/>
      <c r="F19" s="4"/>
      <c r="G19" s="58"/>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ht="12.0" customHeight="1">
      <c r="A20" s="4"/>
      <c r="B20" s="4"/>
      <c r="C20" s="58"/>
      <c r="D20" s="4"/>
      <c r="E20" s="4"/>
      <c r="F20" s="4"/>
      <c r="G20" s="58"/>
      <c r="H20" s="4"/>
      <c r="I20" s="4"/>
      <c r="J20" s="4"/>
      <c r="K20" s="4"/>
      <c r="L20" s="4"/>
      <c r="M20" s="4"/>
      <c r="N20" s="4"/>
      <c r="O20" s="4"/>
      <c r="P20" s="4"/>
      <c r="Q20" s="4"/>
      <c r="R20" s="4"/>
      <c r="S20" s="4"/>
      <c r="T20" s="4"/>
      <c r="U20" s="4"/>
      <c r="V20" s="4"/>
      <c r="W20" s="4"/>
      <c r="X20" s="4"/>
      <c r="Y20" s="4"/>
      <c r="Z20" s="4"/>
      <c r="AA20" s="4"/>
      <c r="AB20" s="4"/>
      <c r="AC20" s="4"/>
      <c r="AD20" s="4"/>
      <c r="AE20" s="4"/>
      <c r="AF20" s="4"/>
      <c r="AG20" s="4"/>
    </row>
    <row r="21" ht="12.0" customHeight="1">
      <c r="A21" s="283" t="s">
        <v>323</v>
      </c>
      <c r="B21" s="284"/>
      <c r="C21" s="285" t="s">
        <v>127</v>
      </c>
      <c r="D21" s="286">
        <f>year1</f>
        <v>2010</v>
      </c>
      <c r="E21" s="286">
        <f t="shared" ref="E21:M21" si="6">D21+1</f>
        <v>2011</v>
      </c>
      <c r="F21" s="286">
        <f t="shared" si="6"/>
        <v>2012</v>
      </c>
      <c r="G21" s="286">
        <f t="shared" si="6"/>
        <v>2013</v>
      </c>
      <c r="H21" s="286">
        <f t="shared" si="6"/>
        <v>2014</v>
      </c>
      <c r="I21" s="286">
        <f t="shared" si="6"/>
        <v>2015</v>
      </c>
      <c r="J21" s="286">
        <f t="shared" si="6"/>
        <v>2016</v>
      </c>
      <c r="K21" s="286">
        <f t="shared" si="6"/>
        <v>2017</v>
      </c>
      <c r="L21" s="286">
        <f t="shared" si="6"/>
        <v>2018</v>
      </c>
      <c r="M21" s="287">
        <f t="shared" si="6"/>
        <v>2019</v>
      </c>
      <c r="N21" s="4"/>
      <c r="O21" s="4"/>
      <c r="P21" s="4"/>
      <c r="Q21" s="4"/>
      <c r="R21" s="4"/>
      <c r="S21" s="4"/>
      <c r="T21" s="4"/>
      <c r="U21" s="4"/>
      <c r="V21" s="4"/>
      <c r="W21" s="4"/>
      <c r="X21" s="4"/>
      <c r="Y21" s="4"/>
      <c r="Z21" s="4"/>
      <c r="AA21" s="4"/>
      <c r="AB21" s="4"/>
      <c r="AC21" s="4"/>
      <c r="AD21" s="4"/>
      <c r="AE21" s="4"/>
      <c r="AF21" s="4"/>
      <c r="AG21" s="4"/>
    </row>
    <row r="22" ht="11.25" customHeight="1">
      <c r="A22" s="8"/>
      <c r="B22" s="6"/>
      <c r="C22" s="288">
        <f>D22-1</f>
        <v>0</v>
      </c>
      <c r="D22" s="175">
        <v>1.0</v>
      </c>
      <c r="E22" s="175">
        <f t="shared" ref="E22:M22" si="7">D22+1</f>
        <v>2</v>
      </c>
      <c r="F22" s="175">
        <f t="shared" si="7"/>
        <v>3</v>
      </c>
      <c r="G22" s="175">
        <f t="shared" si="7"/>
        <v>4</v>
      </c>
      <c r="H22" s="175">
        <f t="shared" si="7"/>
        <v>5</v>
      </c>
      <c r="I22" s="175">
        <f t="shared" si="7"/>
        <v>6</v>
      </c>
      <c r="J22" s="175">
        <f t="shared" si="7"/>
        <v>7</v>
      </c>
      <c r="K22" s="175">
        <f t="shared" si="7"/>
        <v>8</v>
      </c>
      <c r="L22" s="175">
        <f t="shared" si="7"/>
        <v>9</v>
      </c>
      <c r="M22" s="289">
        <f t="shared" si="7"/>
        <v>10</v>
      </c>
      <c r="N22" s="170"/>
      <c r="O22" s="170"/>
      <c r="P22" s="170"/>
      <c r="Q22" s="170"/>
      <c r="R22" s="170"/>
      <c r="S22" s="170"/>
      <c r="T22" s="170"/>
      <c r="U22" s="170"/>
      <c r="V22" s="170"/>
      <c r="W22" s="170"/>
      <c r="X22" s="170"/>
      <c r="Y22" s="170"/>
      <c r="Z22" s="170"/>
      <c r="AA22" s="170"/>
      <c r="AB22" s="170"/>
      <c r="AC22" s="170"/>
      <c r="AD22" s="170"/>
      <c r="AE22" s="170"/>
      <c r="AF22" s="170"/>
      <c r="AG22" s="170"/>
    </row>
    <row r="23" ht="11.25" customHeight="1">
      <c r="A23" s="8"/>
      <c r="B23" s="6"/>
      <c r="C23" s="6"/>
      <c r="D23" s="290"/>
      <c r="E23" s="290"/>
      <c r="F23" s="290"/>
      <c r="G23" s="290"/>
      <c r="H23" s="290"/>
      <c r="I23" s="290"/>
      <c r="J23" s="290"/>
      <c r="K23" s="290"/>
      <c r="L23" s="290"/>
      <c r="M23" s="291"/>
      <c r="N23" s="170"/>
      <c r="O23" s="170"/>
      <c r="P23" s="170"/>
      <c r="Q23" s="170"/>
      <c r="R23" s="170"/>
      <c r="S23" s="170"/>
      <c r="T23" s="170"/>
      <c r="U23" s="170"/>
      <c r="V23" s="170"/>
      <c r="W23" s="170"/>
      <c r="X23" s="170"/>
      <c r="Y23" s="170"/>
      <c r="Z23" s="170"/>
      <c r="AA23" s="170"/>
      <c r="AB23" s="170"/>
      <c r="AC23" s="170"/>
      <c r="AD23" s="170"/>
      <c r="AE23" s="170"/>
      <c r="AF23" s="170"/>
      <c r="AG23" s="170"/>
    </row>
    <row r="24" ht="12.0" customHeight="1">
      <c r="A24" s="292" t="str">
        <f>A11</f>
        <v>Subordinated Notes</v>
      </c>
      <c r="B24" s="207"/>
      <c r="C24" s="249"/>
      <c r="D24" s="249"/>
      <c r="E24" s="249"/>
      <c r="F24" s="249"/>
      <c r="G24" s="249"/>
      <c r="H24" s="249"/>
      <c r="I24" s="249"/>
      <c r="J24" s="249"/>
      <c r="K24" s="249"/>
      <c r="L24" s="249"/>
      <c r="M24" s="293"/>
      <c r="N24" s="58"/>
      <c r="O24" s="4"/>
      <c r="P24" s="4"/>
      <c r="Q24" s="4"/>
      <c r="R24" s="4"/>
      <c r="S24" s="4"/>
      <c r="T24" s="4"/>
      <c r="U24" s="4"/>
      <c r="V24" s="4"/>
      <c r="W24" s="4"/>
      <c r="X24" s="4"/>
      <c r="Y24" s="4"/>
      <c r="Z24" s="4"/>
      <c r="AA24" s="4"/>
      <c r="AB24" s="4"/>
      <c r="AC24" s="4"/>
      <c r="AD24" s="4"/>
      <c r="AE24" s="4"/>
      <c r="AF24" s="4"/>
      <c r="AG24" s="4"/>
    </row>
    <row r="25" ht="11.25" customHeight="1">
      <c r="A25" s="294" t="s">
        <v>324</v>
      </c>
      <c r="B25" s="6"/>
      <c r="C25" s="205">
        <f>-Bal_Sheet!E51</f>
        <v>-40000</v>
      </c>
      <c r="D25" s="205"/>
      <c r="E25" s="205"/>
      <c r="F25" s="205"/>
      <c r="G25" s="205"/>
      <c r="H25" s="205"/>
      <c r="I25" s="205"/>
      <c r="J25" s="205"/>
      <c r="K25" s="205"/>
      <c r="L25" s="205"/>
      <c r="M25" s="295"/>
      <c r="N25" s="58"/>
      <c r="O25" s="4"/>
      <c r="P25" s="4"/>
      <c r="Q25" s="4"/>
      <c r="R25" s="4"/>
      <c r="S25" s="4"/>
      <c r="T25" s="4"/>
      <c r="U25" s="4"/>
      <c r="V25" s="4"/>
      <c r="W25" s="4"/>
      <c r="X25" s="4"/>
      <c r="Y25" s="4"/>
      <c r="Z25" s="4"/>
      <c r="AA25" s="4"/>
      <c r="AB25" s="4"/>
      <c r="AC25" s="4"/>
      <c r="AD25" s="4"/>
      <c r="AE25" s="4"/>
      <c r="AF25" s="4"/>
      <c r="AG25" s="4"/>
    </row>
    <row r="26" ht="11.25" customHeight="1">
      <c r="A26" s="294" t="s">
        <v>325</v>
      </c>
      <c r="B26" s="6"/>
      <c r="C26" s="205"/>
      <c r="D26" s="205">
        <f>IF($C$4&gt;=D$22,Inc_St!D$30-Cash_Flow!D$15,0)</f>
        <v>0</v>
      </c>
      <c r="E26" s="205" t="str">
        <f>IF($C$4&gt;=E$22,Inc_St!E$30-Cash_Flow!E$15,0)</f>
        <v>#REF!</v>
      </c>
      <c r="F26" s="205" t="str">
        <f>IF($C$4&gt;=F$22,Inc_St!F$30-Cash_Flow!F$15,0)</f>
        <v>#REF!</v>
      </c>
      <c r="G26" s="205">
        <f>IF($C$4&gt;=G$22,Inc_St!G$30-Cash_Flow!G$15,0)</f>
        <v>0</v>
      </c>
      <c r="H26" s="205">
        <f>IF($C$4&gt;=H$22,Inc_St!H$30-Cash_Flow!H$15,0)</f>
        <v>0</v>
      </c>
      <c r="I26" s="205">
        <f>IF($C$4&gt;=I$22,Inc_St!I$30-Cash_Flow!I$15,0)</f>
        <v>0</v>
      </c>
      <c r="J26" s="205">
        <f>IF($C$4&gt;=J$22,Inc_St!J$30-Cash_Flow!J$15,0)</f>
        <v>0</v>
      </c>
      <c r="K26" s="205">
        <f>IF($C$4&gt;=K$22,Inc_St!K$30-Cash_Flow!K$15,0)</f>
        <v>0</v>
      </c>
      <c r="L26" s="205">
        <f>IF($C$4&gt;=L$22,Inc_St!L$30-Cash_Flow!L$15,0)</f>
        <v>0</v>
      </c>
      <c r="M26" s="295">
        <f>IF($C$4&gt;=M$22,Inc_St!M$30-Cash_Flow!M$15,0)</f>
        <v>0</v>
      </c>
      <c r="N26" s="58"/>
      <c r="O26" s="4"/>
      <c r="P26" s="4"/>
      <c r="Q26" s="4"/>
      <c r="R26" s="4"/>
      <c r="S26" s="4"/>
      <c r="T26" s="4"/>
      <c r="U26" s="4"/>
      <c r="V26" s="4"/>
      <c r="W26" s="4"/>
      <c r="X26" s="4"/>
      <c r="Y26" s="4"/>
      <c r="Z26" s="4"/>
      <c r="AA26" s="4"/>
      <c r="AB26" s="4"/>
      <c r="AC26" s="4"/>
      <c r="AD26" s="4"/>
      <c r="AE26" s="4"/>
      <c r="AF26" s="4"/>
      <c r="AG26" s="4"/>
    </row>
    <row r="27" ht="11.25" customHeight="1">
      <c r="A27" s="294" t="s">
        <v>326</v>
      </c>
      <c r="B27" s="6"/>
      <c r="C27" s="205"/>
      <c r="D27" s="205" t="str">
        <f>IF($C$4&gt;=D$22,SUM(Cash_Flow!D$89,Cash_Flow!D$104),0)</f>
        <v>#REF!</v>
      </c>
      <c r="E27" s="205" t="str">
        <f>IF($C$4&gt;=E$22,SUM(Cash_Flow!E$89,Cash_Flow!E$104),0)</f>
        <v>#REF!</v>
      </c>
      <c r="F27" s="205" t="str">
        <f>IF($C$4&gt;=F$22,SUM(Cash_Flow!F$89,Cash_Flow!F$104),0)</f>
        <v>#REF!</v>
      </c>
      <c r="G27" s="205">
        <f>IF($C$4&gt;=G$22,SUM(Cash_Flow!G$89,Cash_Flow!G$104),0)</f>
        <v>0</v>
      </c>
      <c r="H27" s="205">
        <f>IF($C$4&gt;=H$22,SUM(Cash_Flow!H$89,Cash_Flow!H$104),0)</f>
        <v>0</v>
      </c>
      <c r="I27" s="205">
        <f>IF($C$4&gt;=I$22,SUM(Cash_Flow!I$89,Cash_Flow!I$104),0)</f>
        <v>0</v>
      </c>
      <c r="J27" s="205">
        <f>IF($C$4&gt;=J$22,SUM(Cash_Flow!J$89,Cash_Flow!J$104),0)</f>
        <v>0</v>
      </c>
      <c r="K27" s="205">
        <f>IF($C$4&gt;=K$22,SUM(Cash_Flow!K$89,Cash_Flow!K$104),0)</f>
        <v>0</v>
      </c>
      <c r="L27" s="205">
        <f>IF($C$4&gt;=L$22,SUM(Cash_Flow!L$89,Cash_Flow!L$104),0)</f>
        <v>0</v>
      </c>
      <c r="M27" s="295">
        <f>IF($C$4&gt;=M$22,SUM(Cash_Flow!M$89,Cash_Flow!M$104),0)</f>
        <v>0</v>
      </c>
      <c r="N27" s="58"/>
      <c r="O27" s="4"/>
      <c r="P27" s="4"/>
      <c r="Q27" s="4"/>
      <c r="R27" s="4"/>
      <c r="S27" s="4"/>
      <c r="T27" s="4"/>
      <c r="U27" s="4"/>
      <c r="V27" s="4"/>
      <c r="W27" s="4"/>
      <c r="X27" s="4"/>
      <c r="Y27" s="4"/>
      <c r="Z27" s="4"/>
      <c r="AA27" s="4"/>
      <c r="AB27" s="4"/>
      <c r="AC27" s="4"/>
      <c r="AD27" s="4"/>
      <c r="AE27" s="4"/>
      <c r="AF27" s="4"/>
      <c r="AG27" s="4"/>
    </row>
    <row r="28" ht="11.25" customHeight="1">
      <c r="A28" s="294" t="s">
        <v>327</v>
      </c>
      <c r="B28" s="6"/>
      <c r="C28" s="205"/>
      <c r="D28" s="205">
        <f>IF($C$4=D$22,Bal_Sheet!F$51,0)</f>
        <v>0</v>
      </c>
      <c r="E28" s="205">
        <f>IF($C$4=E$22,Bal_Sheet!G$51,0)</f>
        <v>0</v>
      </c>
      <c r="F28" s="205" t="str">
        <f>IF($C$4=F$22,Bal_Sheet!H$51,0)</f>
        <v>#REF!</v>
      </c>
      <c r="G28" s="205">
        <f>IF($C$4=G$22,Bal_Sheet!I$51,0)</f>
        <v>0</v>
      </c>
      <c r="H28" s="205">
        <f>IF($C$4=H$22,Bal_Sheet!J$51,0)</f>
        <v>0</v>
      </c>
      <c r="I28" s="205">
        <f>IF($C$4=I$22,Bal_Sheet!K$51,0)</f>
        <v>0</v>
      </c>
      <c r="J28" s="205">
        <f>IF($C$4=J$22,Bal_Sheet!L$51,0)</f>
        <v>0</v>
      </c>
      <c r="K28" s="205">
        <f>IF($C$4=K$22,Bal_Sheet!M$51,0)</f>
        <v>0</v>
      </c>
      <c r="L28" s="205">
        <f>IF($C$4=L$22,Bal_Sheet!N$51,0)</f>
        <v>0</v>
      </c>
      <c r="M28" s="295">
        <f>IF($C$4=M$22,Bal_Sheet!O$51,0)</f>
        <v>0</v>
      </c>
      <c r="N28" s="58"/>
      <c r="O28" s="4"/>
      <c r="P28" s="4"/>
      <c r="Q28" s="4"/>
      <c r="R28" s="4"/>
      <c r="S28" s="4"/>
      <c r="T28" s="4"/>
      <c r="U28" s="4"/>
      <c r="V28" s="4"/>
      <c r="W28" s="4"/>
      <c r="X28" s="4"/>
      <c r="Y28" s="4"/>
      <c r="Z28" s="4"/>
      <c r="AA28" s="4"/>
      <c r="AB28" s="4"/>
      <c r="AC28" s="4"/>
      <c r="AD28" s="4"/>
      <c r="AE28" s="4"/>
      <c r="AF28" s="4"/>
      <c r="AG28" s="4"/>
    </row>
    <row r="29" ht="11.25" customHeight="1">
      <c r="A29" s="294" t="s">
        <v>328</v>
      </c>
      <c r="B29" s="6"/>
      <c r="C29" s="205"/>
      <c r="D29" s="205">
        <f t="shared" ref="D29:M29" si="8">IF($C$4=D$22,$G$11,0)</f>
        <v>0</v>
      </c>
      <c r="E29" s="205">
        <f t="shared" si="8"/>
        <v>0</v>
      </c>
      <c r="F29" s="205" t="str">
        <f t="shared" si="8"/>
        <v>#REF!</v>
      </c>
      <c r="G29" s="205">
        <f t="shared" si="8"/>
        <v>0</v>
      </c>
      <c r="H29" s="205">
        <f t="shared" si="8"/>
        <v>0</v>
      </c>
      <c r="I29" s="205">
        <f t="shared" si="8"/>
        <v>0</v>
      </c>
      <c r="J29" s="205">
        <f t="shared" si="8"/>
        <v>0</v>
      </c>
      <c r="K29" s="205">
        <f t="shared" si="8"/>
        <v>0</v>
      </c>
      <c r="L29" s="205">
        <f t="shared" si="8"/>
        <v>0</v>
      </c>
      <c r="M29" s="295">
        <f t="shared" si="8"/>
        <v>0</v>
      </c>
      <c r="N29" s="58"/>
      <c r="O29" s="4"/>
      <c r="P29" s="4"/>
      <c r="Q29" s="4"/>
      <c r="R29" s="4"/>
      <c r="S29" s="4"/>
      <c r="T29" s="4"/>
      <c r="U29" s="4"/>
      <c r="V29" s="4"/>
      <c r="W29" s="4"/>
      <c r="X29" s="4"/>
      <c r="Y29" s="4"/>
      <c r="Z29" s="4"/>
      <c r="AA29" s="4"/>
      <c r="AB29" s="4"/>
      <c r="AC29" s="4"/>
      <c r="AD29" s="4"/>
      <c r="AE29" s="4"/>
      <c r="AF29" s="4"/>
      <c r="AG29" s="4"/>
    </row>
    <row r="30" ht="12.0" customHeight="1">
      <c r="A30" s="296" t="s">
        <v>329</v>
      </c>
      <c r="B30" s="297" t="str">
        <f>IF($C$4&gt;0,IRR($C30:$M30, ),0)</f>
        <v>#REF!</v>
      </c>
      <c r="C30" s="205">
        <f>C25</f>
        <v>-40000</v>
      </c>
      <c r="D30" s="205" t="str">
        <f t="shared" ref="D30:M30" si="9">SUM(D26:D29)</f>
        <v>#REF!</v>
      </c>
      <c r="E30" s="205" t="str">
        <f t="shared" si="9"/>
        <v>#REF!</v>
      </c>
      <c r="F30" s="205" t="str">
        <f t="shared" si="9"/>
        <v>#REF!</v>
      </c>
      <c r="G30" s="205">
        <f t="shared" si="9"/>
        <v>0</v>
      </c>
      <c r="H30" s="205">
        <f t="shared" si="9"/>
        <v>0</v>
      </c>
      <c r="I30" s="205">
        <f t="shared" si="9"/>
        <v>0</v>
      </c>
      <c r="J30" s="205">
        <f t="shared" si="9"/>
        <v>0</v>
      </c>
      <c r="K30" s="205">
        <f t="shared" si="9"/>
        <v>0</v>
      </c>
      <c r="L30" s="205">
        <f t="shared" si="9"/>
        <v>0</v>
      </c>
      <c r="M30" s="295">
        <f t="shared" si="9"/>
        <v>0</v>
      </c>
      <c r="N30" s="58"/>
      <c r="O30" s="4"/>
      <c r="P30" s="4"/>
      <c r="Q30" s="4"/>
      <c r="R30" s="4"/>
      <c r="S30" s="4"/>
      <c r="T30" s="4"/>
      <c r="U30" s="4"/>
      <c r="V30" s="4"/>
      <c r="W30" s="4"/>
      <c r="X30" s="4"/>
      <c r="Y30" s="4"/>
      <c r="Z30" s="4"/>
      <c r="AA30" s="4"/>
      <c r="AB30" s="4"/>
      <c r="AC30" s="4"/>
      <c r="AD30" s="4"/>
      <c r="AE30" s="4"/>
      <c r="AF30" s="4"/>
      <c r="AG30" s="4"/>
    </row>
    <row r="31" ht="12.0" customHeight="1">
      <c r="A31" s="103"/>
      <c r="B31" s="298"/>
      <c r="C31" s="28"/>
      <c r="D31" s="28"/>
      <c r="E31" s="28"/>
      <c r="F31" s="28"/>
      <c r="G31" s="28"/>
      <c r="H31" s="28"/>
      <c r="I31" s="28"/>
      <c r="J31" s="28"/>
      <c r="K31" s="28"/>
      <c r="L31" s="28"/>
      <c r="M31" s="79"/>
      <c r="N31" s="58"/>
      <c r="O31" s="4"/>
      <c r="P31" s="4"/>
      <c r="Q31" s="4"/>
      <c r="R31" s="4"/>
      <c r="S31" s="4"/>
      <c r="T31" s="4"/>
      <c r="U31" s="4"/>
      <c r="V31" s="4"/>
      <c r="W31" s="4"/>
      <c r="X31" s="4"/>
      <c r="Y31" s="4"/>
      <c r="Z31" s="4"/>
      <c r="AA31" s="4"/>
      <c r="AB31" s="4"/>
      <c r="AC31" s="4"/>
      <c r="AD31" s="4"/>
      <c r="AE31" s="4"/>
      <c r="AF31" s="4"/>
      <c r="AG31" s="4"/>
    </row>
    <row r="32" ht="12.0" customHeight="1">
      <c r="A32" s="103"/>
      <c r="B32" s="298"/>
      <c r="C32" s="28"/>
      <c r="D32" s="28"/>
      <c r="E32" s="28"/>
      <c r="F32" s="28"/>
      <c r="G32" s="28"/>
      <c r="H32" s="28"/>
      <c r="I32" s="28"/>
      <c r="J32" s="28"/>
      <c r="K32" s="28"/>
      <c r="L32" s="28"/>
      <c r="M32" s="79"/>
      <c r="N32" s="58"/>
      <c r="O32" s="4"/>
      <c r="P32" s="4"/>
      <c r="Q32" s="4"/>
      <c r="R32" s="4"/>
      <c r="S32" s="4"/>
      <c r="T32" s="4"/>
      <c r="U32" s="4"/>
      <c r="V32" s="4"/>
      <c r="W32" s="4"/>
      <c r="X32" s="4"/>
      <c r="Y32" s="4"/>
      <c r="Z32" s="4"/>
      <c r="AA32" s="4"/>
      <c r="AB32" s="4"/>
      <c r="AC32" s="4"/>
      <c r="AD32" s="4"/>
      <c r="AE32" s="4"/>
      <c r="AF32" s="4"/>
      <c r="AG32" s="4"/>
    </row>
    <row r="33" ht="12.0" customHeight="1">
      <c r="A33" s="292" t="str">
        <f>A12</f>
        <v>Mezzanine Debt</v>
      </c>
      <c r="B33" s="207"/>
      <c r="C33" s="249"/>
      <c r="D33" s="249"/>
      <c r="E33" s="249"/>
      <c r="F33" s="249"/>
      <c r="G33" s="249"/>
      <c r="H33" s="249"/>
      <c r="I33" s="249"/>
      <c r="J33" s="249"/>
      <c r="K33" s="249"/>
      <c r="L33" s="249"/>
      <c r="M33" s="293"/>
      <c r="N33" s="58"/>
      <c r="O33" s="4"/>
      <c r="P33" s="4"/>
      <c r="Q33" s="4"/>
      <c r="R33" s="4"/>
      <c r="S33" s="4"/>
      <c r="T33" s="4"/>
      <c r="U33" s="4"/>
      <c r="V33" s="4"/>
      <c r="W33" s="4"/>
      <c r="X33" s="4"/>
      <c r="Y33" s="4"/>
      <c r="Z33" s="4"/>
      <c r="AA33" s="4"/>
      <c r="AB33" s="4"/>
      <c r="AC33" s="4"/>
      <c r="AD33" s="4"/>
      <c r="AE33" s="4"/>
      <c r="AF33" s="4"/>
      <c r="AG33" s="4"/>
    </row>
    <row r="34" ht="11.25" customHeight="1">
      <c r="A34" s="294" t="s">
        <v>324</v>
      </c>
      <c r="B34" s="6"/>
      <c r="C34" s="205">
        <f>-Bal_Sheet!E52</f>
        <v>-70000</v>
      </c>
      <c r="D34" s="205"/>
      <c r="E34" s="205"/>
      <c r="F34" s="205"/>
      <c r="G34" s="205"/>
      <c r="H34" s="205"/>
      <c r="I34" s="205"/>
      <c r="J34" s="205"/>
      <c r="K34" s="205"/>
      <c r="L34" s="205"/>
      <c r="M34" s="295"/>
      <c r="N34" s="58"/>
      <c r="O34" s="4"/>
      <c r="P34" s="4"/>
      <c r="Q34" s="4"/>
      <c r="R34" s="4"/>
      <c r="S34" s="4"/>
      <c r="T34" s="4"/>
      <c r="U34" s="4"/>
      <c r="V34" s="4"/>
      <c r="W34" s="4"/>
      <c r="X34" s="4"/>
      <c r="Y34" s="4"/>
      <c r="Z34" s="4"/>
      <c r="AA34" s="4"/>
      <c r="AB34" s="4"/>
      <c r="AC34" s="4"/>
      <c r="AD34" s="4"/>
      <c r="AE34" s="4"/>
      <c r="AF34" s="4"/>
      <c r="AG34" s="4"/>
    </row>
    <row r="35" ht="11.25" customHeight="1">
      <c r="A35" s="294" t="s">
        <v>325</v>
      </c>
      <c r="B35" s="6"/>
      <c r="C35" s="205"/>
      <c r="D35" s="205">
        <f>IF($C$4&gt;=D$22,Inc_St!D$31-Cash_Flow!D$16,0)</f>
        <v>0</v>
      </c>
      <c r="E35" s="205" t="str">
        <f>IF($C$4&gt;=E$22,Inc_St!E$31-Cash_Flow!E$16,0)</f>
        <v>#REF!</v>
      </c>
      <c r="F35" s="205" t="str">
        <f>IF($C$4&gt;=F$22,Inc_St!F$31-Cash_Flow!F$16,0)</f>
        <v>#REF!</v>
      </c>
      <c r="G35" s="205">
        <f>IF($C$4&gt;=G$22,Inc_St!G$31-Cash_Flow!G$16,0)</f>
        <v>0</v>
      </c>
      <c r="H35" s="205">
        <f>IF($C$4&gt;=H$22,Inc_St!H$31-Cash_Flow!H$16,0)</f>
        <v>0</v>
      </c>
      <c r="I35" s="205">
        <f>IF($C$4&gt;=I$22,Inc_St!I$31-Cash_Flow!I$16,0)</f>
        <v>0</v>
      </c>
      <c r="J35" s="205">
        <f>IF($C$4&gt;=J$22,Inc_St!J$31-Cash_Flow!J$16,0)</f>
        <v>0</v>
      </c>
      <c r="K35" s="205">
        <f>IF($C$4&gt;=K$22,Inc_St!K$31-Cash_Flow!K$16,0)</f>
        <v>0</v>
      </c>
      <c r="L35" s="205">
        <f>IF($C$4&gt;=L$22,Inc_St!L$31-Cash_Flow!L$16,0)</f>
        <v>0</v>
      </c>
      <c r="M35" s="295">
        <f>IF($C$4&gt;=M$22,Inc_St!M$31-Cash_Flow!M$16,0)</f>
        <v>0</v>
      </c>
      <c r="N35" s="58"/>
      <c r="O35" s="4"/>
      <c r="P35" s="4"/>
      <c r="Q35" s="4"/>
      <c r="R35" s="4"/>
      <c r="S35" s="4"/>
      <c r="T35" s="4"/>
      <c r="U35" s="4"/>
      <c r="V35" s="4"/>
      <c r="W35" s="4"/>
      <c r="X35" s="4"/>
      <c r="Y35" s="4"/>
      <c r="Z35" s="4"/>
      <c r="AA35" s="4"/>
      <c r="AB35" s="4"/>
      <c r="AC35" s="4"/>
      <c r="AD35" s="4"/>
      <c r="AE35" s="4"/>
      <c r="AF35" s="4"/>
      <c r="AG35" s="4"/>
    </row>
    <row r="36" ht="11.25" customHeight="1">
      <c r="A36" s="294" t="s">
        <v>326</v>
      </c>
      <c r="B36" s="6"/>
      <c r="C36" s="205"/>
      <c r="D36" s="205" t="str">
        <f>IF($C$4&gt;=D$22,SUM(Cash_Flow!D$90,Cash_Flow!D$105),0)</f>
        <v>#REF!</v>
      </c>
      <c r="E36" s="205" t="str">
        <f>IF($C$4&gt;=E$22,SUM(Cash_Flow!E$90,Cash_Flow!E$105),0)</f>
        <v>#REF!</v>
      </c>
      <c r="F36" s="205" t="str">
        <f>IF($C$4&gt;=F$22,SUM(Cash_Flow!F$90,Cash_Flow!F$105),0)</f>
        <v>#REF!</v>
      </c>
      <c r="G36" s="205">
        <f>IF($C$4&gt;=G$22,SUM(Cash_Flow!G$90,Cash_Flow!G$105),0)</f>
        <v>0</v>
      </c>
      <c r="H36" s="205">
        <f>IF($C$4&gt;=H$22,SUM(Cash_Flow!H$90,Cash_Flow!H$105),0)</f>
        <v>0</v>
      </c>
      <c r="I36" s="205">
        <f>IF($C$4&gt;=I$22,SUM(Cash_Flow!I$90,Cash_Flow!I$105),0)</f>
        <v>0</v>
      </c>
      <c r="J36" s="205">
        <f>IF($C$4&gt;=J$22,SUM(Cash_Flow!J$90,Cash_Flow!J$105),0)</f>
        <v>0</v>
      </c>
      <c r="K36" s="205">
        <f>IF($C$4&gt;=K$22,SUM(Cash_Flow!K$90,Cash_Flow!K$105),0)</f>
        <v>0</v>
      </c>
      <c r="L36" s="205">
        <f>IF($C$4&gt;=L$22,SUM(Cash_Flow!L$90,Cash_Flow!L$105),0)</f>
        <v>0</v>
      </c>
      <c r="M36" s="295">
        <f>IF($C$4&gt;=M$22,SUM(Cash_Flow!M$90,Cash_Flow!M$105),0)</f>
        <v>0</v>
      </c>
      <c r="N36" s="58"/>
      <c r="O36" s="4"/>
      <c r="P36" s="4"/>
      <c r="Q36" s="4"/>
      <c r="R36" s="4"/>
      <c r="S36" s="4"/>
      <c r="T36" s="4"/>
      <c r="U36" s="4"/>
      <c r="V36" s="4"/>
      <c r="W36" s="4"/>
      <c r="X36" s="4"/>
      <c r="Y36" s="4"/>
      <c r="Z36" s="4"/>
      <c r="AA36" s="4"/>
      <c r="AB36" s="4"/>
      <c r="AC36" s="4"/>
      <c r="AD36" s="4"/>
      <c r="AE36" s="4"/>
      <c r="AF36" s="4"/>
      <c r="AG36" s="4"/>
    </row>
    <row r="37" ht="11.25" customHeight="1">
      <c r="A37" s="294" t="s">
        <v>327</v>
      </c>
      <c r="B37" s="6"/>
      <c r="C37" s="205"/>
      <c r="D37" s="205">
        <f>IF($C$4=D$22,Bal_Sheet!F$52,0)</f>
        <v>0</v>
      </c>
      <c r="E37" s="205">
        <f>IF($C$4=E$22,Bal_Sheet!G$52,0)</f>
        <v>0</v>
      </c>
      <c r="F37" s="205" t="str">
        <f>IF($C$4=F$22,Bal_Sheet!H$52,0)</f>
        <v>#REF!</v>
      </c>
      <c r="G37" s="205">
        <f>IF($C$4=G$22,Bal_Sheet!I$52,0)</f>
        <v>0</v>
      </c>
      <c r="H37" s="205">
        <f>IF($C$4=H$22,Bal_Sheet!J$52,0)</f>
        <v>0</v>
      </c>
      <c r="I37" s="205">
        <f>IF($C$4=I$22,Bal_Sheet!K$52,0)</f>
        <v>0</v>
      </c>
      <c r="J37" s="205">
        <f>IF($C$4=J$22,Bal_Sheet!L$52,0)</f>
        <v>0</v>
      </c>
      <c r="K37" s="205">
        <f>IF($C$4=K$22,Bal_Sheet!M$52,0)</f>
        <v>0</v>
      </c>
      <c r="L37" s="205">
        <f>IF($C$4=L$22,Bal_Sheet!N$52,0)</f>
        <v>0</v>
      </c>
      <c r="M37" s="295">
        <f>IF($C$4=M$22,Bal_Sheet!O$52,0)</f>
        <v>0</v>
      </c>
      <c r="N37" s="58"/>
      <c r="O37" s="4"/>
      <c r="P37" s="4"/>
      <c r="Q37" s="4"/>
      <c r="R37" s="4"/>
      <c r="S37" s="4"/>
      <c r="T37" s="4"/>
      <c r="U37" s="4"/>
      <c r="V37" s="4"/>
      <c r="W37" s="4"/>
      <c r="X37" s="4"/>
      <c r="Y37" s="4"/>
      <c r="Z37" s="4"/>
      <c r="AA37" s="4"/>
      <c r="AB37" s="4"/>
      <c r="AC37" s="4"/>
      <c r="AD37" s="4"/>
      <c r="AE37" s="4"/>
      <c r="AF37" s="4"/>
      <c r="AG37" s="4"/>
    </row>
    <row r="38" ht="11.25" customHeight="1">
      <c r="A38" s="294" t="s">
        <v>328</v>
      </c>
      <c r="B38" s="6"/>
      <c r="C38" s="205"/>
      <c r="D38" s="205">
        <f t="shared" ref="D38:M38" si="10">IF($C$4=D$22,$G$12,0)</f>
        <v>0</v>
      </c>
      <c r="E38" s="205">
        <f t="shared" si="10"/>
        <v>0</v>
      </c>
      <c r="F38" s="205" t="str">
        <f t="shared" si="10"/>
        <v>#REF!</v>
      </c>
      <c r="G38" s="205">
        <f t="shared" si="10"/>
        <v>0</v>
      </c>
      <c r="H38" s="205">
        <f t="shared" si="10"/>
        <v>0</v>
      </c>
      <c r="I38" s="205">
        <f t="shared" si="10"/>
        <v>0</v>
      </c>
      <c r="J38" s="205">
        <f t="shared" si="10"/>
        <v>0</v>
      </c>
      <c r="K38" s="205">
        <f t="shared" si="10"/>
        <v>0</v>
      </c>
      <c r="L38" s="205">
        <f t="shared" si="10"/>
        <v>0</v>
      </c>
      <c r="M38" s="295">
        <f t="shared" si="10"/>
        <v>0</v>
      </c>
      <c r="N38" s="58"/>
      <c r="O38" s="4"/>
      <c r="P38" s="4"/>
      <c r="Q38" s="4"/>
      <c r="R38" s="4"/>
      <c r="S38" s="4"/>
      <c r="T38" s="4"/>
      <c r="U38" s="4"/>
      <c r="V38" s="4"/>
      <c r="W38" s="4"/>
      <c r="X38" s="4"/>
      <c r="Y38" s="4"/>
      <c r="Z38" s="4"/>
      <c r="AA38" s="4"/>
      <c r="AB38" s="4"/>
      <c r="AC38" s="4"/>
      <c r="AD38" s="4"/>
      <c r="AE38" s="4"/>
      <c r="AF38" s="4"/>
      <c r="AG38" s="4"/>
    </row>
    <row r="39" ht="12.0" customHeight="1">
      <c r="A39" s="296" t="s">
        <v>329</v>
      </c>
      <c r="B39" s="299" t="str">
        <f>IF($C$4&gt;0,IRR($C39:$M39, ),0)</f>
        <v>#REF!</v>
      </c>
      <c r="C39" s="205">
        <f>C34</f>
        <v>-70000</v>
      </c>
      <c r="D39" s="205" t="str">
        <f t="shared" ref="D39:M39" si="11">SUM(D35:D38)</f>
        <v>#REF!</v>
      </c>
      <c r="E39" s="205" t="str">
        <f t="shared" si="11"/>
        <v>#REF!</v>
      </c>
      <c r="F39" s="205" t="str">
        <f t="shared" si="11"/>
        <v>#REF!</v>
      </c>
      <c r="G39" s="205">
        <f t="shared" si="11"/>
        <v>0</v>
      </c>
      <c r="H39" s="205">
        <f t="shared" si="11"/>
        <v>0</v>
      </c>
      <c r="I39" s="205">
        <f t="shared" si="11"/>
        <v>0</v>
      </c>
      <c r="J39" s="205">
        <f t="shared" si="11"/>
        <v>0</v>
      </c>
      <c r="K39" s="205">
        <f t="shared" si="11"/>
        <v>0</v>
      </c>
      <c r="L39" s="205">
        <f t="shared" si="11"/>
        <v>0</v>
      </c>
      <c r="M39" s="295">
        <f t="shared" si="11"/>
        <v>0</v>
      </c>
      <c r="N39" s="58"/>
      <c r="O39" s="4"/>
      <c r="P39" s="4"/>
      <c r="Q39" s="4"/>
      <c r="R39" s="4"/>
      <c r="S39" s="4"/>
      <c r="T39" s="4"/>
      <c r="U39" s="4"/>
      <c r="V39" s="4"/>
      <c r="W39" s="4"/>
      <c r="X39" s="4"/>
      <c r="Y39" s="4"/>
      <c r="Z39" s="4"/>
      <c r="AA39" s="4"/>
      <c r="AB39" s="4"/>
      <c r="AC39" s="4"/>
      <c r="AD39" s="4"/>
      <c r="AE39" s="4"/>
      <c r="AF39" s="4"/>
      <c r="AG39" s="4"/>
    </row>
    <row r="40" ht="11.25" customHeight="1">
      <c r="A40" s="8"/>
      <c r="B40" s="6"/>
      <c r="C40" s="28"/>
      <c r="D40" s="28"/>
      <c r="E40" s="28"/>
      <c r="F40" s="28"/>
      <c r="G40" s="28"/>
      <c r="H40" s="28"/>
      <c r="I40" s="28"/>
      <c r="J40" s="28"/>
      <c r="K40" s="28"/>
      <c r="L40" s="28"/>
      <c r="M40" s="79"/>
      <c r="N40" s="58"/>
      <c r="O40" s="4"/>
      <c r="P40" s="4"/>
      <c r="Q40" s="4"/>
      <c r="R40" s="4"/>
      <c r="S40" s="4"/>
      <c r="T40" s="4"/>
      <c r="U40" s="4"/>
      <c r="V40" s="4"/>
      <c r="W40" s="4"/>
      <c r="X40" s="4"/>
      <c r="Y40" s="4"/>
      <c r="Z40" s="4"/>
      <c r="AA40" s="4"/>
      <c r="AB40" s="4"/>
      <c r="AC40" s="4"/>
      <c r="AD40" s="4"/>
      <c r="AE40" s="4"/>
      <c r="AF40" s="4"/>
      <c r="AG40" s="4"/>
    </row>
    <row r="41" ht="11.25" customHeight="1">
      <c r="A41" s="8"/>
      <c r="B41" s="6"/>
      <c r="C41" s="28"/>
      <c r="D41" s="28"/>
      <c r="E41" s="28"/>
      <c r="F41" s="28"/>
      <c r="G41" s="28"/>
      <c r="H41" s="28"/>
      <c r="I41" s="28"/>
      <c r="J41" s="28"/>
      <c r="K41" s="28"/>
      <c r="L41" s="28"/>
      <c r="M41" s="79"/>
      <c r="N41" s="58"/>
      <c r="O41" s="4"/>
      <c r="P41" s="4"/>
      <c r="Q41" s="4"/>
      <c r="R41" s="4"/>
      <c r="S41" s="4"/>
      <c r="T41" s="4"/>
      <c r="U41" s="4"/>
      <c r="V41" s="4"/>
      <c r="W41" s="4"/>
      <c r="X41" s="4"/>
      <c r="Y41" s="4"/>
      <c r="Z41" s="4"/>
      <c r="AA41" s="4"/>
      <c r="AB41" s="4"/>
      <c r="AC41" s="4"/>
      <c r="AD41" s="4"/>
      <c r="AE41" s="4"/>
      <c r="AF41" s="4"/>
      <c r="AG41" s="4"/>
    </row>
    <row r="42" ht="12.0" customHeight="1">
      <c r="A42" s="292" t="str">
        <f>A13</f>
        <v>Preferred Stock</v>
      </c>
      <c r="B42" s="207"/>
      <c r="C42" s="249"/>
      <c r="D42" s="249"/>
      <c r="E42" s="249"/>
      <c r="F42" s="249"/>
      <c r="G42" s="249"/>
      <c r="H42" s="249"/>
      <c r="I42" s="249"/>
      <c r="J42" s="249"/>
      <c r="K42" s="249"/>
      <c r="L42" s="249"/>
      <c r="M42" s="293"/>
      <c r="N42" s="58"/>
      <c r="O42" s="4"/>
      <c r="P42" s="4"/>
      <c r="Q42" s="4"/>
      <c r="R42" s="4"/>
      <c r="S42" s="4"/>
      <c r="T42" s="4"/>
      <c r="U42" s="4"/>
      <c r="V42" s="4"/>
      <c r="W42" s="4"/>
      <c r="X42" s="4"/>
      <c r="Y42" s="4"/>
      <c r="Z42" s="4"/>
      <c r="AA42" s="4"/>
      <c r="AB42" s="4"/>
      <c r="AC42" s="4"/>
      <c r="AD42" s="4"/>
      <c r="AE42" s="4"/>
      <c r="AF42" s="4"/>
      <c r="AG42" s="4"/>
    </row>
    <row r="43" ht="11.25" customHeight="1">
      <c r="A43" s="294" t="s">
        <v>324</v>
      </c>
      <c r="B43" s="6"/>
      <c r="C43" s="205">
        <f>-Bal_Sheet!E61</f>
        <v>-60000</v>
      </c>
      <c r="D43" s="205"/>
      <c r="E43" s="205"/>
      <c r="F43" s="205"/>
      <c r="G43" s="205"/>
      <c r="H43" s="205"/>
      <c r="I43" s="205"/>
      <c r="J43" s="205"/>
      <c r="K43" s="205"/>
      <c r="L43" s="205"/>
      <c r="M43" s="295"/>
      <c r="N43" s="58"/>
      <c r="O43" s="4"/>
      <c r="P43" s="4"/>
      <c r="Q43" s="4"/>
      <c r="R43" s="4"/>
      <c r="S43" s="4"/>
      <c r="T43" s="4"/>
      <c r="U43" s="4"/>
      <c r="V43" s="4"/>
      <c r="W43" s="4"/>
      <c r="X43" s="4"/>
      <c r="Y43" s="4"/>
      <c r="Z43" s="4"/>
      <c r="AA43" s="4"/>
      <c r="AB43" s="4"/>
      <c r="AC43" s="4"/>
      <c r="AD43" s="4"/>
      <c r="AE43" s="4"/>
      <c r="AF43" s="4"/>
      <c r="AG43" s="4"/>
    </row>
    <row r="44" ht="11.25" customHeight="1">
      <c r="A44" s="294" t="s">
        <v>330</v>
      </c>
      <c r="B44" s="6"/>
      <c r="C44" s="205"/>
      <c r="D44" s="205">
        <f>IF($C$4&gt;=D$22,Inc_St!D$46-Cash_Flow!D$18,0)</f>
        <v>0</v>
      </c>
      <c r="E44" s="205">
        <f>IF($C$4&gt;=E$22,Inc_St!E$46-Cash_Flow!E$18,0)</f>
        <v>0</v>
      </c>
      <c r="F44" s="205">
        <f>IF($C$4&gt;=F$22,Inc_St!F$46-Cash_Flow!F$18,0)</f>
        <v>0</v>
      </c>
      <c r="G44" s="205">
        <f>IF($C$4&gt;=G$22,Inc_St!G$46-Cash_Flow!G$18,0)</f>
        <v>0</v>
      </c>
      <c r="H44" s="205">
        <f>IF($C$4&gt;=H$22,Inc_St!H$46-Cash_Flow!H$18,0)</f>
        <v>0</v>
      </c>
      <c r="I44" s="205">
        <f>IF($C$4&gt;=I$22,Inc_St!I$46-Cash_Flow!I$18,0)</f>
        <v>0</v>
      </c>
      <c r="J44" s="205">
        <f>IF($C$4&gt;=J$22,Inc_St!J$46-Cash_Flow!J$18,0)</f>
        <v>0</v>
      </c>
      <c r="K44" s="205">
        <f>IF($C$4&gt;=K$22,Inc_St!K$46-Cash_Flow!K$18,0)</f>
        <v>0</v>
      </c>
      <c r="L44" s="205">
        <f>IF($C$4&gt;=L$22,Inc_St!L$46-Cash_Flow!L$18,0)</f>
        <v>0</v>
      </c>
      <c r="M44" s="295">
        <f>IF($C$4&gt;=M$22,Inc_St!M$46-Cash_Flow!M$18,0)</f>
        <v>0</v>
      </c>
      <c r="N44" s="58"/>
      <c r="O44" s="4"/>
      <c r="P44" s="4"/>
      <c r="Q44" s="4"/>
      <c r="R44" s="4"/>
      <c r="S44" s="4"/>
      <c r="T44" s="4"/>
      <c r="U44" s="4"/>
      <c r="V44" s="4"/>
      <c r="W44" s="4"/>
      <c r="X44" s="4"/>
      <c r="Y44" s="4"/>
      <c r="Z44" s="4"/>
      <c r="AA44" s="4"/>
      <c r="AB44" s="4"/>
      <c r="AC44" s="4"/>
      <c r="AD44" s="4"/>
      <c r="AE44" s="4"/>
      <c r="AF44" s="4"/>
      <c r="AG44" s="4"/>
    </row>
    <row r="45" ht="11.25" customHeight="1">
      <c r="A45" s="294" t="s">
        <v>326</v>
      </c>
      <c r="B45" s="6"/>
      <c r="C45" s="205"/>
      <c r="D45" s="205">
        <f>IF($C$4&gt;=D$22,Cash_Flow!D$92,0)</f>
        <v>0</v>
      </c>
      <c r="E45" s="205">
        <f>IF($C$4&gt;=E$22,Cash_Flow!E$92,0)</f>
        <v>0</v>
      </c>
      <c r="F45" s="205">
        <f>IF($C$4&gt;=F$22,Cash_Flow!F$92,0)</f>
        <v>0</v>
      </c>
      <c r="G45" s="205">
        <f>IF($C$4&gt;=G$22,Cash_Flow!G$92,0)</f>
        <v>0</v>
      </c>
      <c r="H45" s="205">
        <f>IF($C$4&gt;=H$22,Cash_Flow!H$92,0)</f>
        <v>0</v>
      </c>
      <c r="I45" s="205">
        <f>IF($C$4&gt;=I$22,Cash_Flow!I$92,0)</f>
        <v>0</v>
      </c>
      <c r="J45" s="205">
        <f>IF($C$4&gt;=J$22,Cash_Flow!J$92,0)</f>
        <v>0</v>
      </c>
      <c r="K45" s="205">
        <f>IF($C$4&gt;=K$22,Cash_Flow!K$92,0)</f>
        <v>0</v>
      </c>
      <c r="L45" s="205">
        <f>IF($C$4&gt;=L$22,Cash_Flow!L$92,0)</f>
        <v>0</v>
      </c>
      <c r="M45" s="295">
        <f>IF($C$4&gt;=M$22,Cash_Flow!M$92,0)</f>
        <v>0</v>
      </c>
      <c r="N45" s="58"/>
      <c r="O45" s="4"/>
      <c r="P45" s="4"/>
      <c r="Q45" s="4"/>
      <c r="R45" s="4"/>
      <c r="S45" s="4"/>
      <c r="T45" s="4"/>
      <c r="U45" s="4"/>
      <c r="V45" s="4"/>
      <c r="W45" s="4"/>
      <c r="X45" s="4"/>
      <c r="Y45" s="4"/>
      <c r="Z45" s="4"/>
      <c r="AA45" s="4"/>
      <c r="AB45" s="4"/>
      <c r="AC45" s="4"/>
      <c r="AD45" s="4"/>
      <c r="AE45" s="4"/>
      <c r="AF45" s="4"/>
      <c r="AG45" s="4"/>
    </row>
    <row r="46" ht="11.25" customHeight="1">
      <c r="A46" s="294" t="s">
        <v>327</v>
      </c>
      <c r="B46" s="6"/>
      <c r="C46" s="205"/>
      <c r="D46" s="205">
        <f>IF($C$4=D$22,Bal_Sheet!F$61,0)</f>
        <v>0</v>
      </c>
      <c r="E46" s="205">
        <f>IF($C$4=E$22,Bal_Sheet!G$61,0)</f>
        <v>0</v>
      </c>
      <c r="F46" s="205">
        <f>IF($C$4=F$22,Bal_Sheet!H$61,0)</f>
        <v>73502.58</v>
      </c>
      <c r="G46" s="205">
        <f>IF($C$4=G$22,Bal_Sheet!I$61,0)</f>
        <v>0</v>
      </c>
      <c r="H46" s="205">
        <f>IF($C$4=H$22,Bal_Sheet!J$61,0)</f>
        <v>0</v>
      </c>
      <c r="I46" s="205">
        <f>IF($C$4=I$22,Bal_Sheet!K$61,0)</f>
        <v>0</v>
      </c>
      <c r="J46" s="205">
        <f>IF($C$4=J$22,Bal_Sheet!L$61,0)</f>
        <v>0</v>
      </c>
      <c r="K46" s="205">
        <f>IF($C$4=K$22,Bal_Sheet!M$61,0)</f>
        <v>0</v>
      </c>
      <c r="L46" s="205">
        <f>IF($C$4=L$22,Bal_Sheet!N$61,0)</f>
        <v>0</v>
      </c>
      <c r="M46" s="295">
        <f>IF($C$4=M$22,Bal_Sheet!O$61,0)</f>
        <v>0</v>
      </c>
      <c r="N46" s="58"/>
      <c r="O46" s="4"/>
      <c r="P46" s="4"/>
      <c r="Q46" s="4"/>
      <c r="R46" s="4"/>
      <c r="S46" s="4"/>
      <c r="T46" s="4"/>
      <c r="U46" s="4"/>
      <c r="V46" s="4"/>
      <c r="W46" s="4"/>
      <c r="X46" s="4"/>
      <c r="Y46" s="4"/>
      <c r="Z46" s="4"/>
      <c r="AA46" s="4"/>
      <c r="AB46" s="4"/>
      <c r="AC46" s="4"/>
      <c r="AD46" s="4"/>
      <c r="AE46" s="4"/>
      <c r="AF46" s="4"/>
      <c r="AG46" s="4"/>
    </row>
    <row r="47" ht="11.25" customHeight="1">
      <c r="A47" s="294" t="s">
        <v>328</v>
      </c>
      <c r="B47" s="6"/>
      <c r="C47" s="205"/>
      <c r="D47" s="205">
        <f t="shared" ref="D47:M47" si="12">IF($C$4=D$22,$G$13,0)</f>
        <v>0</v>
      </c>
      <c r="E47" s="205">
        <f t="shared" si="12"/>
        <v>0</v>
      </c>
      <c r="F47" s="205" t="str">
        <f t="shared" si="12"/>
        <v>#REF!</v>
      </c>
      <c r="G47" s="205">
        <f t="shared" si="12"/>
        <v>0</v>
      </c>
      <c r="H47" s="205">
        <f t="shared" si="12"/>
        <v>0</v>
      </c>
      <c r="I47" s="205">
        <f t="shared" si="12"/>
        <v>0</v>
      </c>
      <c r="J47" s="205">
        <f t="shared" si="12"/>
        <v>0</v>
      </c>
      <c r="K47" s="205">
        <f t="shared" si="12"/>
        <v>0</v>
      </c>
      <c r="L47" s="205">
        <f t="shared" si="12"/>
        <v>0</v>
      </c>
      <c r="M47" s="295">
        <f t="shared" si="12"/>
        <v>0</v>
      </c>
      <c r="N47" s="58"/>
      <c r="O47" s="4"/>
      <c r="P47" s="4"/>
      <c r="Q47" s="4"/>
      <c r="R47" s="4"/>
      <c r="S47" s="4"/>
      <c r="T47" s="4"/>
      <c r="U47" s="4"/>
      <c r="V47" s="4"/>
      <c r="W47" s="4"/>
      <c r="X47" s="4"/>
      <c r="Y47" s="4"/>
      <c r="Z47" s="4"/>
      <c r="AA47" s="4"/>
      <c r="AB47" s="4"/>
      <c r="AC47" s="4"/>
      <c r="AD47" s="4"/>
      <c r="AE47" s="4"/>
      <c r="AF47" s="4"/>
      <c r="AG47" s="4"/>
    </row>
    <row r="48" ht="12.0" customHeight="1">
      <c r="A48" s="296" t="s">
        <v>329</v>
      </c>
      <c r="B48" s="299" t="str">
        <f>IF($C$4&gt;0,IRR($C48:$M48, ),0)</f>
        <v>#REF!</v>
      </c>
      <c r="C48" s="205">
        <f>C43</f>
        <v>-60000</v>
      </c>
      <c r="D48" s="205">
        <f t="shared" ref="D48:M48" si="13">SUM(D44:D47)</f>
        <v>0</v>
      </c>
      <c r="E48" s="205">
        <f t="shared" si="13"/>
        <v>0</v>
      </c>
      <c r="F48" s="205" t="str">
        <f t="shared" si="13"/>
        <v>#REF!</v>
      </c>
      <c r="G48" s="205">
        <f t="shared" si="13"/>
        <v>0</v>
      </c>
      <c r="H48" s="205">
        <f t="shared" si="13"/>
        <v>0</v>
      </c>
      <c r="I48" s="205">
        <f t="shared" si="13"/>
        <v>0</v>
      </c>
      <c r="J48" s="205">
        <f t="shared" si="13"/>
        <v>0</v>
      </c>
      <c r="K48" s="205">
        <f t="shared" si="13"/>
        <v>0</v>
      </c>
      <c r="L48" s="205">
        <f t="shared" si="13"/>
        <v>0</v>
      </c>
      <c r="M48" s="295">
        <f t="shared" si="13"/>
        <v>0</v>
      </c>
      <c r="N48" s="58"/>
      <c r="O48" s="4"/>
      <c r="P48" s="4"/>
      <c r="Q48" s="4"/>
      <c r="R48" s="4"/>
      <c r="S48" s="4"/>
      <c r="T48" s="4"/>
      <c r="U48" s="4"/>
      <c r="V48" s="4"/>
      <c r="W48" s="4"/>
      <c r="X48" s="4"/>
      <c r="Y48" s="4"/>
      <c r="Z48" s="4"/>
      <c r="AA48" s="4"/>
      <c r="AB48" s="4"/>
      <c r="AC48" s="4"/>
      <c r="AD48" s="4"/>
      <c r="AE48" s="4"/>
      <c r="AF48" s="4"/>
      <c r="AG48" s="4"/>
    </row>
    <row r="49" ht="11.25" customHeight="1">
      <c r="A49" s="8"/>
      <c r="B49" s="6"/>
      <c r="C49" s="28"/>
      <c r="D49" s="28"/>
      <c r="E49" s="28"/>
      <c r="F49" s="28"/>
      <c r="G49" s="28"/>
      <c r="H49" s="28"/>
      <c r="I49" s="28"/>
      <c r="J49" s="28"/>
      <c r="K49" s="28"/>
      <c r="L49" s="28"/>
      <c r="M49" s="79"/>
      <c r="N49" s="58"/>
      <c r="O49" s="4"/>
      <c r="P49" s="4"/>
      <c r="Q49" s="4"/>
      <c r="R49" s="4"/>
      <c r="S49" s="4"/>
      <c r="T49" s="4"/>
      <c r="U49" s="4"/>
      <c r="V49" s="4"/>
      <c r="W49" s="4"/>
      <c r="X49" s="4"/>
      <c r="Y49" s="4"/>
      <c r="Z49" s="4"/>
      <c r="AA49" s="4"/>
      <c r="AB49" s="4"/>
      <c r="AC49" s="4"/>
      <c r="AD49" s="4"/>
      <c r="AE49" s="4"/>
      <c r="AF49" s="4"/>
      <c r="AG49" s="4"/>
    </row>
    <row r="50" ht="11.25" customHeight="1">
      <c r="A50" s="8"/>
      <c r="B50" s="6"/>
      <c r="C50" s="28"/>
      <c r="D50" s="28"/>
      <c r="E50" s="28"/>
      <c r="F50" s="28"/>
      <c r="G50" s="28"/>
      <c r="H50" s="28"/>
      <c r="I50" s="28"/>
      <c r="J50" s="28"/>
      <c r="K50" s="28"/>
      <c r="L50" s="28"/>
      <c r="M50" s="79"/>
      <c r="N50" s="58"/>
      <c r="O50" s="4"/>
      <c r="P50" s="4"/>
      <c r="Q50" s="4"/>
      <c r="R50" s="4"/>
      <c r="S50" s="4"/>
      <c r="T50" s="4"/>
      <c r="U50" s="4"/>
      <c r="V50" s="4"/>
      <c r="W50" s="4"/>
      <c r="X50" s="4"/>
      <c r="Y50" s="4"/>
      <c r="Z50" s="4"/>
      <c r="AA50" s="4"/>
      <c r="AB50" s="4"/>
      <c r="AC50" s="4"/>
      <c r="AD50" s="4"/>
      <c r="AE50" s="4"/>
      <c r="AF50" s="4"/>
      <c r="AG50" s="4"/>
    </row>
    <row r="51" ht="12.0" customHeight="1">
      <c r="A51" s="292" t="str">
        <f>A8</f>
        <v>Common - Sponsor Equity</v>
      </c>
      <c r="B51" s="207"/>
      <c r="C51" s="249"/>
      <c r="D51" s="249"/>
      <c r="E51" s="249"/>
      <c r="F51" s="249"/>
      <c r="G51" s="249"/>
      <c r="H51" s="249"/>
      <c r="I51" s="249"/>
      <c r="J51" s="249"/>
      <c r="K51" s="249"/>
      <c r="L51" s="249"/>
      <c r="M51" s="293"/>
      <c r="N51" s="58"/>
      <c r="O51" s="4"/>
      <c r="P51" s="4"/>
      <c r="Q51" s="4"/>
      <c r="R51" s="4"/>
      <c r="S51" s="4"/>
      <c r="T51" s="4"/>
      <c r="U51" s="4"/>
      <c r="V51" s="4"/>
      <c r="W51" s="4"/>
      <c r="X51" s="4"/>
      <c r="Y51" s="4"/>
      <c r="Z51" s="4"/>
      <c r="AA51" s="4"/>
      <c r="AB51" s="4"/>
      <c r="AC51" s="4"/>
      <c r="AD51" s="4"/>
      <c r="AE51" s="4"/>
      <c r="AF51" s="4"/>
      <c r="AG51" s="4"/>
    </row>
    <row r="52" ht="11.25" customHeight="1">
      <c r="A52" s="294" t="s">
        <v>324</v>
      </c>
      <c r="B52" s="6"/>
      <c r="C52" s="205">
        <f>-Input!C37</f>
        <v>-220000</v>
      </c>
      <c r="D52" s="205"/>
      <c r="E52" s="205"/>
      <c r="F52" s="205"/>
      <c r="G52" s="205"/>
      <c r="H52" s="205"/>
      <c r="I52" s="205"/>
      <c r="J52" s="205"/>
      <c r="K52" s="205"/>
      <c r="L52" s="205"/>
      <c r="M52" s="295"/>
      <c r="N52" s="58"/>
      <c r="O52" s="4"/>
      <c r="P52" s="4"/>
      <c r="Q52" s="4"/>
      <c r="R52" s="4"/>
      <c r="S52" s="4"/>
      <c r="T52" s="4"/>
      <c r="U52" s="4"/>
      <c r="V52" s="4"/>
      <c r="W52" s="4"/>
      <c r="X52" s="4"/>
      <c r="Y52" s="4"/>
      <c r="Z52" s="4"/>
      <c r="AA52" s="4"/>
      <c r="AB52" s="4"/>
      <c r="AC52" s="4"/>
      <c r="AD52" s="4"/>
      <c r="AE52" s="4"/>
      <c r="AF52" s="4"/>
      <c r="AG52" s="4"/>
    </row>
    <row r="53" ht="11.25" customHeight="1">
      <c r="A53" s="294" t="s">
        <v>330</v>
      </c>
      <c r="B53" s="6"/>
      <c r="C53" s="205"/>
      <c r="D53" s="205">
        <f>IF($C$4&gt;=D$22,Inc_St!D$47*$D$8,0)</f>
        <v>1929.824561</v>
      </c>
      <c r="E53" s="205">
        <f>IF($C$4&gt;=E$22,Inc_St!E$47*$D$8,0)</f>
        <v>2084.210526</v>
      </c>
      <c r="F53" s="205">
        <f>IF($C$4&gt;=F$22,Inc_St!F$47*$D$8,0)</f>
        <v>2200</v>
      </c>
      <c r="G53" s="205">
        <f>IF($C$4&gt;=G$22,Inc_St!G$47*$D$8,0)</f>
        <v>0</v>
      </c>
      <c r="H53" s="205">
        <f>IF($C$4&gt;=H$22,Inc_St!H$47*$D$8,0)</f>
        <v>0</v>
      </c>
      <c r="I53" s="205">
        <f>IF($C$4&gt;=I$22,Inc_St!I$47*$D$8,0)</f>
        <v>0</v>
      </c>
      <c r="J53" s="205">
        <f>IF($C$4&gt;=J$22,Inc_St!J$47*$D$8,0)</f>
        <v>0</v>
      </c>
      <c r="K53" s="205">
        <f>IF($C$4&gt;=K$22,Inc_St!K$47*$D$8,0)</f>
        <v>0</v>
      </c>
      <c r="L53" s="205">
        <f>IF($C$4&gt;=L$22,Inc_St!L$47*$D$8,0)</f>
        <v>0</v>
      </c>
      <c r="M53" s="295">
        <f>IF($C$4&gt;=M$22,Inc_St!M$47*$D$8,0)</f>
        <v>0</v>
      </c>
      <c r="N53" s="58"/>
      <c r="O53" s="4"/>
      <c r="P53" s="4"/>
      <c r="Q53" s="4"/>
      <c r="R53" s="4"/>
      <c r="S53" s="4"/>
      <c r="T53" s="4"/>
      <c r="U53" s="4"/>
      <c r="V53" s="4"/>
      <c r="W53" s="4"/>
      <c r="X53" s="4"/>
      <c r="Y53" s="4"/>
      <c r="Z53" s="4"/>
      <c r="AA53" s="4"/>
      <c r="AB53" s="4"/>
      <c r="AC53" s="4"/>
      <c r="AD53" s="4"/>
      <c r="AE53" s="4"/>
      <c r="AF53" s="4"/>
      <c r="AG53" s="4"/>
    </row>
    <row r="54" ht="11.25" customHeight="1">
      <c r="A54" s="294" t="s">
        <v>328</v>
      </c>
      <c r="B54" s="6"/>
      <c r="C54" s="205"/>
      <c r="D54" s="205">
        <f t="shared" ref="D54:M54" si="14">IF($C$4=D$22,$G$8,0)</f>
        <v>0</v>
      </c>
      <c r="E54" s="205">
        <f t="shared" si="14"/>
        <v>0</v>
      </c>
      <c r="F54" s="205" t="str">
        <f t="shared" si="14"/>
        <v>#REF!</v>
      </c>
      <c r="G54" s="205">
        <f t="shared" si="14"/>
        <v>0</v>
      </c>
      <c r="H54" s="205">
        <f t="shared" si="14"/>
        <v>0</v>
      </c>
      <c r="I54" s="205">
        <f t="shared" si="14"/>
        <v>0</v>
      </c>
      <c r="J54" s="205">
        <f t="shared" si="14"/>
        <v>0</v>
      </c>
      <c r="K54" s="205">
        <f t="shared" si="14"/>
        <v>0</v>
      </c>
      <c r="L54" s="205">
        <f t="shared" si="14"/>
        <v>0</v>
      </c>
      <c r="M54" s="295">
        <f t="shared" si="14"/>
        <v>0</v>
      </c>
      <c r="N54" s="58"/>
      <c r="O54" s="4"/>
      <c r="P54" s="4"/>
      <c r="Q54" s="4"/>
      <c r="R54" s="4"/>
      <c r="S54" s="4"/>
      <c r="T54" s="4"/>
      <c r="U54" s="4"/>
      <c r="V54" s="4"/>
      <c r="W54" s="4"/>
      <c r="X54" s="4"/>
      <c r="Y54" s="4"/>
      <c r="Z54" s="4"/>
      <c r="AA54" s="4"/>
      <c r="AB54" s="4"/>
      <c r="AC54" s="4"/>
      <c r="AD54" s="4"/>
      <c r="AE54" s="4"/>
      <c r="AF54" s="4"/>
      <c r="AG54" s="4"/>
    </row>
    <row r="55" ht="12.0" customHeight="1">
      <c r="A55" s="296" t="s">
        <v>329</v>
      </c>
      <c r="B55" s="299" t="str">
        <f>IF($C$4&gt;0,IRR($C55:$M55, ),0)</f>
        <v>#REF!</v>
      </c>
      <c r="C55" s="205">
        <f>C52</f>
        <v>-220000</v>
      </c>
      <c r="D55" s="205">
        <f t="shared" ref="D55:M55" si="15">SUM(D53:D54)</f>
        <v>1929.824561</v>
      </c>
      <c r="E55" s="205">
        <f t="shared" si="15"/>
        <v>2084.210526</v>
      </c>
      <c r="F55" s="205" t="str">
        <f t="shared" si="15"/>
        <v>#REF!</v>
      </c>
      <c r="G55" s="205">
        <f t="shared" si="15"/>
        <v>0</v>
      </c>
      <c r="H55" s="205">
        <f t="shared" si="15"/>
        <v>0</v>
      </c>
      <c r="I55" s="205">
        <f t="shared" si="15"/>
        <v>0</v>
      </c>
      <c r="J55" s="205">
        <f t="shared" si="15"/>
        <v>0</v>
      </c>
      <c r="K55" s="205">
        <f t="shared" si="15"/>
        <v>0</v>
      </c>
      <c r="L55" s="205">
        <f t="shared" si="15"/>
        <v>0</v>
      </c>
      <c r="M55" s="295">
        <f t="shared" si="15"/>
        <v>0</v>
      </c>
      <c r="N55" s="58"/>
      <c r="O55" s="4"/>
      <c r="P55" s="4"/>
      <c r="Q55" s="4"/>
      <c r="R55" s="4"/>
      <c r="S55" s="4"/>
      <c r="T55" s="4"/>
      <c r="U55" s="4"/>
      <c r="V55" s="4"/>
      <c r="W55" s="4"/>
      <c r="X55" s="4"/>
      <c r="Y55" s="4"/>
      <c r="Z55" s="4"/>
      <c r="AA55" s="4"/>
      <c r="AB55" s="4"/>
      <c r="AC55" s="4"/>
      <c r="AD55" s="4"/>
      <c r="AE55" s="4"/>
      <c r="AF55" s="4"/>
      <c r="AG55" s="4"/>
    </row>
    <row r="56" ht="11.25" customHeight="1">
      <c r="A56" s="8"/>
      <c r="B56" s="6"/>
      <c r="C56" s="28"/>
      <c r="D56" s="28"/>
      <c r="E56" s="28"/>
      <c r="F56" s="28"/>
      <c r="G56" s="28"/>
      <c r="H56" s="28"/>
      <c r="I56" s="28"/>
      <c r="J56" s="28"/>
      <c r="K56" s="28"/>
      <c r="L56" s="28"/>
      <c r="M56" s="79"/>
      <c r="N56" s="58"/>
      <c r="O56" s="4"/>
      <c r="P56" s="4"/>
      <c r="Q56" s="4"/>
      <c r="R56" s="4"/>
      <c r="S56" s="4"/>
      <c r="T56" s="4"/>
      <c r="U56" s="4"/>
      <c r="V56" s="4"/>
      <c r="W56" s="4"/>
      <c r="X56" s="4"/>
      <c r="Y56" s="4"/>
      <c r="Z56" s="4"/>
      <c r="AA56" s="4"/>
      <c r="AB56" s="4"/>
      <c r="AC56" s="4"/>
      <c r="AD56" s="4"/>
      <c r="AE56" s="4"/>
      <c r="AF56" s="4"/>
      <c r="AG56" s="4"/>
    </row>
    <row r="57" ht="11.25" customHeight="1">
      <c r="A57" s="8"/>
      <c r="B57" s="6"/>
      <c r="C57" s="28"/>
      <c r="D57" s="28"/>
      <c r="E57" s="28"/>
      <c r="F57" s="28"/>
      <c r="G57" s="28"/>
      <c r="H57" s="28"/>
      <c r="I57" s="28"/>
      <c r="J57" s="28"/>
      <c r="K57" s="28"/>
      <c r="L57" s="28"/>
      <c r="M57" s="79"/>
      <c r="N57" s="58"/>
      <c r="O57" s="4"/>
      <c r="P57" s="4"/>
      <c r="Q57" s="4"/>
      <c r="R57" s="4"/>
      <c r="S57" s="4"/>
      <c r="T57" s="4"/>
      <c r="U57" s="4"/>
      <c r="V57" s="4"/>
      <c r="W57" s="4"/>
      <c r="X57" s="4"/>
      <c r="Y57" s="4"/>
      <c r="Z57" s="4"/>
      <c r="AA57" s="4"/>
      <c r="AB57" s="4"/>
      <c r="AC57" s="4"/>
      <c r="AD57" s="4"/>
      <c r="AE57" s="4"/>
      <c r="AF57" s="4"/>
      <c r="AG57" s="4"/>
    </row>
    <row r="58" ht="12.0" customHeight="1">
      <c r="A58" s="292" t="str">
        <f>A9</f>
        <v>Management Equity</v>
      </c>
      <c r="B58" s="207"/>
      <c r="C58" s="249"/>
      <c r="D58" s="249"/>
      <c r="E58" s="249"/>
      <c r="F58" s="249"/>
      <c r="G58" s="249"/>
      <c r="H58" s="249"/>
      <c r="I58" s="249"/>
      <c r="J58" s="249"/>
      <c r="K58" s="249"/>
      <c r="L58" s="249"/>
      <c r="M58" s="293"/>
      <c r="N58" s="58"/>
      <c r="O58" s="4"/>
      <c r="P58" s="4"/>
      <c r="Q58" s="4"/>
      <c r="R58" s="4"/>
      <c r="S58" s="4"/>
      <c r="T58" s="4"/>
      <c r="U58" s="4"/>
      <c r="V58" s="4"/>
      <c r="W58" s="4"/>
      <c r="X58" s="4"/>
      <c r="Y58" s="4"/>
      <c r="Z58" s="4"/>
      <c r="AA58" s="4"/>
      <c r="AB58" s="4"/>
      <c r="AC58" s="4"/>
      <c r="AD58" s="4"/>
      <c r="AE58" s="4"/>
      <c r="AF58" s="4"/>
      <c r="AG58" s="4"/>
    </row>
    <row r="59" ht="11.25" customHeight="1">
      <c r="A59" s="294" t="s">
        <v>324</v>
      </c>
      <c r="B59" s="6"/>
      <c r="C59" s="205">
        <f>-Input!C38</f>
        <v>-40000</v>
      </c>
      <c r="D59" s="205"/>
      <c r="E59" s="205"/>
      <c r="F59" s="205"/>
      <c r="G59" s="205"/>
      <c r="H59" s="205"/>
      <c r="I59" s="205"/>
      <c r="J59" s="205"/>
      <c r="K59" s="205"/>
      <c r="L59" s="205"/>
      <c r="M59" s="295"/>
      <c r="N59" s="58"/>
      <c r="O59" s="4"/>
      <c r="P59" s="4"/>
      <c r="Q59" s="4"/>
      <c r="R59" s="4"/>
      <c r="S59" s="4"/>
      <c r="T59" s="4"/>
      <c r="U59" s="4"/>
      <c r="V59" s="4"/>
      <c r="W59" s="4"/>
      <c r="X59" s="4"/>
      <c r="Y59" s="4"/>
      <c r="Z59" s="4"/>
      <c r="AA59" s="4"/>
      <c r="AB59" s="4"/>
      <c r="AC59" s="4"/>
      <c r="AD59" s="4"/>
      <c r="AE59" s="4"/>
      <c r="AF59" s="4"/>
      <c r="AG59" s="4"/>
    </row>
    <row r="60" ht="11.25" customHeight="1">
      <c r="A60" s="294" t="s">
        <v>330</v>
      </c>
      <c r="B60" s="6"/>
      <c r="C60" s="205"/>
      <c r="D60" s="205">
        <f>IF($C$4&gt;=D$22,Inc_St!D$47*$D$9,0)</f>
        <v>350.877193</v>
      </c>
      <c r="E60" s="205">
        <f>IF($C$4&gt;=E$22,Inc_St!E$47*$D$9,0)</f>
        <v>378.9473684</v>
      </c>
      <c r="F60" s="205">
        <f>IF($C$4&gt;=F$22,Inc_St!F$47*$D$9,0)</f>
        <v>400</v>
      </c>
      <c r="G60" s="205">
        <f>IF($C$4&gt;=G$22,Inc_St!G$47*$D$9,0)</f>
        <v>0</v>
      </c>
      <c r="H60" s="205">
        <f>IF($C$4&gt;=H$22,Inc_St!H$47*$D$9,0)</f>
        <v>0</v>
      </c>
      <c r="I60" s="205">
        <f>IF($C$4&gt;=I$22,Inc_St!I$47*$D$9,0)</f>
        <v>0</v>
      </c>
      <c r="J60" s="205">
        <f>IF($C$4&gt;=J$22,Inc_St!J$47*$D$9,0)</f>
        <v>0</v>
      </c>
      <c r="K60" s="205">
        <f>IF($C$4&gt;=K$22,Inc_St!K$47*$D$9,0)</f>
        <v>0</v>
      </c>
      <c r="L60" s="205">
        <f>IF($C$4&gt;=L$22,Inc_St!L$47*$D$9,0)</f>
        <v>0</v>
      </c>
      <c r="M60" s="295">
        <f>IF($C$4&gt;=M$22,Inc_St!M$47*$D$9,0)</f>
        <v>0</v>
      </c>
      <c r="N60" s="58"/>
      <c r="O60" s="4"/>
      <c r="P60" s="4"/>
      <c r="Q60" s="4"/>
      <c r="R60" s="4"/>
      <c r="S60" s="4"/>
      <c r="T60" s="4"/>
      <c r="U60" s="4"/>
      <c r="V60" s="4"/>
      <c r="W60" s="4"/>
      <c r="X60" s="4"/>
      <c r="Y60" s="4"/>
      <c r="Z60" s="4"/>
      <c r="AA60" s="4"/>
      <c r="AB60" s="4"/>
      <c r="AC60" s="4"/>
      <c r="AD60" s="4"/>
      <c r="AE60" s="4"/>
      <c r="AF60" s="4"/>
      <c r="AG60" s="4"/>
    </row>
    <row r="61" ht="11.25" customHeight="1">
      <c r="A61" s="294" t="s">
        <v>328</v>
      </c>
      <c r="B61" s="6"/>
      <c r="C61" s="205"/>
      <c r="D61" s="205">
        <f t="shared" ref="D61:M61" si="16">IF($C$4=D$22,SUM($G$9,$G$14),0)</f>
        <v>0</v>
      </c>
      <c r="E61" s="205">
        <f t="shared" si="16"/>
        <v>0</v>
      </c>
      <c r="F61" s="205" t="str">
        <f t="shared" si="16"/>
        <v>#REF!</v>
      </c>
      <c r="G61" s="205">
        <f t="shared" si="16"/>
        <v>0</v>
      </c>
      <c r="H61" s="205">
        <f t="shared" si="16"/>
        <v>0</v>
      </c>
      <c r="I61" s="205">
        <f t="shared" si="16"/>
        <v>0</v>
      </c>
      <c r="J61" s="205">
        <f t="shared" si="16"/>
        <v>0</v>
      </c>
      <c r="K61" s="205">
        <f t="shared" si="16"/>
        <v>0</v>
      </c>
      <c r="L61" s="205">
        <f t="shared" si="16"/>
        <v>0</v>
      </c>
      <c r="M61" s="295">
        <f t="shared" si="16"/>
        <v>0</v>
      </c>
      <c r="N61" s="58"/>
      <c r="O61" s="4"/>
      <c r="P61" s="4"/>
      <c r="Q61" s="4"/>
      <c r="R61" s="4"/>
      <c r="S61" s="4"/>
      <c r="T61" s="4"/>
      <c r="U61" s="4"/>
      <c r="V61" s="4"/>
      <c r="W61" s="4"/>
      <c r="X61" s="4"/>
      <c r="Y61" s="4"/>
      <c r="Z61" s="4"/>
      <c r="AA61" s="4"/>
      <c r="AB61" s="4"/>
      <c r="AC61" s="4"/>
      <c r="AD61" s="4"/>
      <c r="AE61" s="4"/>
      <c r="AF61" s="4"/>
      <c r="AG61" s="4"/>
    </row>
    <row r="62" ht="12.0" customHeight="1">
      <c r="A62" s="296" t="s">
        <v>329</v>
      </c>
      <c r="B62" s="299" t="str">
        <f>IF($C$4&gt;0,IRR($C62:$M62, ),0)</f>
        <v>#REF!</v>
      </c>
      <c r="C62" s="205">
        <f>C59</f>
        <v>-40000</v>
      </c>
      <c r="D62" s="205">
        <f t="shared" ref="D62:M62" si="17">SUM(D60:D61)</f>
        <v>350.877193</v>
      </c>
      <c r="E62" s="205">
        <f t="shared" si="17"/>
        <v>378.9473684</v>
      </c>
      <c r="F62" s="205" t="str">
        <f t="shared" si="17"/>
        <v>#REF!</v>
      </c>
      <c r="G62" s="205">
        <f t="shared" si="17"/>
        <v>0</v>
      </c>
      <c r="H62" s="205">
        <f t="shared" si="17"/>
        <v>0</v>
      </c>
      <c r="I62" s="205">
        <f t="shared" si="17"/>
        <v>0</v>
      </c>
      <c r="J62" s="205">
        <f t="shared" si="17"/>
        <v>0</v>
      </c>
      <c r="K62" s="205">
        <f t="shared" si="17"/>
        <v>0</v>
      </c>
      <c r="L62" s="205">
        <f t="shared" si="17"/>
        <v>0</v>
      </c>
      <c r="M62" s="295">
        <f t="shared" si="17"/>
        <v>0</v>
      </c>
      <c r="N62" s="58"/>
      <c r="O62" s="4"/>
      <c r="P62" s="4"/>
      <c r="Q62" s="4"/>
      <c r="R62" s="4"/>
      <c r="S62" s="4"/>
      <c r="T62" s="4"/>
      <c r="U62" s="4"/>
      <c r="V62" s="4"/>
      <c r="W62" s="4"/>
      <c r="X62" s="4"/>
      <c r="Y62" s="4"/>
      <c r="Z62" s="4"/>
      <c r="AA62" s="4"/>
      <c r="AB62" s="4"/>
      <c r="AC62" s="4"/>
      <c r="AD62" s="4"/>
      <c r="AE62" s="4"/>
      <c r="AF62" s="4"/>
      <c r="AG62" s="4"/>
    </row>
    <row r="63" ht="11.25" customHeight="1">
      <c r="A63" s="8"/>
      <c r="B63" s="6"/>
      <c r="C63" s="28"/>
      <c r="D63" s="28"/>
      <c r="E63" s="28"/>
      <c r="F63" s="28"/>
      <c r="G63" s="28"/>
      <c r="H63" s="28"/>
      <c r="I63" s="28"/>
      <c r="J63" s="28"/>
      <c r="K63" s="28"/>
      <c r="L63" s="28"/>
      <c r="M63" s="79"/>
      <c r="N63" s="58"/>
      <c r="O63" s="4"/>
      <c r="P63" s="4"/>
      <c r="Q63" s="4"/>
      <c r="R63" s="4"/>
      <c r="S63" s="4"/>
      <c r="T63" s="4"/>
      <c r="U63" s="4"/>
      <c r="V63" s="4"/>
      <c r="W63" s="4"/>
      <c r="X63" s="4"/>
      <c r="Y63" s="4"/>
      <c r="Z63" s="4"/>
      <c r="AA63" s="4"/>
      <c r="AB63" s="4"/>
      <c r="AC63" s="4"/>
      <c r="AD63" s="4"/>
      <c r="AE63" s="4"/>
      <c r="AF63" s="4"/>
      <c r="AG63" s="4"/>
    </row>
    <row r="64" ht="11.25" customHeight="1">
      <c r="A64" s="8"/>
      <c r="B64" s="6"/>
      <c r="C64" s="28"/>
      <c r="D64" s="28"/>
      <c r="E64" s="28"/>
      <c r="F64" s="28"/>
      <c r="G64" s="28"/>
      <c r="H64" s="28"/>
      <c r="I64" s="28"/>
      <c r="J64" s="28"/>
      <c r="K64" s="28"/>
      <c r="L64" s="28"/>
      <c r="M64" s="79"/>
      <c r="N64" s="58"/>
      <c r="O64" s="4"/>
      <c r="P64" s="4"/>
      <c r="Q64" s="4"/>
      <c r="R64" s="4"/>
      <c r="S64" s="4"/>
      <c r="T64" s="4"/>
      <c r="U64" s="4"/>
      <c r="V64" s="4"/>
      <c r="W64" s="4"/>
      <c r="X64" s="4"/>
      <c r="Y64" s="4"/>
      <c r="Z64" s="4"/>
      <c r="AA64" s="4"/>
      <c r="AB64" s="4"/>
      <c r="AC64" s="4"/>
      <c r="AD64" s="4"/>
      <c r="AE64" s="4"/>
      <c r="AF64" s="4"/>
      <c r="AG64" s="4"/>
    </row>
    <row r="65" ht="12.0" customHeight="1">
      <c r="A65" s="292" t="str">
        <f>A10</f>
        <v>New Equity</v>
      </c>
      <c r="B65" s="207"/>
      <c r="C65" s="249"/>
      <c r="D65" s="249"/>
      <c r="E65" s="249"/>
      <c r="F65" s="249"/>
      <c r="G65" s="249"/>
      <c r="H65" s="249"/>
      <c r="I65" s="249"/>
      <c r="J65" s="249"/>
      <c r="K65" s="249"/>
      <c r="L65" s="249"/>
      <c r="M65" s="293"/>
      <c r="N65" s="58"/>
      <c r="O65" s="4"/>
      <c r="P65" s="4"/>
      <c r="Q65" s="4"/>
      <c r="R65" s="4"/>
      <c r="S65" s="4"/>
      <c r="T65" s="4"/>
      <c r="U65" s="4"/>
      <c r="V65" s="4"/>
      <c r="W65" s="4"/>
      <c r="X65" s="4"/>
      <c r="Y65" s="4"/>
      <c r="Z65" s="4"/>
      <c r="AA65" s="4"/>
      <c r="AB65" s="4"/>
      <c r="AC65" s="4"/>
      <c r="AD65" s="4"/>
      <c r="AE65" s="4"/>
      <c r="AF65" s="4"/>
      <c r="AG65" s="4"/>
    </row>
    <row r="66" ht="11.25" customHeight="1">
      <c r="A66" s="294" t="s">
        <v>324</v>
      </c>
      <c r="B66" s="6"/>
      <c r="C66" s="205">
        <f>-Input!C39</f>
        <v>-25000</v>
      </c>
      <c r="D66" s="205"/>
      <c r="E66" s="205"/>
      <c r="F66" s="205"/>
      <c r="G66" s="205"/>
      <c r="H66" s="205"/>
      <c r="I66" s="205"/>
      <c r="J66" s="205"/>
      <c r="K66" s="205"/>
      <c r="L66" s="205"/>
      <c r="M66" s="295"/>
      <c r="N66" s="58"/>
      <c r="O66" s="4"/>
      <c r="P66" s="4"/>
      <c r="Q66" s="4"/>
      <c r="R66" s="4"/>
      <c r="S66" s="4"/>
      <c r="T66" s="4"/>
      <c r="U66" s="4"/>
      <c r="V66" s="4"/>
      <c r="W66" s="4"/>
      <c r="X66" s="4"/>
      <c r="Y66" s="4"/>
      <c r="Z66" s="4"/>
      <c r="AA66" s="4"/>
      <c r="AB66" s="4"/>
      <c r="AC66" s="4"/>
      <c r="AD66" s="4"/>
      <c r="AE66" s="4"/>
      <c r="AF66" s="4"/>
      <c r="AG66" s="4"/>
    </row>
    <row r="67" ht="11.25" customHeight="1">
      <c r="A67" s="294" t="s">
        <v>330</v>
      </c>
      <c r="B67" s="6"/>
      <c r="C67" s="205"/>
      <c r="D67" s="205">
        <f>IF($C$4&gt;=D$22,Inc_St!D$47*$D$10,0)</f>
        <v>219.2982456</v>
      </c>
      <c r="E67" s="205">
        <f>IF($C$4&gt;=E$22,Inc_St!E$47*$D$10,0)</f>
        <v>236.8421053</v>
      </c>
      <c r="F67" s="205">
        <f>IF($C$4&gt;=F$22,Inc_St!F$47*$D$10,0)</f>
        <v>250</v>
      </c>
      <c r="G67" s="205">
        <f>IF($C$4&gt;=G$22,Inc_St!G$47*$D$10,0)</f>
        <v>0</v>
      </c>
      <c r="H67" s="205">
        <f>IF($C$4&gt;=H$22,Inc_St!H$47*$D$10,0)</f>
        <v>0</v>
      </c>
      <c r="I67" s="205">
        <f>IF($C$4&gt;=I$22,Inc_St!I$47*$D$10,0)</f>
        <v>0</v>
      </c>
      <c r="J67" s="205">
        <f>IF($C$4&gt;=J$22,Inc_St!J$47*$D$10,0)</f>
        <v>0</v>
      </c>
      <c r="K67" s="205">
        <f>IF($C$4&gt;=K$22,Inc_St!K$47*$D$10,0)</f>
        <v>0</v>
      </c>
      <c r="L67" s="205">
        <f>IF($C$4&gt;=L$22,Inc_St!L$47*$D$10,0)</f>
        <v>0</v>
      </c>
      <c r="M67" s="295">
        <f>IF($C$4&gt;=M$22,Inc_St!M$47*$D$10,0)</f>
        <v>0</v>
      </c>
      <c r="N67" s="58"/>
      <c r="O67" s="4"/>
      <c r="P67" s="4"/>
      <c r="Q67" s="4"/>
      <c r="R67" s="4"/>
      <c r="S67" s="4"/>
      <c r="T67" s="4"/>
      <c r="U67" s="4"/>
      <c r="V67" s="4"/>
      <c r="W67" s="4"/>
      <c r="X67" s="4"/>
      <c r="Y67" s="4"/>
      <c r="Z67" s="4"/>
      <c r="AA67" s="4"/>
      <c r="AB67" s="4"/>
      <c r="AC67" s="4"/>
      <c r="AD67" s="4"/>
      <c r="AE67" s="4"/>
      <c r="AF67" s="4"/>
      <c r="AG67" s="4"/>
    </row>
    <row r="68" ht="11.25" customHeight="1">
      <c r="A68" s="294" t="s">
        <v>328</v>
      </c>
      <c r="B68" s="6"/>
      <c r="C68" s="205"/>
      <c r="D68" s="205">
        <f t="shared" ref="D68:M68" si="18">IF($C$4=D$22,$G$10,0)</f>
        <v>0</v>
      </c>
      <c r="E68" s="205">
        <f t="shared" si="18"/>
        <v>0</v>
      </c>
      <c r="F68" s="205" t="str">
        <f t="shared" si="18"/>
        <v>#REF!</v>
      </c>
      <c r="G68" s="205">
        <f t="shared" si="18"/>
        <v>0</v>
      </c>
      <c r="H68" s="205">
        <f t="shared" si="18"/>
        <v>0</v>
      </c>
      <c r="I68" s="205">
        <f t="shared" si="18"/>
        <v>0</v>
      </c>
      <c r="J68" s="205">
        <f t="shared" si="18"/>
        <v>0</v>
      </c>
      <c r="K68" s="205">
        <f t="shared" si="18"/>
        <v>0</v>
      </c>
      <c r="L68" s="205">
        <f t="shared" si="18"/>
        <v>0</v>
      </c>
      <c r="M68" s="295">
        <f t="shared" si="18"/>
        <v>0</v>
      </c>
      <c r="N68" s="58"/>
      <c r="O68" s="4"/>
      <c r="P68" s="4"/>
      <c r="Q68" s="4"/>
      <c r="R68" s="4"/>
      <c r="S68" s="4"/>
      <c r="T68" s="4"/>
      <c r="U68" s="4"/>
      <c r="V68" s="4"/>
      <c r="W68" s="4"/>
      <c r="X68" s="4"/>
      <c r="Y68" s="4"/>
      <c r="Z68" s="4"/>
      <c r="AA68" s="4"/>
      <c r="AB68" s="4"/>
      <c r="AC68" s="4"/>
      <c r="AD68" s="4"/>
      <c r="AE68" s="4"/>
      <c r="AF68" s="4"/>
      <c r="AG68" s="4"/>
    </row>
    <row r="69" ht="12.0" customHeight="1">
      <c r="A69" s="300" t="s">
        <v>329</v>
      </c>
      <c r="B69" s="301" t="str">
        <f>IF($C$4&gt;0,IRR($C69:$M69, ),0)</f>
        <v>#REF!</v>
      </c>
      <c r="C69" s="302">
        <f>C66</f>
        <v>-25000</v>
      </c>
      <c r="D69" s="302">
        <f t="shared" ref="D69:M69" si="19">SUM(D67:D68)</f>
        <v>219.2982456</v>
      </c>
      <c r="E69" s="302">
        <f t="shared" si="19"/>
        <v>236.8421053</v>
      </c>
      <c r="F69" s="302" t="str">
        <f t="shared" si="19"/>
        <v>#REF!</v>
      </c>
      <c r="G69" s="302">
        <f t="shared" si="19"/>
        <v>0</v>
      </c>
      <c r="H69" s="302">
        <f t="shared" si="19"/>
        <v>0</v>
      </c>
      <c r="I69" s="302">
        <f t="shared" si="19"/>
        <v>0</v>
      </c>
      <c r="J69" s="302">
        <f t="shared" si="19"/>
        <v>0</v>
      </c>
      <c r="K69" s="302">
        <f t="shared" si="19"/>
        <v>0</v>
      </c>
      <c r="L69" s="302">
        <f t="shared" si="19"/>
        <v>0</v>
      </c>
      <c r="M69" s="303">
        <f t="shared" si="19"/>
        <v>0</v>
      </c>
      <c r="N69" s="58"/>
      <c r="O69" s="4"/>
      <c r="P69" s="4"/>
      <c r="Q69" s="4"/>
      <c r="R69" s="4"/>
      <c r="S69" s="4"/>
      <c r="T69" s="4"/>
      <c r="U69" s="4"/>
      <c r="V69" s="4"/>
      <c r="W69" s="4"/>
      <c r="X69" s="4"/>
      <c r="Y69" s="4"/>
      <c r="Z69" s="4"/>
      <c r="AA69" s="4"/>
      <c r="AB69" s="4"/>
      <c r="AC69" s="4"/>
      <c r="AD69" s="4"/>
      <c r="AE69" s="4"/>
      <c r="AF69" s="4"/>
      <c r="AG69" s="4"/>
    </row>
    <row r="70" ht="11.25" customHeight="1">
      <c r="A70" s="4"/>
      <c r="B70" s="4"/>
      <c r="C70" s="58"/>
      <c r="D70" s="58"/>
      <c r="E70" s="58"/>
      <c r="F70" s="58"/>
      <c r="G70" s="58"/>
      <c r="H70" s="58"/>
      <c r="I70" s="58"/>
      <c r="J70" s="58"/>
      <c r="K70" s="58"/>
      <c r="L70" s="58"/>
      <c r="M70" s="58"/>
      <c r="N70" s="58"/>
      <c r="O70" s="4"/>
      <c r="P70" s="4"/>
      <c r="Q70" s="4"/>
      <c r="R70" s="4"/>
      <c r="S70" s="4"/>
      <c r="T70" s="4"/>
      <c r="U70" s="4"/>
      <c r="V70" s="4"/>
      <c r="W70" s="4"/>
      <c r="X70" s="4"/>
      <c r="Y70" s="4"/>
      <c r="Z70" s="4"/>
      <c r="AA70" s="4"/>
      <c r="AB70" s="4"/>
      <c r="AC70" s="4"/>
      <c r="AD70" s="4"/>
      <c r="AE70" s="4"/>
      <c r="AF70" s="4"/>
      <c r="AG70" s="4"/>
    </row>
    <row r="71" ht="11.25" customHeight="1">
      <c r="A71" s="4"/>
      <c r="B71" s="4"/>
      <c r="C71" s="58"/>
      <c r="D71" s="58"/>
      <c r="E71" s="58"/>
      <c r="F71" s="58"/>
      <c r="G71" s="58"/>
      <c r="H71" s="58"/>
      <c r="I71" s="58"/>
      <c r="J71" s="58"/>
      <c r="K71" s="58"/>
      <c r="L71" s="58"/>
      <c r="M71" s="58"/>
      <c r="N71" s="58"/>
      <c r="O71" s="4"/>
      <c r="P71" s="4"/>
      <c r="Q71" s="4"/>
      <c r="R71" s="4"/>
      <c r="S71" s="4"/>
      <c r="T71" s="4"/>
      <c r="U71" s="4"/>
      <c r="V71" s="4"/>
      <c r="W71" s="4"/>
      <c r="X71" s="4"/>
      <c r="Y71" s="4"/>
      <c r="Z71" s="4"/>
      <c r="AA71" s="4"/>
      <c r="AB71" s="4"/>
      <c r="AC71" s="4"/>
      <c r="AD71" s="4"/>
      <c r="AE71" s="4"/>
      <c r="AF71" s="4"/>
      <c r="AG71" s="4"/>
    </row>
    <row r="72" ht="11.25" customHeight="1">
      <c r="A72" s="4"/>
      <c r="B72" s="4"/>
      <c r="C72" s="58"/>
      <c r="D72" s="58"/>
      <c r="E72" s="58"/>
      <c r="F72" s="58"/>
      <c r="G72" s="58"/>
      <c r="H72" s="58"/>
      <c r="I72" s="58"/>
      <c r="J72" s="58"/>
      <c r="K72" s="58"/>
      <c r="L72" s="58"/>
      <c r="M72" s="58"/>
      <c r="N72" s="58"/>
      <c r="O72" s="4"/>
      <c r="P72" s="4"/>
      <c r="Q72" s="4"/>
      <c r="R72" s="4"/>
      <c r="S72" s="4"/>
      <c r="T72" s="4"/>
      <c r="U72" s="4"/>
      <c r="V72" s="4"/>
      <c r="W72" s="4"/>
      <c r="X72" s="4"/>
      <c r="Y72" s="4"/>
      <c r="Z72" s="4"/>
      <c r="AA72" s="4"/>
      <c r="AB72" s="4"/>
      <c r="AC72" s="4"/>
      <c r="AD72" s="4"/>
      <c r="AE72" s="4"/>
      <c r="AF72" s="4"/>
      <c r="AG72" s="4"/>
    </row>
    <row r="73" ht="11.25" customHeight="1">
      <c r="A73" s="4"/>
      <c r="B73" s="4"/>
      <c r="C73" s="58"/>
      <c r="D73" s="58"/>
      <c r="E73" s="58"/>
      <c r="F73" s="58"/>
      <c r="G73" s="58"/>
      <c r="H73" s="58"/>
      <c r="I73" s="58"/>
      <c r="J73" s="58"/>
      <c r="K73" s="58"/>
      <c r="L73" s="58"/>
      <c r="M73" s="58"/>
      <c r="N73" s="58"/>
      <c r="O73" s="4"/>
      <c r="P73" s="4"/>
      <c r="Q73" s="4"/>
      <c r="R73" s="4"/>
      <c r="S73" s="4"/>
      <c r="T73" s="4"/>
      <c r="U73" s="4"/>
      <c r="V73" s="4"/>
      <c r="W73" s="4"/>
      <c r="X73" s="4"/>
      <c r="Y73" s="4"/>
      <c r="Z73" s="4"/>
      <c r="AA73" s="4"/>
      <c r="AB73" s="4"/>
      <c r="AC73" s="4"/>
      <c r="AD73" s="4"/>
      <c r="AE73" s="4"/>
      <c r="AF73" s="4"/>
      <c r="AG73" s="4"/>
    </row>
    <row r="74" ht="11.25" customHeight="1">
      <c r="A74" s="4"/>
      <c r="B74" s="4"/>
      <c r="C74" s="58"/>
      <c r="D74" s="58"/>
      <c r="E74" s="58"/>
      <c r="F74" s="58"/>
      <c r="G74" s="58"/>
      <c r="H74" s="58"/>
      <c r="I74" s="58"/>
      <c r="J74" s="58"/>
      <c r="K74" s="58"/>
      <c r="L74" s="58"/>
      <c r="M74" s="58"/>
      <c r="N74" s="58"/>
      <c r="O74" s="4"/>
      <c r="P74" s="4"/>
      <c r="Q74" s="4"/>
      <c r="R74" s="4"/>
      <c r="S74" s="4"/>
      <c r="T74" s="4"/>
      <c r="U74" s="4"/>
      <c r="V74" s="4"/>
      <c r="W74" s="4"/>
      <c r="X74" s="4"/>
      <c r="Y74" s="4"/>
      <c r="Z74" s="4"/>
      <c r="AA74" s="4"/>
      <c r="AB74" s="4"/>
      <c r="AC74" s="4"/>
      <c r="AD74" s="4"/>
      <c r="AE74" s="4"/>
      <c r="AF74" s="4"/>
      <c r="AG74" s="4"/>
    </row>
    <row r="75" ht="11.25" customHeight="1">
      <c r="A75" s="4"/>
      <c r="B75" s="4"/>
      <c r="C75" s="58"/>
      <c r="D75" s="58"/>
      <c r="E75" s="58"/>
      <c r="F75" s="58"/>
      <c r="G75" s="58"/>
      <c r="H75" s="58"/>
      <c r="I75" s="58"/>
      <c r="J75" s="58"/>
      <c r="K75" s="58"/>
      <c r="L75" s="58"/>
      <c r="M75" s="58"/>
      <c r="N75" s="58"/>
      <c r="O75" s="4"/>
      <c r="P75" s="4"/>
      <c r="Q75" s="4"/>
      <c r="R75" s="4"/>
      <c r="S75" s="4"/>
      <c r="T75" s="4"/>
      <c r="U75" s="4"/>
      <c r="V75" s="4"/>
      <c r="W75" s="4"/>
      <c r="X75" s="4"/>
      <c r="Y75" s="4"/>
      <c r="Z75" s="4"/>
      <c r="AA75" s="4"/>
      <c r="AB75" s="4"/>
      <c r="AC75" s="4"/>
      <c r="AD75" s="4"/>
      <c r="AE75" s="4"/>
      <c r="AF75" s="4"/>
      <c r="AG75" s="4"/>
    </row>
    <row r="76" ht="11.25" customHeight="1">
      <c r="A76" s="4"/>
      <c r="B76" s="4"/>
      <c r="C76" s="58"/>
      <c r="D76" s="58"/>
      <c r="E76" s="58"/>
      <c r="F76" s="58"/>
      <c r="G76" s="58"/>
      <c r="H76" s="58"/>
      <c r="I76" s="58"/>
      <c r="J76" s="58"/>
      <c r="K76" s="58"/>
      <c r="L76" s="58"/>
      <c r="M76" s="58"/>
      <c r="N76" s="58"/>
      <c r="O76" s="4"/>
      <c r="P76" s="4"/>
      <c r="Q76" s="4"/>
      <c r="R76" s="4"/>
      <c r="S76" s="4"/>
      <c r="T76" s="4"/>
      <c r="U76" s="4"/>
      <c r="V76" s="4"/>
      <c r="W76" s="4"/>
      <c r="X76" s="4"/>
      <c r="Y76" s="4"/>
      <c r="Z76" s="4"/>
      <c r="AA76" s="4"/>
      <c r="AB76" s="4"/>
      <c r="AC76" s="4"/>
      <c r="AD76" s="4"/>
      <c r="AE76" s="4"/>
      <c r="AF76" s="4"/>
      <c r="AG76" s="4"/>
    </row>
    <row r="77" ht="11.25" customHeight="1">
      <c r="A77" s="4"/>
      <c r="B77" s="4"/>
      <c r="C77" s="58"/>
      <c r="D77" s="58"/>
      <c r="E77" s="58"/>
      <c r="F77" s="58"/>
      <c r="G77" s="58"/>
      <c r="H77" s="58"/>
      <c r="I77" s="58"/>
      <c r="J77" s="58"/>
      <c r="K77" s="58"/>
      <c r="L77" s="58"/>
      <c r="M77" s="58"/>
      <c r="N77" s="58"/>
      <c r="O77" s="4"/>
      <c r="P77" s="4"/>
      <c r="Q77" s="4"/>
      <c r="R77" s="4"/>
      <c r="S77" s="4"/>
      <c r="T77" s="4"/>
      <c r="U77" s="4"/>
      <c r="V77" s="4"/>
      <c r="W77" s="4"/>
      <c r="X77" s="4"/>
      <c r="Y77" s="4"/>
      <c r="Z77" s="4"/>
      <c r="AA77" s="4"/>
      <c r="AB77" s="4"/>
      <c r="AC77" s="4"/>
      <c r="AD77" s="4"/>
      <c r="AE77" s="4"/>
      <c r="AF77" s="4"/>
      <c r="AG77" s="4"/>
    </row>
    <row r="78" ht="11.25" customHeight="1">
      <c r="A78" s="4"/>
      <c r="B78" s="4"/>
      <c r="C78" s="58"/>
      <c r="D78" s="58"/>
      <c r="E78" s="58"/>
      <c r="F78" s="58"/>
      <c r="G78" s="58"/>
      <c r="H78" s="58"/>
      <c r="I78" s="58"/>
      <c r="J78" s="58"/>
      <c r="K78" s="58"/>
      <c r="L78" s="58"/>
      <c r="M78" s="58"/>
      <c r="N78" s="58"/>
      <c r="O78" s="4"/>
      <c r="P78" s="4"/>
      <c r="Q78" s="4"/>
      <c r="R78" s="4"/>
      <c r="S78" s="4"/>
      <c r="T78" s="4"/>
      <c r="U78" s="4"/>
      <c r="V78" s="4"/>
      <c r="W78" s="4"/>
      <c r="X78" s="4"/>
      <c r="Y78" s="4"/>
      <c r="Z78" s="4"/>
      <c r="AA78" s="4"/>
      <c r="AB78" s="4"/>
      <c r="AC78" s="4"/>
      <c r="AD78" s="4"/>
      <c r="AE78" s="4"/>
      <c r="AF78" s="4"/>
      <c r="AG78" s="4"/>
    </row>
    <row r="79" ht="11.25" customHeight="1">
      <c r="A79" s="4"/>
      <c r="B79" s="4"/>
      <c r="C79" s="58"/>
      <c r="D79" s="58"/>
      <c r="E79" s="58"/>
      <c r="F79" s="58"/>
      <c r="G79" s="58"/>
      <c r="H79" s="58"/>
      <c r="I79" s="58"/>
      <c r="J79" s="58"/>
      <c r="K79" s="58"/>
      <c r="L79" s="58"/>
      <c r="M79" s="58"/>
      <c r="N79" s="58"/>
      <c r="O79" s="4"/>
      <c r="P79" s="4"/>
      <c r="Q79" s="4"/>
      <c r="R79" s="4"/>
      <c r="S79" s="4"/>
      <c r="T79" s="4"/>
      <c r="U79" s="4"/>
      <c r="V79" s="4"/>
      <c r="W79" s="4"/>
      <c r="X79" s="4"/>
      <c r="Y79" s="4"/>
      <c r="Z79" s="4"/>
      <c r="AA79" s="4"/>
      <c r="AB79" s="4"/>
      <c r="AC79" s="4"/>
      <c r="AD79" s="4"/>
      <c r="AE79" s="4"/>
      <c r="AF79" s="4"/>
      <c r="AG79" s="4"/>
    </row>
    <row r="80" ht="11.25" customHeight="1">
      <c r="A80" s="4"/>
      <c r="B80" s="4"/>
      <c r="C80" s="58"/>
      <c r="D80" s="58"/>
      <c r="E80" s="58"/>
      <c r="F80" s="58"/>
      <c r="G80" s="58"/>
      <c r="H80" s="58"/>
      <c r="I80" s="58"/>
      <c r="J80" s="58"/>
      <c r="K80" s="58"/>
      <c r="L80" s="58"/>
      <c r="M80" s="58"/>
      <c r="N80" s="58"/>
      <c r="O80" s="4"/>
      <c r="P80" s="4"/>
      <c r="Q80" s="4"/>
      <c r="R80" s="4"/>
      <c r="S80" s="4"/>
      <c r="T80" s="4"/>
      <c r="U80" s="4"/>
      <c r="V80" s="4"/>
      <c r="W80" s="4"/>
      <c r="X80" s="4"/>
      <c r="Y80" s="4"/>
      <c r="Z80" s="4"/>
      <c r="AA80" s="4"/>
      <c r="AB80" s="4"/>
      <c r="AC80" s="4"/>
      <c r="AD80" s="4"/>
      <c r="AE80" s="4"/>
      <c r="AF80" s="4"/>
      <c r="AG80" s="4"/>
    </row>
    <row r="81" ht="11.25" customHeight="1">
      <c r="A81" s="4"/>
      <c r="B81" s="4"/>
      <c r="C81" s="58"/>
      <c r="D81" s="58"/>
      <c r="E81" s="58"/>
      <c r="F81" s="58"/>
      <c r="G81" s="58"/>
      <c r="H81" s="58"/>
      <c r="I81" s="58"/>
      <c r="J81" s="58"/>
      <c r="K81" s="58"/>
      <c r="L81" s="58"/>
      <c r="M81" s="58"/>
      <c r="N81" s="58"/>
      <c r="O81" s="4"/>
      <c r="P81" s="4"/>
      <c r="Q81" s="4"/>
      <c r="R81" s="4"/>
      <c r="S81" s="4"/>
      <c r="T81" s="4"/>
      <c r="U81" s="4"/>
      <c r="V81" s="4"/>
      <c r="W81" s="4"/>
      <c r="X81" s="4"/>
      <c r="Y81" s="4"/>
      <c r="Z81" s="4"/>
      <c r="AA81" s="4"/>
      <c r="AB81" s="4"/>
      <c r="AC81" s="4"/>
      <c r="AD81" s="4"/>
      <c r="AE81" s="4"/>
      <c r="AF81" s="4"/>
      <c r="AG81" s="4"/>
    </row>
    <row r="82" ht="11.25" customHeight="1">
      <c r="A82" s="4"/>
      <c r="B82" s="4"/>
      <c r="C82" s="58"/>
      <c r="D82" s="58"/>
      <c r="E82" s="58"/>
      <c r="F82" s="58"/>
      <c r="G82" s="58"/>
      <c r="H82" s="58"/>
      <c r="I82" s="58"/>
      <c r="J82" s="58"/>
      <c r="K82" s="58"/>
      <c r="L82" s="58"/>
      <c r="M82" s="58"/>
      <c r="N82" s="58"/>
      <c r="O82" s="4"/>
      <c r="P82" s="4"/>
      <c r="Q82" s="4"/>
      <c r="R82" s="4"/>
      <c r="S82" s="4"/>
      <c r="T82" s="4"/>
      <c r="U82" s="4"/>
      <c r="V82" s="4"/>
      <c r="W82" s="4"/>
      <c r="X82" s="4"/>
      <c r="Y82" s="4"/>
      <c r="Z82" s="4"/>
      <c r="AA82" s="4"/>
      <c r="AB82" s="4"/>
      <c r="AC82" s="4"/>
      <c r="AD82" s="4"/>
      <c r="AE82" s="4"/>
      <c r="AF82" s="4"/>
      <c r="AG82" s="4"/>
    </row>
    <row r="83" ht="11.25" customHeight="1">
      <c r="A83" s="4"/>
      <c r="B83" s="4"/>
      <c r="C83" s="58"/>
      <c r="D83" s="58"/>
      <c r="E83" s="58"/>
      <c r="F83" s="58"/>
      <c r="G83" s="58"/>
      <c r="H83" s="58"/>
      <c r="I83" s="58"/>
      <c r="J83" s="58"/>
      <c r="K83" s="58"/>
      <c r="L83" s="58"/>
      <c r="M83" s="58"/>
      <c r="N83" s="58"/>
      <c r="O83" s="4"/>
      <c r="P83" s="4"/>
      <c r="Q83" s="4"/>
      <c r="R83" s="4"/>
      <c r="S83" s="4"/>
      <c r="T83" s="4"/>
      <c r="U83" s="4"/>
      <c r="V83" s="4"/>
      <c r="W83" s="4"/>
      <c r="X83" s="4"/>
      <c r="Y83" s="4"/>
      <c r="Z83" s="4"/>
      <c r="AA83" s="4"/>
      <c r="AB83" s="4"/>
      <c r="AC83" s="4"/>
      <c r="AD83" s="4"/>
      <c r="AE83" s="4"/>
      <c r="AF83" s="4"/>
      <c r="AG83" s="4"/>
    </row>
    <row r="84" ht="11.25" customHeight="1">
      <c r="A84" s="4"/>
      <c r="B84" s="4"/>
      <c r="C84" s="58"/>
      <c r="D84" s="58"/>
      <c r="E84" s="58"/>
      <c r="F84" s="58"/>
      <c r="G84" s="58"/>
      <c r="H84" s="58"/>
      <c r="I84" s="58"/>
      <c r="J84" s="58"/>
      <c r="K84" s="58"/>
      <c r="L84" s="58"/>
      <c r="M84" s="58"/>
      <c r="N84" s="58"/>
      <c r="O84" s="4"/>
      <c r="P84" s="4"/>
      <c r="Q84" s="4"/>
      <c r="R84" s="4"/>
      <c r="S84" s="4"/>
      <c r="T84" s="4"/>
      <c r="U84" s="4"/>
      <c r="V84" s="4"/>
      <c r="W84" s="4"/>
      <c r="X84" s="4"/>
      <c r="Y84" s="4"/>
      <c r="Z84" s="4"/>
      <c r="AA84" s="4"/>
      <c r="AB84" s="4"/>
      <c r="AC84" s="4"/>
      <c r="AD84" s="4"/>
      <c r="AE84" s="4"/>
      <c r="AF84" s="4"/>
      <c r="AG84" s="4"/>
    </row>
    <row r="85" ht="11.25" customHeight="1">
      <c r="A85" s="4"/>
      <c r="B85" s="4"/>
      <c r="C85" s="58"/>
      <c r="D85" s="58"/>
      <c r="E85" s="58"/>
      <c r="F85" s="58"/>
      <c r="G85" s="58"/>
      <c r="H85" s="58"/>
      <c r="I85" s="58"/>
      <c r="J85" s="58"/>
      <c r="K85" s="58"/>
      <c r="L85" s="58"/>
      <c r="M85" s="58"/>
      <c r="N85" s="58"/>
      <c r="O85" s="4"/>
      <c r="P85" s="4"/>
      <c r="Q85" s="4"/>
      <c r="R85" s="4"/>
      <c r="S85" s="4"/>
      <c r="T85" s="4"/>
      <c r="U85" s="4"/>
      <c r="V85" s="4"/>
      <c r="W85" s="4"/>
      <c r="X85" s="4"/>
      <c r="Y85" s="4"/>
      <c r="Z85" s="4"/>
      <c r="AA85" s="4"/>
      <c r="AB85" s="4"/>
      <c r="AC85" s="4"/>
      <c r="AD85" s="4"/>
      <c r="AE85" s="4"/>
      <c r="AF85" s="4"/>
      <c r="AG85" s="4"/>
    </row>
    <row r="86" ht="11.25" customHeight="1">
      <c r="A86" s="4"/>
      <c r="B86" s="4"/>
      <c r="C86" s="58"/>
      <c r="D86" s="58"/>
      <c r="E86" s="58"/>
      <c r="F86" s="58"/>
      <c r="G86" s="58"/>
      <c r="H86" s="58"/>
      <c r="I86" s="58"/>
      <c r="J86" s="58"/>
      <c r="K86" s="58"/>
      <c r="L86" s="58"/>
      <c r="M86" s="58"/>
      <c r="N86" s="58"/>
      <c r="O86" s="4"/>
      <c r="P86" s="4"/>
      <c r="Q86" s="4"/>
      <c r="R86" s="4"/>
      <c r="S86" s="4"/>
      <c r="T86" s="4"/>
      <c r="U86" s="4"/>
      <c r="V86" s="4"/>
      <c r="W86" s="4"/>
      <c r="X86" s="4"/>
      <c r="Y86" s="4"/>
      <c r="Z86" s="4"/>
      <c r="AA86" s="4"/>
      <c r="AB86" s="4"/>
      <c r="AC86" s="4"/>
      <c r="AD86" s="4"/>
      <c r="AE86" s="4"/>
      <c r="AF86" s="4"/>
      <c r="AG86" s="4"/>
    </row>
    <row r="87" ht="11.25" customHeight="1">
      <c r="A87" s="4"/>
      <c r="B87" s="4"/>
      <c r="C87" s="58"/>
      <c r="D87" s="58"/>
      <c r="E87" s="58"/>
      <c r="F87" s="58"/>
      <c r="G87" s="58"/>
      <c r="H87" s="58"/>
      <c r="I87" s="58"/>
      <c r="J87" s="58"/>
      <c r="K87" s="58"/>
      <c r="L87" s="58"/>
      <c r="M87" s="58"/>
      <c r="N87" s="58"/>
      <c r="O87" s="4"/>
      <c r="P87" s="4"/>
      <c r="Q87" s="4"/>
      <c r="R87" s="4"/>
      <c r="S87" s="4"/>
      <c r="T87" s="4"/>
      <c r="U87" s="4"/>
      <c r="V87" s="4"/>
      <c r="W87" s="4"/>
      <c r="X87" s="4"/>
      <c r="Y87" s="4"/>
      <c r="Z87" s="4"/>
      <c r="AA87" s="4"/>
      <c r="AB87" s="4"/>
      <c r="AC87" s="4"/>
      <c r="AD87" s="4"/>
      <c r="AE87" s="4"/>
      <c r="AF87" s="4"/>
      <c r="AG87" s="4"/>
    </row>
    <row r="88" ht="11.25" customHeight="1">
      <c r="A88" s="4"/>
      <c r="B88" s="4"/>
      <c r="C88" s="58"/>
      <c r="D88" s="58"/>
      <c r="E88" s="58"/>
      <c r="F88" s="58"/>
      <c r="G88" s="58"/>
      <c r="H88" s="58"/>
      <c r="I88" s="58"/>
      <c r="J88" s="58"/>
      <c r="K88" s="58"/>
      <c r="L88" s="58"/>
      <c r="M88" s="58"/>
      <c r="N88" s="58"/>
      <c r="O88" s="4"/>
      <c r="P88" s="4"/>
      <c r="Q88" s="4"/>
      <c r="R88" s="4"/>
      <c r="S88" s="4"/>
      <c r="T88" s="4"/>
      <c r="U88" s="4"/>
      <c r="V88" s="4"/>
      <c r="W88" s="4"/>
      <c r="X88" s="4"/>
      <c r="Y88" s="4"/>
      <c r="Z88" s="4"/>
      <c r="AA88" s="4"/>
      <c r="AB88" s="4"/>
      <c r="AC88" s="4"/>
      <c r="AD88" s="4"/>
      <c r="AE88" s="4"/>
      <c r="AF88" s="4"/>
      <c r="AG88" s="4"/>
    </row>
    <row r="89" ht="11.25" customHeight="1">
      <c r="A89" s="4"/>
      <c r="B89" s="4"/>
      <c r="C89" s="58"/>
      <c r="D89" s="58"/>
      <c r="E89" s="58"/>
      <c r="F89" s="58"/>
      <c r="G89" s="58"/>
      <c r="H89" s="58"/>
      <c r="I89" s="58"/>
      <c r="J89" s="58"/>
      <c r="K89" s="58"/>
      <c r="L89" s="58"/>
      <c r="M89" s="58"/>
      <c r="N89" s="58"/>
      <c r="O89" s="4"/>
      <c r="P89" s="4"/>
      <c r="Q89" s="4"/>
      <c r="R89" s="4"/>
      <c r="S89" s="4"/>
      <c r="T89" s="4"/>
      <c r="U89" s="4"/>
      <c r="V89" s="4"/>
      <c r="W89" s="4"/>
      <c r="X89" s="4"/>
      <c r="Y89" s="4"/>
      <c r="Z89" s="4"/>
      <c r="AA89" s="4"/>
      <c r="AB89" s="4"/>
      <c r="AC89" s="4"/>
      <c r="AD89" s="4"/>
      <c r="AE89" s="4"/>
      <c r="AF89" s="4"/>
      <c r="AG89" s="4"/>
    </row>
    <row r="90" ht="11.25" customHeight="1">
      <c r="A90" s="4"/>
      <c r="B90" s="4"/>
      <c r="C90" s="58"/>
      <c r="D90" s="58"/>
      <c r="E90" s="58"/>
      <c r="F90" s="58"/>
      <c r="G90" s="58"/>
      <c r="H90" s="58"/>
      <c r="I90" s="58"/>
      <c r="J90" s="58"/>
      <c r="K90" s="58"/>
      <c r="L90" s="58"/>
      <c r="M90" s="58"/>
      <c r="N90" s="58"/>
      <c r="O90" s="4"/>
      <c r="P90" s="4"/>
      <c r="Q90" s="4"/>
      <c r="R90" s="4"/>
      <c r="S90" s="4"/>
      <c r="T90" s="4"/>
      <c r="U90" s="4"/>
      <c r="V90" s="4"/>
      <c r="W90" s="4"/>
      <c r="X90" s="4"/>
      <c r="Y90" s="4"/>
      <c r="Z90" s="4"/>
      <c r="AA90" s="4"/>
      <c r="AB90" s="4"/>
      <c r="AC90" s="4"/>
      <c r="AD90" s="4"/>
      <c r="AE90" s="4"/>
      <c r="AF90" s="4"/>
      <c r="AG90" s="4"/>
    </row>
    <row r="91" ht="11.25" customHeight="1">
      <c r="A91" s="4"/>
      <c r="B91" s="4"/>
      <c r="C91" s="58"/>
      <c r="D91" s="58"/>
      <c r="E91" s="58"/>
      <c r="F91" s="58"/>
      <c r="G91" s="58"/>
      <c r="H91" s="58"/>
      <c r="I91" s="58"/>
      <c r="J91" s="58"/>
      <c r="K91" s="58"/>
      <c r="L91" s="58"/>
      <c r="M91" s="58"/>
      <c r="N91" s="58"/>
      <c r="O91" s="4"/>
      <c r="P91" s="4"/>
      <c r="Q91" s="4"/>
      <c r="R91" s="4"/>
      <c r="S91" s="4"/>
      <c r="T91" s="4"/>
      <c r="U91" s="4"/>
      <c r="V91" s="4"/>
      <c r="W91" s="4"/>
      <c r="X91" s="4"/>
      <c r="Y91" s="4"/>
      <c r="Z91" s="4"/>
      <c r="AA91" s="4"/>
      <c r="AB91" s="4"/>
      <c r="AC91" s="4"/>
      <c r="AD91" s="4"/>
      <c r="AE91" s="4"/>
      <c r="AF91" s="4"/>
      <c r="AG91" s="4"/>
    </row>
    <row r="92" ht="11.25" customHeight="1">
      <c r="A92" s="4"/>
      <c r="B92" s="4"/>
      <c r="C92" s="58"/>
      <c r="D92" s="58"/>
      <c r="E92" s="58"/>
      <c r="F92" s="58"/>
      <c r="G92" s="58"/>
      <c r="H92" s="58"/>
      <c r="I92" s="58"/>
      <c r="J92" s="58"/>
      <c r="K92" s="58"/>
      <c r="L92" s="58"/>
      <c r="M92" s="58"/>
      <c r="N92" s="58"/>
      <c r="O92" s="4"/>
      <c r="P92" s="4"/>
      <c r="Q92" s="4"/>
      <c r="R92" s="4"/>
      <c r="S92" s="4"/>
      <c r="T92" s="4"/>
      <c r="U92" s="4"/>
      <c r="V92" s="4"/>
      <c r="W92" s="4"/>
      <c r="X92" s="4"/>
      <c r="Y92" s="4"/>
      <c r="Z92" s="4"/>
      <c r="AA92" s="4"/>
      <c r="AB92" s="4"/>
      <c r="AC92" s="4"/>
      <c r="AD92" s="4"/>
      <c r="AE92" s="4"/>
      <c r="AF92" s="4"/>
      <c r="AG92" s="4"/>
    </row>
    <row r="93" ht="11.25" customHeight="1">
      <c r="A93" s="4"/>
      <c r="B93" s="4"/>
      <c r="C93" s="58"/>
      <c r="D93" s="58"/>
      <c r="E93" s="58"/>
      <c r="F93" s="58"/>
      <c r="G93" s="58"/>
      <c r="H93" s="58"/>
      <c r="I93" s="58"/>
      <c r="J93" s="58"/>
      <c r="K93" s="58"/>
      <c r="L93" s="58"/>
      <c r="M93" s="58"/>
      <c r="N93" s="58"/>
      <c r="O93" s="4"/>
      <c r="P93" s="4"/>
      <c r="Q93" s="4"/>
      <c r="R93" s="4"/>
      <c r="S93" s="4"/>
      <c r="T93" s="4"/>
      <c r="U93" s="4"/>
      <c r="V93" s="4"/>
      <c r="W93" s="4"/>
      <c r="X93" s="4"/>
      <c r="Y93" s="4"/>
      <c r="Z93" s="4"/>
      <c r="AA93" s="4"/>
      <c r="AB93" s="4"/>
      <c r="AC93" s="4"/>
      <c r="AD93" s="4"/>
      <c r="AE93" s="4"/>
      <c r="AF93" s="4"/>
      <c r="AG93" s="4"/>
    </row>
    <row r="94" ht="11.25" customHeight="1">
      <c r="A94" s="4"/>
      <c r="B94" s="4"/>
      <c r="C94" s="58"/>
      <c r="D94" s="58"/>
      <c r="E94" s="58"/>
      <c r="F94" s="58"/>
      <c r="G94" s="58"/>
      <c r="H94" s="58"/>
      <c r="I94" s="58"/>
      <c r="J94" s="58"/>
      <c r="K94" s="58"/>
      <c r="L94" s="58"/>
      <c r="M94" s="58"/>
      <c r="N94" s="58"/>
      <c r="O94" s="4"/>
      <c r="P94" s="4"/>
      <c r="Q94" s="4"/>
      <c r="R94" s="4"/>
      <c r="S94" s="4"/>
      <c r="T94" s="4"/>
      <c r="U94" s="4"/>
      <c r="V94" s="4"/>
      <c r="W94" s="4"/>
      <c r="X94" s="4"/>
      <c r="Y94" s="4"/>
      <c r="Z94" s="4"/>
      <c r="AA94" s="4"/>
      <c r="AB94" s="4"/>
      <c r="AC94" s="4"/>
      <c r="AD94" s="4"/>
      <c r="AE94" s="4"/>
      <c r="AF94" s="4"/>
      <c r="AG94" s="4"/>
    </row>
    <row r="95" ht="11.25" customHeight="1">
      <c r="A95" s="4"/>
      <c r="B95" s="4"/>
      <c r="C95" s="58"/>
      <c r="D95" s="58"/>
      <c r="E95" s="58"/>
      <c r="F95" s="58"/>
      <c r="G95" s="58"/>
      <c r="H95" s="58"/>
      <c r="I95" s="58"/>
      <c r="J95" s="58"/>
      <c r="K95" s="58"/>
      <c r="L95" s="58"/>
      <c r="M95" s="58"/>
      <c r="N95" s="58"/>
      <c r="O95" s="4"/>
      <c r="P95" s="4"/>
      <c r="Q95" s="4"/>
      <c r="R95" s="4"/>
      <c r="S95" s="4"/>
      <c r="T95" s="4"/>
      <c r="U95" s="4"/>
      <c r="V95" s="4"/>
      <c r="W95" s="4"/>
      <c r="X95" s="4"/>
      <c r="Y95" s="4"/>
      <c r="Z95" s="4"/>
      <c r="AA95" s="4"/>
      <c r="AB95" s="4"/>
      <c r="AC95" s="4"/>
      <c r="AD95" s="4"/>
      <c r="AE95" s="4"/>
      <c r="AF95" s="4"/>
      <c r="AG95" s="4"/>
    </row>
    <row r="96" ht="11.25" customHeight="1">
      <c r="A96" s="4"/>
      <c r="B96" s="4"/>
      <c r="C96" s="58"/>
      <c r="D96" s="58"/>
      <c r="E96" s="58"/>
      <c r="F96" s="58"/>
      <c r="G96" s="58"/>
      <c r="H96" s="58"/>
      <c r="I96" s="58"/>
      <c r="J96" s="58"/>
      <c r="K96" s="58"/>
      <c r="L96" s="58"/>
      <c r="M96" s="58"/>
      <c r="N96" s="58"/>
      <c r="O96" s="4"/>
      <c r="P96" s="4"/>
      <c r="Q96" s="4"/>
      <c r="R96" s="4"/>
      <c r="S96" s="4"/>
      <c r="T96" s="4"/>
      <c r="U96" s="4"/>
      <c r="V96" s="4"/>
      <c r="W96" s="4"/>
      <c r="X96" s="4"/>
      <c r="Y96" s="4"/>
      <c r="Z96" s="4"/>
      <c r="AA96" s="4"/>
      <c r="AB96" s="4"/>
      <c r="AC96" s="4"/>
      <c r="AD96" s="4"/>
      <c r="AE96" s="4"/>
      <c r="AF96" s="4"/>
      <c r="AG96" s="4"/>
    </row>
    <row r="97" ht="11.25" customHeight="1">
      <c r="A97" s="4"/>
      <c r="B97" s="4"/>
      <c r="C97" s="58"/>
      <c r="D97" s="58"/>
      <c r="E97" s="58"/>
      <c r="F97" s="58"/>
      <c r="G97" s="58"/>
      <c r="H97" s="58"/>
      <c r="I97" s="58"/>
      <c r="J97" s="58"/>
      <c r="K97" s="58"/>
      <c r="L97" s="58"/>
      <c r="M97" s="58"/>
      <c r="N97" s="58"/>
      <c r="O97" s="4"/>
      <c r="P97" s="4"/>
      <c r="Q97" s="4"/>
      <c r="R97" s="4"/>
      <c r="S97" s="4"/>
      <c r="T97" s="4"/>
      <c r="U97" s="4"/>
      <c r="V97" s="4"/>
      <c r="W97" s="4"/>
      <c r="X97" s="4"/>
      <c r="Y97" s="4"/>
      <c r="Z97" s="4"/>
      <c r="AA97" s="4"/>
      <c r="AB97" s="4"/>
      <c r="AC97" s="4"/>
      <c r="AD97" s="4"/>
      <c r="AE97" s="4"/>
      <c r="AF97" s="4"/>
      <c r="AG97" s="4"/>
    </row>
    <row r="98" ht="11.25" customHeight="1">
      <c r="A98" s="4"/>
      <c r="B98" s="4"/>
      <c r="C98" s="58"/>
      <c r="D98" s="58"/>
      <c r="E98" s="58"/>
      <c r="F98" s="58"/>
      <c r="G98" s="58"/>
      <c r="H98" s="58"/>
      <c r="I98" s="58"/>
      <c r="J98" s="58"/>
      <c r="K98" s="58"/>
      <c r="L98" s="58"/>
      <c r="M98" s="58"/>
      <c r="N98" s="58"/>
      <c r="O98" s="4"/>
      <c r="P98" s="4"/>
      <c r="Q98" s="4"/>
      <c r="R98" s="4"/>
      <c r="S98" s="4"/>
      <c r="T98" s="4"/>
      <c r="U98" s="4"/>
      <c r="V98" s="4"/>
      <c r="W98" s="4"/>
      <c r="X98" s="4"/>
      <c r="Y98" s="4"/>
      <c r="Z98" s="4"/>
      <c r="AA98" s="4"/>
      <c r="AB98" s="4"/>
      <c r="AC98" s="4"/>
      <c r="AD98" s="4"/>
      <c r="AE98" s="4"/>
      <c r="AF98" s="4"/>
      <c r="AG98" s="4"/>
    </row>
    <row r="99" ht="11.25" customHeight="1">
      <c r="A99" s="4"/>
      <c r="B99" s="4"/>
      <c r="C99" s="58"/>
      <c r="D99" s="58"/>
      <c r="E99" s="58"/>
      <c r="F99" s="58"/>
      <c r="G99" s="58"/>
      <c r="H99" s="58"/>
      <c r="I99" s="58"/>
      <c r="J99" s="58"/>
      <c r="K99" s="58"/>
      <c r="L99" s="58"/>
      <c r="M99" s="58"/>
      <c r="N99" s="58"/>
      <c r="O99" s="4"/>
      <c r="P99" s="4"/>
      <c r="Q99" s="4"/>
      <c r="R99" s="4"/>
      <c r="S99" s="4"/>
      <c r="T99" s="4"/>
      <c r="U99" s="4"/>
      <c r="V99" s="4"/>
      <c r="W99" s="4"/>
      <c r="X99" s="4"/>
      <c r="Y99" s="4"/>
      <c r="Z99" s="4"/>
      <c r="AA99" s="4"/>
      <c r="AB99" s="4"/>
      <c r="AC99" s="4"/>
      <c r="AD99" s="4"/>
      <c r="AE99" s="4"/>
      <c r="AF99" s="4"/>
      <c r="AG99" s="4"/>
    </row>
    <row r="100" ht="11.25" customHeight="1">
      <c r="A100" s="4"/>
      <c r="B100" s="4"/>
      <c r="C100" s="58"/>
      <c r="D100" s="58"/>
      <c r="E100" s="58"/>
      <c r="F100" s="58"/>
      <c r="G100" s="58"/>
      <c r="H100" s="58"/>
      <c r="I100" s="58"/>
      <c r="J100" s="58"/>
      <c r="K100" s="58"/>
      <c r="L100" s="58"/>
      <c r="M100" s="58"/>
      <c r="N100" s="58"/>
      <c r="O100" s="4"/>
      <c r="P100" s="4"/>
      <c r="Q100" s="4"/>
      <c r="R100" s="4"/>
      <c r="S100" s="4"/>
      <c r="T100" s="4"/>
      <c r="U100" s="4"/>
      <c r="V100" s="4"/>
      <c r="W100" s="4"/>
      <c r="X100" s="4"/>
      <c r="Y100" s="4"/>
      <c r="Z100" s="4"/>
      <c r="AA100" s="4"/>
      <c r="AB100" s="4"/>
      <c r="AC100" s="4"/>
      <c r="AD100" s="4"/>
      <c r="AE100" s="4"/>
      <c r="AF100" s="4"/>
      <c r="AG100" s="4"/>
    </row>
    <row r="101" ht="11.25" customHeight="1">
      <c r="A101" s="4"/>
      <c r="B101" s="4"/>
      <c r="C101" s="58"/>
      <c r="D101" s="58"/>
      <c r="E101" s="58"/>
      <c r="F101" s="58"/>
      <c r="G101" s="58"/>
      <c r="H101" s="58"/>
      <c r="I101" s="58"/>
      <c r="J101" s="58"/>
      <c r="K101" s="58"/>
      <c r="L101" s="58"/>
      <c r="M101" s="58"/>
      <c r="N101" s="58"/>
      <c r="O101" s="4"/>
      <c r="P101" s="4"/>
      <c r="Q101" s="4"/>
      <c r="R101" s="4"/>
      <c r="S101" s="4"/>
      <c r="T101" s="4"/>
      <c r="U101" s="4"/>
      <c r="V101" s="4"/>
      <c r="W101" s="4"/>
      <c r="X101" s="4"/>
      <c r="Y101" s="4"/>
      <c r="Z101" s="4"/>
      <c r="AA101" s="4"/>
      <c r="AB101" s="4"/>
      <c r="AC101" s="4"/>
      <c r="AD101" s="4"/>
      <c r="AE101" s="4"/>
      <c r="AF101" s="4"/>
      <c r="AG101" s="4"/>
    </row>
    <row r="102" ht="11.25" customHeight="1">
      <c r="A102" s="4"/>
      <c r="B102" s="4"/>
      <c r="C102" s="58"/>
      <c r="D102" s="58"/>
      <c r="E102" s="58"/>
      <c r="F102" s="58"/>
      <c r="G102" s="58"/>
      <c r="H102" s="58"/>
      <c r="I102" s="58"/>
      <c r="J102" s="58"/>
      <c r="K102" s="58"/>
      <c r="L102" s="58"/>
      <c r="M102" s="58"/>
      <c r="N102" s="58"/>
      <c r="O102" s="4"/>
      <c r="P102" s="4"/>
      <c r="Q102" s="4"/>
      <c r="R102" s="4"/>
      <c r="S102" s="4"/>
      <c r="T102" s="4"/>
      <c r="U102" s="4"/>
      <c r="V102" s="4"/>
      <c r="W102" s="4"/>
      <c r="X102" s="4"/>
      <c r="Y102" s="4"/>
      <c r="Z102" s="4"/>
      <c r="AA102" s="4"/>
      <c r="AB102" s="4"/>
      <c r="AC102" s="4"/>
      <c r="AD102" s="4"/>
      <c r="AE102" s="4"/>
      <c r="AF102" s="4"/>
      <c r="AG102" s="4"/>
    </row>
    <row r="103" ht="11.25" customHeight="1">
      <c r="A103" s="4"/>
      <c r="B103" s="4"/>
      <c r="C103" s="58"/>
      <c r="D103" s="58"/>
      <c r="E103" s="58"/>
      <c r="F103" s="58"/>
      <c r="G103" s="58"/>
      <c r="H103" s="58"/>
      <c r="I103" s="58"/>
      <c r="J103" s="58"/>
      <c r="K103" s="58"/>
      <c r="L103" s="58"/>
      <c r="M103" s="58"/>
      <c r="N103" s="58"/>
      <c r="O103" s="4"/>
      <c r="P103" s="4"/>
      <c r="Q103" s="4"/>
      <c r="R103" s="4"/>
      <c r="S103" s="4"/>
      <c r="T103" s="4"/>
      <c r="U103" s="4"/>
      <c r="V103" s="4"/>
      <c r="W103" s="4"/>
      <c r="X103" s="4"/>
      <c r="Y103" s="4"/>
      <c r="Z103" s="4"/>
      <c r="AA103" s="4"/>
      <c r="AB103" s="4"/>
      <c r="AC103" s="4"/>
      <c r="AD103" s="4"/>
      <c r="AE103" s="4"/>
      <c r="AF103" s="4"/>
      <c r="AG103" s="4"/>
    </row>
    <row r="104" ht="11.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ht="11.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ht="11.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ht="11.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ht="11.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ht="11.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ht="11.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ht="11.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ht="11.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ht="11.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ht="11.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ht="11.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ht="11.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ht="11.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ht="11.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ht="11.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ht="11.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ht="11.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ht="11.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ht="11.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ht="11.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ht="11.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ht="11.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ht="11.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ht="11.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ht="11.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ht="11.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ht="11.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ht="11.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ht="11.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ht="11.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ht="11.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ht="11.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ht="11.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ht="11.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ht="11.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ht="11.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ht="11.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ht="11.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ht="11.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ht="11.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ht="11.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ht="11.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ht="11.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ht="11.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ht="11.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ht="11.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ht="11.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ht="11.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ht="11.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ht="11.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ht="11.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ht="11.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ht="11.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ht="11.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ht="11.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ht="11.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ht="11.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ht="11.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ht="11.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ht="11.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ht="11.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ht="11.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ht="11.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ht="11.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ht="11.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ht="11.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ht="11.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ht="11.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ht="11.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ht="11.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ht="11.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ht="11.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ht="11.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ht="11.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ht="11.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ht="11.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ht="11.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ht="11.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ht="11.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ht="11.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ht="11.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ht="11.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ht="11.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ht="11.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ht="11.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ht="11.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ht="11.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ht="11.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ht="11.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ht="11.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ht="11.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ht="11.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ht="11.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ht="11.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ht="11.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ht="11.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ht="11.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ht="11.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ht="11.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ht="11.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ht="11.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ht="11.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ht="11.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ht="11.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ht="11.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ht="11.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ht="11.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ht="11.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ht="11.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ht="11.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ht="11.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ht="11.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ht="11.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ht="11.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ht="11.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ht="11.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ht="11.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ht="11.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ht="11.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ht="11.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ht="11.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ht="11.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ht="11.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ht="11.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ht="11.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ht="11.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ht="11.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ht="11.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ht="11.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ht="11.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ht="11.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ht="11.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ht="11.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ht="11.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ht="11.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ht="11.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ht="11.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ht="11.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ht="11.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ht="11.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ht="11.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ht="11.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ht="11.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ht="11.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ht="11.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ht="11.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ht="11.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ht="11.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ht="11.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ht="11.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ht="11.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ht="11.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ht="11.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ht="11.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ht="11.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ht="11.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ht="11.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ht="11.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ht="11.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ht="11.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ht="11.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ht="11.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ht="11.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ht="11.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ht="11.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ht="11.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ht="11.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ht="11.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ht="11.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ht="11.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ht="11.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ht="11.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ht="11.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ht="11.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ht="11.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ht="11.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ht="11.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ht="11.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ht="11.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ht="11.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ht="11.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ht="11.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ht="11.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ht="11.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ht="11.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ht="11.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ht="11.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ht="11.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ht="11.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ht="11.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ht="11.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ht="11.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ht="11.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ht="11.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ht="11.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ht="11.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ht="11.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ht="11.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ht="11.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ht="11.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ht="11.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ht="11.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ht="11.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ht="11.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ht="11.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ht="11.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ht="11.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ht="11.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ht="11.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ht="11.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ht="11.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ht="11.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ht="11.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ht="11.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ht="11.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ht="11.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ht="11.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ht="11.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ht="11.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ht="11.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ht="11.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ht="11.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ht="11.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ht="11.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ht="11.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ht="11.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ht="11.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ht="11.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ht="11.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ht="11.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ht="11.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ht="11.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ht="11.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ht="11.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ht="11.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ht="11.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ht="11.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ht="11.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ht="11.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ht="11.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ht="11.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ht="11.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ht="11.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ht="11.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ht="11.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ht="11.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ht="11.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ht="11.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ht="11.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ht="11.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ht="11.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ht="11.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ht="11.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ht="11.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ht="11.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ht="11.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ht="11.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ht="11.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ht="11.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ht="11.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ht="11.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ht="11.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ht="11.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ht="11.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ht="11.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ht="11.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ht="11.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ht="11.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ht="11.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ht="11.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ht="11.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ht="11.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ht="11.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ht="11.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ht="11.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ht="11.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ht="11.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ht="11.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ht="11.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ht="11.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ht="11.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ht="11.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ht="11.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ht="11.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ht="11.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ht="11.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ht="11.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ht="11.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ht="11.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ht="11.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ht="11.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ht="11.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ht="11.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ht="11.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ht="11.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ht="11.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ht="11.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ht="11.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ht="11.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ht="11.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ht="11.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ht="11.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ht="11.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ht="11.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ht="11.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ht="11.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ht="11.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ht="11.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ht="11.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ht="11.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ht="11.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ht="11.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ht="11.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ht="11.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ht="11.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ht="11.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ht="11.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ht="11.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ht="11.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ht="11.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ht="11.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ht="11.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ht="11.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ht="11.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ht="11.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ht="11.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ht="11.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ht="11.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ht="11.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ht="11.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ht="11.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ht="11.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ht="11.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ht="11.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ht="11.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ht="11.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ht="11.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ht="11.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ht="11.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ht="11.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ht="11.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ht="11.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ht="11.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ht="11.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ht="11.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ht="11.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ht="11.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ht="11.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ht="11.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ht="11.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ht="11.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ht="11.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ht="11.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ht="11.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ht="11.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ht="11.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ht="11.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ht="11.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ht="11.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ht="11.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ht="11.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ht="11.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ht="11.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ht="11.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ht="11.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ht="11.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ht="11.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ht="11.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ht="11.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ht="11.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ht="11.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ht="11.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ht="11.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ht="11.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ht="11.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ht="11.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ht="11.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ht="11.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ht="11.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ht="11.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ht="11.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ht="11.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ht="11.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ht="11.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ht="11.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ht="11.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ht="11.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ht="11.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ht="11.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ht="11.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ht="11.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ht="11.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ht="11.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ht="11.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ht="11.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ht="11.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ht="11.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ht="11.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ht="11.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ht="11.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ht="11.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ht="11.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ht="11.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ht="11.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ht="11.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ht="11.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ht="11.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ht="11.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ht="11.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ht="11.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ht="11.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ht="11.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ht="11.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ht="11.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ht="11.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ht="11.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ht="11.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ht="11.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ht="11.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ht="11.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ht="11.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ht="11.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ht="11.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ht="11.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ht="11.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ht="11.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ht="11.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ht="11.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ht="11.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ht="11.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ht="11.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ht="11.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ht="11.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ht="11.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ht="11.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ht="11.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ht="11.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ht="11.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ht="11.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ht="11.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ht="11.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ht="11.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ht="11.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ht="11.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ht="11.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ht="11.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ht="11.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ht="11.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ht="11.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ht="11.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ht="11.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ht="11.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ht="11.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ht="11.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ht="11.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ht="11.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ht="11.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ht="11.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ht="11.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ht="11.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ht="11.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ht="11.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ht="11.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ht="11.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ht="11.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ht="11.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ht="11.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ht="11.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ht="11.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ht="11.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ht="11.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ht="11.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ht="11.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ht="11.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ht="11.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ht="11.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ht="11.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ht="11.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ht="11.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ht="11.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ht="11.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ht="11.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ht="11.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ht="11.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ht="11.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ht="11.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ht="11.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ht="11.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ht="11.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ht="11.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ht="11.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ht="11.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ht="11.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ht="11.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ht="11.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ht="11.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ht="11.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ht="11.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ht="11.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ht="11.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ht="11.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ht="11.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ht="11.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ht="11.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ht="11.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ht="11.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ht="11.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ht="11.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ht="11.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ht="11.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ht="11.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ht="11.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ht="11.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ht="11.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ht="11.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ht="11.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ht="11.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ht="11.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ht="11.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ht="11.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ht="11.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ht="11.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ht="11.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ht="11.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ht="11.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ht="11.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ht="11.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ht="11.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ht="11.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ht="11.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ht="11.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ht="11.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ht="11.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ht="11.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ht="11.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ht="11.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ht="11.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ht="11.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ht="11.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ht="11.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ht="11.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ht="11.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ht="11.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ht="11.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ht="11.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ht="11.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ht="11.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ht="11.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ht="11.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ht="11.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ht="11.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ht="11.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ht="11.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ht="11.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ht="11.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ht="11.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ht="11.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ht="11.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ht="11.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ht="11.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ht="11.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ht="11.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ht="11.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ht="11.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ht="11.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ht="11.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ht="11.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ht="11.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ht="11.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ht="11.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ht="11.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ht="11.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ht="11.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ht="11.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ht="11.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ht="11.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ht="11.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ht="11.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ht="11.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ht="11.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ht="11.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ht="11.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ht="11.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ht="11.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ht="11.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ht="11.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ht="11.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ht="11.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ht="11.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ht="11.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ht="11.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ht="11.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ht="11.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ht="11.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ht="11.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ht="11.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ht="11.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ht="11.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ht="11.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ht="11.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ht="11.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ht="11.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ht="11.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ht="11.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ht="11.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ht="11.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ht="11.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ht="11.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ht="11.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ht="11.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ht="11.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ht="11.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ht="11.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ht="11.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ht="11.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ht="11.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ht="11.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ht="11.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ht="11.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ht="11.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ht="11.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ht="11.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ht="11.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ht="11.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ht="11.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ht="11.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ht="11.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ht="11.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ht="11.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ht="11.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ht="11.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ht="11.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ht="11.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ht="11.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ht="11.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ht="11.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ht="11.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ht="11.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ht="11.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ht="11.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ht="11.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ht="11.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ht="11.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ht="11.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ht="11.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ht="11.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ht="11.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ht="11.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ht="11.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ht="11.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ht="11.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ht="11.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ht="11.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ht="11.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ht="11.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ht="11.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ht="11.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ht="11.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ht="11.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ht="11.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ht="11.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ht="11.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ht="11.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ht="11.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ht="11.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ht="11.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ht="11.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ht="11.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ht="11.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ht="11.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ht="11.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ht="11.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ht="11.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ht="11.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ht="11.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ht="11.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ht="11.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ht="11.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ht="11.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ht="11.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ht="11.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ht="11.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ht="11.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ht="11.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ht="11.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ht="11.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ht="11.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ht="11.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ht="11.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ht="11.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ht="11.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ht="11.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ht="11.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ht="11.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ht="11.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ht="11.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ht="11.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ht="11.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ht="11.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ht="11.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ht="11.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ht="11.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ht="11.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ht="11.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ht="11.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ht="11.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ht="11.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ht="11.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ht="11.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ht="11.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ht="11.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ht="11.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ht="11.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ht="11.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ht="11.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ht="11.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ht="11.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ht="11.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ht="11.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ht="11.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ht="11.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ht="11.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ht="11.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ht="11.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ht="11.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ht="11.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ht="11.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ht="11.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ht="11.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ht="11.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ht="11.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ht="11.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ht="11.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ht="11.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ht="11.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ht="11.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ht="11.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ht="11.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ht="11.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ht="11.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ht="11.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ht="11.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ht="11.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ht="11.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ht="11.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ht="11.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ht="11.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ht="11.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ht="11.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ht="11.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ht="11.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ht="11.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ht="11.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ht="11.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ht="11.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ht="11.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ht="11.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ht="11.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ht="11.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ht="11.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ht="11.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ht="11.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ht="11.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ht="11.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ht="11.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ht="11.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ht="11.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ht="11.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ht="11.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ht="11.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ht="11.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ht="11.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ht="11.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ht="11.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ht="11.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ht="11.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ht="11.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ht="11.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ht="11.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ht="11.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ht="11.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ht="11.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ht="11.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ht="11.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ht="11.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ht="11.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ht="11.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ht="11.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ht="11.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ht="11.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ht="11.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ht="11.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ht="11.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ht="11.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ht="11.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ht="11.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ht="11.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ht="11.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ht="11.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ht="11.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ht="11.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ht="11.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ht="11.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ht="11.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ht="11.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ht="11.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ht="11.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ht="11.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ht="11.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ht="11.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ht="11.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ht="11.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ht="11.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ht="11.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ht="11.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ht="11.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ht="11.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ht="11.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ht="11.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ht="11.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ht="11.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ht="11.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ht="11.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ht="11.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ht="11.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ht="11.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ht="11.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ht="11.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ht="11.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ht="11.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ht="11.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ht="11.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ht="11.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ht="11.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ht="11.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ht="11.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ht="11.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ht="11.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ht="11.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ht="11.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ht="11.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ht="11.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ht="11.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ht="11.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ht="11.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ht="11.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ht="11.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ht="11.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ht="11.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ht="11.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ht="11.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ht="11.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ht="11.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ht="11.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ht="11.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ht="11.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ht="11.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ht="11.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ht="11.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ht="11.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ht="11.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ht="11.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ht="11.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ht="11.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ht="11.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ht="11.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ht="11.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ht="11.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ht="11.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ht="11.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ht="11.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ht="11.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ht="11.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ht="11.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ht="11.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ht="11.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ht="11.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ht="11.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ht="11.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ht="11.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ht="11.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ht="11.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ht="11.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ht="11.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ht="11.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ht="11.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ht="11.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ht="11.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ht="11.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ht="11.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ht="11.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ht="11.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ht="11.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ht="11.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ht="11.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ht="11.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sheetData>
  <dataValidations>
    <dataValidation type="list" allowBlank="1" showInputMessage="1" showErrorMessage="1" prompt=" - " sqref="B4">
      <formula1>$D$21:$M$21</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15.63"/>
    <col customWidth="1" min="3" max="3" width="2.88"/>
    <col customWidth="1" min="4" max="13" width="10.63"/>
    <col customWidth="1" min="14" max="33" width="9.13"/>
  </cols>
  <sheetData>
    <row r="1" ht="11.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ht="15.0" customHeight="1">
      <c r="A2" s="115" t="s">
        <v>331</v>
      </c>
      <c r="B2" s="4"/>
      <c r="C2" s="4"/>
      <c r="D2" s="282"/>
      <c r="E2" s="282"/>
      <c r="F2" s="282"/>
      <c r="G2" s="282"/>
      <c r="H2" s="282"/>
      <c r="I2" s="282"/>
      <c r="J2" s="282"/>
      <c r="K2" s="282"/>
      <c r="L2" s="282"/>
      <c r="M2" s="282"/>
      <c r="N2" s="4"/>
      <c r="O2" s="4"/>
      <c r="P2" s="4"/>
      <c r="Q2" s="4"/>
      <c r="R2" s="4"/>
      <c r="S2" s="4"/>
      <c r="T2" s="4"/>
      <c r="U2" s="4"/>
      <c r="V2" s="4"/>
      <c r="W2" s="4"/>
      <c r="X2" s="4"/>
      <c r="Y2" s="4"/>
      <c r="Z2" s="4"/>
      <c r="AA2" s="4"/>
      <c r="AB2" s="4"/>
      <c r="AC2" s="4"/>
      <c r="AD2" s="4"/>
      <c r="AE2" s="4"/>
      <c r="AF2" s="4"/>
      <c r="AG2" s="4"/>
    </row>
    <row r="3" ht="11.25" customHeight="1">
      <c r="A3" s="4"/>
      <c r="B3" s="4"/>
      <c r="C3" s="4"/>
      <c r="D3" s="146"/>
      <c r="E3" s="146"/>
      <c r="F3" s="146"/>
      <c r="G3" s="146"/>
      <c r="H3" s="146"/>
      <c r="I3" s="146"/>
      <c r="J3" s="146"/>
      <c r="K3" s="146"/>
      <c r="L3" s="146"/>
      <c r="M3" s="146"/>
      <c r="N3" s="4"/>
      <c r="O3" s="4"/>
      <c r="P3" s="4"/>
      <c r="Q3" s="4"/>
      <c r="R3" s="4"/>
      <c r="S3" s="4"/>
      <c r="T3" s="4"/>
      <c r="U3" s="4"/>
      <c r="V3" s="4"/>
      <c r="W3" s="4"/>
      <c r="X3" s="4"/>
      <c r="Y3" s="4"/>
      <c r="Z3" s="4"/>
      <c r="AA3" s="4"/>
      <c r="AB3" s="4"/>
      <c r="AC3" s="4"/>
      <c r="AD3" s="4"/>
      <c r="AE3" s="4"/>
      <c r="AF3" s="4"/>
      <c r="AG3" s="4"/>
    </row>
    <row r="4" ht="11.25" customHeight="1">
      <c r="A4" s="4" t="s">
        <v>105</v>
      </c>
      <c r="B4" s="4"/>
      <c r="C4" s="171"/>
      <c r="D4" s="172">
        <v>2016.0</v>
      </c>
      <c r="E4" s="173">
        <f t="shared" ref="E4:M4" si="1">D4+1</f>
        <v>2017</v>
      </c>
      <c r="F4" s="173">
        <f t="shared" si="1"/>
        <v>2018</v>
      </c>
      <c r="G4" s="173">
        <f t="shared" si="1"/>
        <v>2019</v>
      </c>
      <c r="H4" s="173">
        <f t="shared" si="1"/>
        <v>2020</v>
      </c>
      <c r="I4" s="173">
        <f t="shared" si="1"/>
        <v>2021</v>
      </c>
      <c r="J4" s="173">
        <f t="shared" si="1"/>
        <v>2022</v>
      </c>
      <c r="K4" s="173">
        <f t="shared" si="1"/>
        <v>2023</v>
      </c>
      <c r="L4" s="173">
        <f t="shared" si="1"/>
        <v>2024</v>
      </c>
      <c r="M4" s="173">
        <f t="shared" si="1"/>
        <v>2025</v>
      </c>
      <c r="N4" s="4"/>
      <c r="O4" s="4"/>
      <c r="P4" s="282"/>
      <c r="Q4" s="4"/>
      <c r="R4" s="4"/>
      <c r="S4" s="4"/>
      <c r="T4" s="4"/>
      <c r="U4" s="4"/>
      <c r="V4" s="4"/>
      <c r="W4" s="4"/>
      <c r="X4" s="4"/>
      <c r="Y4" s="4"/>
      <c r="Z4" s="4"/>
      <c r="AA4" s="4"/>
      <c r="AB4" s="4"/>
      <c r="AC4" s="4"/>
      <c r="AD4" s="4"/>
      <c r="AE4" s="4"/>
      <c r="AF4" s="4"/>
      <c r="AG4" s="4"/>
    </row>
    <row r="5" ht="11.25" customHeight="1">
      <c r="A5" s="4" t="s">
        <v>106</v>
      </c>
      <c r="B5" s="4"/>
      <c r="C5" s="171"/>
      <c r="D5" s="174">
        <v>1.0</v>
      </c>
      <c r="E5" s="175">
        <f t="shared" ref="E5:M5" si="2">D5+1</f>
        <v>2</v>
      </c>
      <c r="F5" s="175">
        <f t="shared" si="2"/>
        <v>3</v>
      </c>
      <c r="G5" s="175">
        <f t="shared" si="2"/>
        <v>4</v>
      </c>
      <c r="H5" s="175">
        <f t="shared" si="2"/>
        <v>5</v>
      </c>
      <c r="I5" s="175">
        <f t="shared" si="2"/>
        <v>6</v>
      </c>
      <c r="J5" s="175">
        <f t="shared" si="2"/>
        <v>7</v>
      </c>
      <c r="K5" s="175">
        <f t="shared" si="2"/>
        <v>8</v>
      </c>
      <c r="L5" s="175">
        <f t="shared" si="2"/>
        <v>9</v>
      </c>
      <c r="M5" s="175">
        <f t="shared" si="2"/>
        <v>10</v>
      </c>
      <c r="N5" s="170"/>
      <c r="O5" s="170"/>
      <c r="P5" s="304"/>
      <c r="Q5" s="170"/>
      <c r="R5" s="170"/>
      <c r="S5" s="170"/>
      <c r="T5" s="170"/>
      <c r="U5" s="170"/>
      <c r="V5" s="170"/>
      <c r="W5" s="170"/>
      <c r="X5" s="170"/>
      <c r="Y5" s="170"/>
      <c r="Z5" s="170"/>
      <c r="AA5" s="170"/>
      <c r="AB5" s="170"/>
      <c r="AC5" s="170"/>
      <c r="AD5" s="170"/>
      <c r="AE5" s="170"/>
      <c r="AF5" s="170"/>
      <c r="AG5" s="170"/>
    </row>
    <row r="6" ht="11.25" customHeight="1">
      <c r="A6" s="4"/>
      <c r="B6" s="4"/>
      <c r="C6" s="58"/>
      <c r="D6" s="221"/>
      <c r="E6" s="221"/>
      <c r="F6" s="221"/>
      <c r="G6" s="221"/>
      <c r="H6" s="221"/>
      <c r="I6" s="221"/>
      <c r="J6" s="221"/>
      <c r="K6" s="221"/>
      <c r="L6" s="221"/>
      <c r="M6" s="221"/>
      <c r="N6" s="146"/>
      <c r="O6" s="4"/>
      <c r="P6" s="282"/>
      <c r="Q6" s="4"/>
      <c r="R6" s="4"/>
      <c r="S6" s="4"/>
      <c r="T6" s="4"/>
      <c r="U6" s="4"/>
      <c r="V6" s="4"/>
      <c r="W6" s="4"/>
      <c r="X6" s="4"/>
      <c r="Y6" s="4"/>
      <c r="Z6" s="4"/>
      <c r="AA6" s="4"/>
      <c r="AB6" s="4"/>
      <c r="AC6" s="4"/>
      <c r="AD6" s="4"/>
      <c r="AE6" s="4"/>
      <c r="AF6" s="4"/>
      <c r="AG6" s="4"/>
    </row>
    <row r="7" ht="11.25" customHeight="1">
      <c r="A7" s="4"/>
      <c r="B7" s="4"/>
      <c r="C7" s="58"/>
      <c r="D7" s="221"/>
      <c r="E7" s="221"/>
      <c r="F7" s="221"/>
      <c r="G7" s="221"/>
      <c r="H7" s="221"/>
      <c r="I7" s="221"/>
      <c r="J7" s="221"/>
      <c r="K7" s="221"/>
      <c r="L7" s="221"/>
      <c r="M7" s="221"/>
      <c r="N7" s="146"/>
      <c r="O7" s="4"/>
      <c r="P7" s="282"/>
      <c r="Q7" s="4"/>
      <c r="R7" s="4"/>
      <c r="S7" s="4"/>
      <c r="T7" s="4"/>
      <c r="U7" s="4"/>
      <c r="V7" s="4"/>
      <c r="W7" s="4"/>
      <c r="X7" s="4"/>
      <c r="Y7" s="4"/>
      <c r="Z7" s="4"/>
      <c r="AA7" s="4"/>
      <c r="AB7" s="4"/>
      <c r="AC7" s="4"/>
      <c r="AD7" s="4"/>
      <c r="AE7" s="4"/>
      <c r="AF7" s="4"/>
      <c r="AG7" s="4"/>
    </row>
    <row r="8" ht="12.0" customHeight="1">
      <c r="A8" s="149" t="s">
        <v>332</v>
      </c>
      <c r="B8" s="4"/>
      <c r="C8" s="58"/>
      <c r="D8" s="146"/>
      <c r="E8" s="146"/>
      <c r="F8" s="146"/>
      <c r="G8" s="146"/>
      <c r="H8" s="146"/>
      <c r="I8" s="146"/>
      <c r="J8" s="146"/>
      <c r="K8" s="146"/>
      <c r="L8" s="146"/>
      <c r="M8" s="146"/>
      <c r="N8" s="146"/>
      <c r="O8" s="4"/>
      <c r="P8" s="4"/>
      <c r="Q8" s="4"/>
      <c r="R8" s="4"/>
      <c r="S8" s="4"/>
      <c r="T8" s="4"/>
      <c r="U8" s="4"/>
      <c r="V8" s="4"/>
      <c r="W8" s="4"/>
      <c r="X8" s="4"/>
      <c r="Y8" s="4"/>
      <c r="Z8" s="4"/>
      <c r="AA8" s="4"/>
      <c r="AB8" s="4"/>
      <c r="AC8" s="4"/>
      <c r="AD8" s="4"/>
      <c r="AE8" s="4"/>
      <c r="AF8" s="4"/>
      <c r="AG8" s="4"/>
    </row>
    <row r="9" ht="11.25" customHeight="1">
      <c r="A9" s="150" t="s">
        <v>333</v>
      </c>
      <c r="B9" s="4"/>
      <c r="C9" s="58"/>
      <c r="D9" s="305" t="str">
        <f>IF(Bal_Sheet!F32&gt;0,(Bal_Sheet!F42+Bal_Sheet!F56+Bal_Sheet!F61)/Bal_Sheet!F32,"N/A")</f>
        <v>#REF!</v>
      </c>
      <c r="E9" s="305" t="str">
        <f>IF(Bal_Sheet!G32&gt;0,(Bal_Sheet!G42+Bal_Sheet!G56+Bal_Sheet!G61)/Bal_Sheet!G32,"N/A")</f>
        <v>#REF!</v>
      </c>
      <c r="F9" s="305" t="str">
        <f>IF(Bal_Sheet!H32&gt;0,(Bal_Sheet!H42+Bal_Sheet!H56+Bal_Sheet!H61)/Bal_Sheet!H32,"N/A")</f>
        <v>#REF!</v>
      </c>
      <c r="G9" s="305" t="str">
        <f>IF(Bal_Sheet!I32&gt;0,(Bal_Sheet!I42+Bal_Sheet!I56+Bal_Sheet!I61)/Bal_Sheet!I32,"N/A")</f>
        <v>#REF!</v>
      </c>
      <c r="H9" s="305" t="str">
        <f>IF(Bal_Sheet!J32&gt;0,(Bal_Sheet!J42+Bal_Sheet!J56+Bal_Sheet!J61)/Bal_Sheet!J32,"N/A")</f>
        <v>#REF!</v>
      </c>
      <c r="I9" s="305" t="str">
        <f>IF(Bal_Sheet!K32&gt;0,(Bal_Sheet!K42+Bal_Sheet!K56+Bal_Sheet!K61)/Bal_Sheet!K32,"N/A")</f>
        <v>#REF!</v>
      </c>
      <c r="J9" s="305" t="str">
        <f>IF(Bal_Sheet!L32&gt;0,(Bal_Sheet!L42+Bal_Sheet!L56+Bal_Sheet!L61)/Bal_Sheet!L32,"N/A")</f>
        <v>#REF!</v>
      </c>
      <c r="K9" s="305" t="str">
        <f>IF(Bal_Sheet!M32&gt;0,(Bal_Sheet!M42+Bal_Sheet!M56+Bal_Sheet!M61)/Bal_Sheet!M32,"N/A")</f>
        <v>#REF!</v>
      </c>
      <c r="L9" s="305" t="str">
        <f>IF(Bal_Sheet!N32&gt;0,(Bal_Sheet!N42+Bal_Sheet!N56+Bal_Sheet!N61)/Bal_Sheet!N32,"N/A")</f>
        <v>#REF!</v>
      </c>
      <c r="M9" s="305" t="str">
        <f>IF(Bal_Sheet!O32&gt;0,(Bal_Sheet!O42+Bal_Sheet!O56+Bal_Sheet!O61)/Bal_Sheet!O32,"N/A")</f>
        <v>#REF!</v>
      </c>
      <c r="N9" s="146"/>
      <c r="O9" s="4"/>
      <c r="P9" s="4"/>
      <c r="Q9" s="4"/>
      <c r="R9" s="4"/>
      <c r="S9" s="4"/>
      <c r="T9" s="4"/>
      <c r="U9" s="4"/>
      <c r="V9" s="4"/>
      <c r="W9" s="4"/>
      <c r="X9" s="4"/>
      <c r="Y9" s="4"/>
      <c r="Z9" s="4"/>
      <c r="AA9" s="4"/>
      <c r="AB9" s="4"/>
      <c r="AC9" s="4"/>
      <c r="AD9" s="4"/>
      <c r="AE9" s="4"/>
      <c r="AF9" s="4"/>
      <c r="AG9" s="4"/>
    </row>
    <row r="10" ht="11.25" customHeight="1">
      <c r="A10" s="150" t="s">
        <v>334</v>
      </c>
      <c r="B10" s="4"/>
      <c r="C10" s="58"/>
      <c r="D10" s="305" t="str">
        <f>IF(Bal_Sheet!F54+Bal_Sheet!F65&gt;0,(Bal_Sheet!F54+Bal_Sheet!F61)/(Bal_Sheet!F54+Bal_Sheet!F65),"N/A")</f>
        <v>#REF!</v>
      </c>
      <c r="E10" s="305" t="str">
        <f>IF(Bal_Sheet!G54+Bal_Sheet!G65&gt;0,(Bal_Sheet!G54+Bal_Sheet!G61)/(Bal_Sheet!G54+Bal_Sheet!G65),"N/A")</f>
        <v>#REF!</v>
      </c>
      <c r="F10" s="305" t="str">
        <f>IF(Bal_Sheet!H54+Bal_Sheet!H65&gt;0,(Bal_Sheet!H54+Bal_Sheet!H61)/(Bal_Sheet!H54+Bal_Sheet!H65),"N/A")</f>
        <v>#REF!</v>
      </c>
      <c r="G10" s="305" t="str">
        <f>IF(Bal_Sheet!I54+Bal_Sheet!I65&gt;0,(Bal_Sheet!I54+Bal_Sheet!I61)/(Bal_Sheet!I54+Bal_Sheet!I65),"N/A")</f>
        <v>#REF!</v>
      </c>
      <c r="H10" s="305" t="str">
        <f>IF(Bal_Sheet!J54+Bal_Sheet!J65&gt;0,(Bal_Sheet!J54+Bal_Sheet!J61)/(Bal_Sheet!J54+Bal_Sheet!J65),"N/A")</f>
        <v>#REF!</v>
      </c>
      <c r="I10" s="305" t="str">
        <f>IF(Bal_Sheet!K54+Bal_Sheet!K65&gt;0,(Bal_Sheet!K54+Bal_Sheet!K61)/(Bal_Sheet!K54+Bal_Sheet!K65),"N/A")</f>
        <v>#REF!</v>
      </c>
      <c r="J10" s="305" t="str">
        <f>IF(Bal_Sheet!L54+Bal_Sheet!L65&gt;0,(Bal_Sheet!L54+Bal_Sheet!L61)/(Bal_Sheet!L54+Bal_Sheet!L65),"N/A")</f>
        <v>#REF!</v>
      </c>
      <c r="K10" s="305" t="str">
        <f>IF(Bal_Sheet!M54+Bal_Sheet!M65&gt;0,(Bal_Sheet!M54+Bal_Sheet!M61)/(Bal_Sheet!M54+Bal_Sheet!M65),"N/A")</f>
        <v>#REF!</v>
      </c>
      <c r="L10" s="305" t="str">
        <f>IF(Bal_Sheet!N54+Bal_Sheet!N65&gt;0,(Bal_Sheet!N54+Bal_Sheet!N61)/(Bal_Sheet!N54+Bal_Sheet!N65),"N/A")</f>
        <v>#REF!</v>
      </c>
      <c r="M10" s="305" t="str">
        <f>IF(Bal_Sheet!O54+Bal_Sheet!O65&gt;0,(Bal_Sheet!O54+Bal_Sheet!O61)/(Bal_Sheet!O54+Bal_Sheet!O65),"N/A")</f>
        <v>#REF!</v>
      </c>
      <c r="N10" s="146"/>
      <c r="O10" s="4"/>
      <c r="P10" s="4"/>
      <c r="Q10" s="4"/>
      <c r="R10" s="4"/>
      <c r="S10" s="4"/>
      <c r="T10" s="4"/>
      <c r="U10" s="4"/>
      <c r="V10" s="4"/>
      <c r="W10" s="4"/>
      <c r="X10" s="4"/>
      <c r="Y10" s="4"/>
      <c r="Z10" s="4"/>
      <c r="AA10" s="4"/>
      <c r="AB10" s="4"/>
      <c r="AC10" s="4"/>
      <c r="AD10" s="4"/>
      <c r="AE10" s="4"/>
      <c r="AF10" s="4"/>
      <c r="AG10" s="4"/>
    </row>
    <row r="11" ht="11.25" customHeight="1">
      <c r="A11" s="150" t="s">
        <v>335</v>
      </c>
      <c r="B11" s="4"/>
      <c r="C11" s="58"/>
      <c r="D11" s="305" t="str">
        <f>IF(Bal_Sheet!F62+Bal_Sheet!F63&gt;0,(Bal_Sheet!F54+Bal_Sheet!F61)/(Bal_Sheet!F62+Bal_Sheet!F63),"N/A")</f>
        <v>#REF!</v>
      </c>
      <c r="E11" s="305" t="str">
        <f>IF(Bal_Sheet!G62+Bal_Sheet!G63&gt;0,(Bal_Sheet!G54+Bal_Sheet!G61)/(Bal_Sheet!G62+Bal_Sheet!G63),"N/A")</f>
        <v>#REF!</v>
      </c>
      <c r="F11" s="305" t="str">
        <f>IF(Bal_Sheet!H62+Bal_Sheet!H63&gt;0,(Bal_Sheet!H54+Bal_Sheet!H61)/(Bal_Sheet!H62+Bal_Sheet!H63),"N/A")</f>
        <v>#REF!</v>
      </c>
      <c r="G11" s="305" t="str">
        <f>IF(Bal_Sheet!I62+Bal_Sheet!I63&gt;0,(Bal_Sheet!I54+Bal_Sheet!I61)/(Bal_Sheet!I62+Bal_Sheet!I63),"N/A")</f>
        <v>#REF!</v>
      </c>
      <c r="H11" s="305" t="str">
        <f>IF(Bal_Sheet!J62+Bal_Sheet!J63&gt;0,(Bal_Sheet!J54+Bal_Sheet!J61)/(Bal_Sheet!J62+Bal_Sheet!J63),"N/A")</f>
        <v>#REF!</v>
      </c>
      <c r="I11" s="305" t="str">
        <f>IF(Bal_Sheet!K62+Bal_Sheet!K63&gt;0,(Bal_Sheet!K54+Bal_Sheet!K61)/(Bal_Sheet!K62+Bal_Sheet!K63),"N/A")</f>
        <v>#REF!</v>
      </c>
      <c r="J11" s="305" t="str">
        <f>IF(Bal_Sheet!L62+Bal_Sheet!L63&gt;0,(Bal_Sheet!L54+Bal_Sheet!L61)/(Bal_Sheet!L62+Bal_Sheet!L63),"N/A")</f>
        <v>#REF!</v>
      </c>
      <c r="K11" s="305" t="str">
        <f>IF(Bal_Sheet!M62+Bal_Sheet!M63&gt;0,(Bal_Sheet!M54+Bal_Sheet!M61)/(Bal_Sheet!M62+Bal_Sheet!M63),"N/A")</f>
        <v>#REF!</v>
      </c>
      <c r="L11" s="305" t="str">
        <f>IF(Bal_Sheet!N62+Bal_Sheet!N63&gt;0,(Bal_Sheet!N54+Bal_Sheet!N61)/(Bal_Sheet!N62+Bal_Sheet!N63),"N/A")</f>
        <v>#REF!</v>
      </c>
      <c r="M11" s="305" t="str">
        <f>IF(Bal_Sheet!O62+Bal_Sheet!O63&gt;0,(Bal_Sheet!O54+Bal_Sheet!O61)/(Bal_Sheet!O62+Bal_Sheet!O63),"N/A")</f>
        <v>#REF!</v>
      </c>
      <c r="N11" s="146"/>
      <c r="O11" s="4"/>
      <c r="P11" s="4"/>
      <c r="Q11" s="4"/>
      <c r="R11" s="4"/>
      <c r="S11" s="4"/>
      <c r="T11" s="4"/>
      <c r="U11" s="4"/>
      <c r="V11" s="4"/>
      <c r="W11" s="4"/>
      <c r="X11" s="4"/>
      <c r="Y11" s="4"/>
      <c r="Z11" s="4"/>
      <c r="AA11" s="4"/>
      <c r="AB11" s="4"/>
      <c r="AC11" s="4"/>
      <c r="AD11" s="4"/>
      <c r="AE11" s="4"/>
      <c r="AF11" s="4"/>
      <c r="AG11" s="4"/>
    </row>
    <row r="12" ht="11.25" customHeight="1">
      <c r="A12" s="4"/>
      <c r="B12" s="4"/>
      <c r="C12" s="58"/>
      <c r="D12" s="305"/>
      <c r="E12" s="305"/>
      <c r="F12" s="305"/>
      <c r="G12" s="305"/>
      <c r="H12" s="305"/>
      <c r="I12" s="305"/>
      <c r="J12" s="305"/>
      <c r="K12" s="305"/>
      <c r="L12" s="305"/>
      <c r="M12" s="305"/>
      <c r="N12" s="305"/>
      <c r="O12" s="4"/>
      <c r="P12" s="4"/>
      <c r="Q12" s="4"/>
      <c r="R12" s="4"/>
      <c r="S12" s="4"/>
      <c r="T12" s="4"/>
      <c r="U12" s="4"/>
      <c r="V12" s="4"/>
      <c r="W12" s="4"/>
      <c r="X12" s="4"/>
      <c r="Y12" s="4"/>
      <c r="Z12" s="4"/>
      <c r="AA12" s="4"/>
      <c r="AB12" s="4"/>
      <c r="AC12" s="4"/>
      <c r="AD12" s="4"/>
      <c r="AE12" s="4"/>
      <c r="AF12" s="4"/>
      <c r="AG12" s="4"/>
    </row>
    <row r="13" ht="11.25" customHeight="1">
      <c r="A13" s="4"/>
      <c r="B13" s="4"/>
      <c r="C13" s="58"/>
      <c r="D13" s="305"/>
      <c r="E13" s="305"/>
      <c r="F13" s="305"/>
      <c r="G13" s="305"/>
      <c r="H13" s="305"/>
      <c r="I13" s="305"/>
      <c r="J13" s="305"/>
      <c r="K13" s="305"/>
      <c r="L13" s="305"/>
      <c r="M13" s="305"/>
      <c r="N13" s="305"/>
      <c r="O13" s="4"/>
      <c r="P13" s="4"/>
      <c r="Q13" s="4"/>
      <c r="R13" s="4"/>
      <c r="S13" s="4"/>
      <c r="T13" s="4"/>
      <c r="U13" s="4"/>
      <c r="V13" s="4"/>
      <c r="W13" s="4"/>
      <c r="X13" s="4"/>
      <c r="Y13" s="4"/>
      <c r="Z13" s="4"/>
      <c r="AA13" s="4"/>
      <c r="AB13" s="4"/>
      <c r="AC13" s="4"/>
      <c r="AD13" s="4"/>
      <c r="AE13" s="4"/>
      <c r="AF13" s="4"/>
      <c r="AG13" s="4"/>
    </row>
    <row r="14" ht="12.0" customHeight="1">
      <c r="A14" s="149" t="s">
        <v>336</v>
      </c>
      <c r="B14" s="4"/>
      <c r="C14" s="58"/>
      <c r="D14" s="305"/>
      <c r="E14" s="305"/>
      <c r="F14" s="305"/>
      <c r="G14" s="305"/>
      <c r="H14" s="305"/>
      <c r="I14" s="305"/>
      <c r="J14" s="305"/>
      <c r="K14" s="305"/>
      <c r="L14" s="305"/>
      <c r="M14" s="305"/>
      <c r="N14" s="305"/>
      <c r="O14" s="4"/>
      <c r="P14" s="4"/>
      <c r="Q14" s="4"/>
      <c r="R14" s="4"/>
      <c r="S14" s="4"/>
      <c r="T14" s="4"/>
      <c r="U14" s="4"/>
      <c r="V14" s="4"/>
      <c r="W14" s="4"/>
      <c r="X14" s="4"/>
      <c r="Y14" s="4"/>
      <c r="Z14" s="4"/>
      <c r="AA14" s="4"/>
      <c r="AB14" s="4"/>
      <c r="AC14" s="4"/>
      <c r="AD14" s="4"/>
      <c r="AE14" s="4"/>
      <c r="AF14" s="4"/>
      <c r="AG14" s="4"/>
    </row>
    <row r="15" ht="11.25" customHeight="1">
      <c r="A15" s="150" t="s">
        <v>337</v>
      </c>
      <c r="B15" s="4"/>
      <c r="C15" s="58"/>
      <c r="D15" s="305" t="str">
        <f>IF(Inc_St!D18&lt;&gt;0,(Bal_Sheet!F54+Bal_Sheet!F61)/Inc_St!D18,"N/A")</f>
        <v>#REF!</v>
      </c>
      <c r="E15" s="305" t="str">
        <f>IF(Inc_St!E18&lt;&gt;0,(Bal_Sheet!G54+Bal_Sheet!G61)/Inc_St!E18,"N/A")</f>
        <v>#REF!</v>
      </c>
      <c r="F15" s="305" t="str">
        <f>IF(Inc_St!F18&lt;&gt;0,(Bal_Sheet!H54+Bal_Sheet!H61)/Inc_St!F18,"N/A")</f>
        <v>#REF!</v>
      </c>
      <c r="G15" s="305" t="str">
        <f>IF(Inc_St!G18&lt;&gt;0,(Bal_Sheet!I54+Bal_Sheet!I61)/Inc_St!G18,"N/A")</f>
        <v>#REF!</v>
      </c>
      <c r="H15" s="305" t="str">
        <f>IF(Inc_St!H18&lt;&gt;0,(Bal_Sheet!J54+Bal_Sheet!J61)/Inc_St!H18,"N/A")</f>
        <v>#REF!</v>
      </c>
      <c r="I15" s="305" t="str">
        <f>IF(Inc_St!I18&lt;&gt;0,(Bal_Sheet!K54+Bal_Sheet!K61)/Inc_St!I18,"N/A")</f>
        <v>#REF!</v>
      </c>
      <c r="J15" s="305" t="str">
        <f>IF(Inc_St!J18&lt;&gt;0,(Bal_Sheet!L54+Bal_Sheet!L61)/Inc_St!J18,"N/A")</f>
        <v>#REF!</v>
      </c>
      <c r="K15" s="305" t="str">
        <f>IF(Inc_St!K18&lt;&gt;0,(Bal_Sheet!M54+Bal_Sheet!M61)/Inc_St!K18,"N/A")</f>
        <v>#REF!</v>
      </c>
      <c r="L15" s="305" t="str">
        <f>IF(Inc_St!L18&lt;&gt;0,(Bal_Sheet!N54+Bal_Sheet!N61)/Inc_St!L18,"N/A")</f>
        <v>#REF!</v>
      </c>
      <c r="M15" s="305" t="str">
        <f>IF(Inc_St!M18&lt;&gt;0,(Bal_Sheet!O54+Bal_Sheet!O61)/Inc_St!M18,"N/A")</f>
        <v>#REF!</v>
      </c>
      <c r="N15" s="305"/>
      <c r="O15" s="4"/>
      <c r="P15" s="4"/>
      <c r="Q15" s="4"/>
      <c r="R15" s="4"/>
      <c r="S15" s="4"/>
      <c r="T15" s="4"/>
      <c r="U15" s="4"/>
      <c r="V15" s="4"/>
      <c r="W15" s="4"/>
      <c r="X15" s="4"/>
      <c r="Y15" s="4"/>
      <c r="Z15" s="4"/>
      <c r="AA15" s="4"/>
      <c r="AB15" s="4"/>
      <c r="AC15" s="4"/>
      <c r="AD15" s="4"/>
      <c r="AE15" s="4"/>
      <c r="AF15" s="4"/>
      <c r="AG15" s="4"/>
    </row>
    <row r="16" ht="11.25" customHeight="1">
      <c r="A16" s="150" t="s">
        <v>338</v>
      </c>
      <c r="B16" s="4"/>
      <c r="C16" s="58"/>
      <c r="D16" s="305" t="str">
        <f>IF(Inc_St!D18+Cash_Flow!D30&lt;&gt;0,(Bal_Sheet!F54+Bal_Sheet!F61)/(Inc_St!D18+Cash_Flow!D30),"N/A")</f>
        <v>#REF!</v>
      </c>
      <c r="E16" s="305" t="str">
        <f>IF(Inc_St!E18+Cash_Flow!E30&lt;&gt;0,(Bal_Sheet!G54+Bal_Sheet!G61)/(Inc_St!E18+Cash_Flow!E30),"N/A")</f>
        <v>#REF!</v>
      </c>
      <c r="F16" s="305" t="str">
        <f>IF(Inc_St!F18+Cash_Flow!F30&lt;&gt;0,(Bal_Sheet!H54+Bal_Sheet!H61)/(Inc_St!F18+Cash_Flow!F30),"N/A")</f>
        <v>#REF!</v>
      </c>
      <c r="G16" s="305" t="str">
        <f>IF(Inc_St!G18+Cash_Flow!G30&lt;&gt;0,(Bal_Sheet!I54+Bal_Sheet!I61)/(Inc_St!G18+Cash_Flow!G30),"N/A")</f>
        <v>#REF!</v>
      </c>
      <c r="H16" s="305" t="str">
        <f>IF(Inc_St!H18+Cash_Flow!H30&lt;&gt;0,(Bal_Sheet!J54+Bal_Sheet!J61)/(Inc_St!H18+Cash_Flow!H30),"N/A")</f>
        <v>#REF!</v>
      </c>
      <c r="I16" s="305" t="str">
        <f>IF(Inc_St!I18+Cash_Flow!I30&lt;&gt;0,(Bal_Sheet!K54+Bal_Sheet!K61)/(Inc_St!I18+Cash_Flow!I30),"N/A")</f>
        <v>#REF!</v>
      </c>
      <c r="J16" s="305" t="str">
        <f>IF(Inc_St!J18+Cash_Flow!J30&lt;&gt;0,(Bal_Sheet!L54+Bal_Sheet!L61)/(Inc_St!J18+Cash_Flow!J30),"N/A")</f>
        <v>#REF!</v>
      </c>
      <c r="K16" s="305" t="str">
        <f>IF(Inc_St!K18+Cash_Flow!K30&lt;&gt;0,(Bal_Sheet!M54+Bal_Sheet!M61)/(Inc_St!K18+Cash_Flow!K30),"N/A")</f>
        <v>#REF!</v>
      </c>
      <c r="L16" s="305" t="str">
        <f>IF(Inc_St!L18+Cash_Flow!L30&lt;&gt;0,(Bal_Sheet!N54+Bal_Sheet!N61)/(Inc_St!L18+Cash_Flow!L30),"N/A")</f>
        <v>#REF!</v>
      </c>
      <c r="M16" s="305" t="str">
        <f>IF(Inc_St!M18+Cash_Flow!M30&lt;&gt;0,(Bal_Sheet!O54+Bal_Sheet!O61)/(Inc_St!M18+Cash_Flow!M30),"N/A")</f>
        <v>#REF!</v>
      </c>
      <c r="N16" s="305"/>
      <c r="O16" s="4"/>
      <c r="P16" s="4"/>
      <c r="Q16" s="4"/>
      <c r="R16" s="4"/>
      <c r="S16" s="4"/>
      <c r="T16" s="4"/>
      <c r="U16" s="4"/>
      <c r="V16" s="4"/>
      <c r="W16" s="4"/>
      <c r="X16" s="4"/>
      <c r="Y16" s="4"/>
      <c r="Z16" s="4"/>
      <c r="AA16" s="4"/>
      <c r="AB16" s="4"/>
      <c r="AC16" s="4"/>
      <c r="AD16" s="4"/>
      <c r="AE16" s="4"/>
      <c r="AF16" s="4"/>
      <c r="AG16" s="4"/>
    </row>
    <row r="17" ht="11.25" customHeight="1">
      <c r="A17" s="150" t="s">
        <v>339</v>
      </c>
      <c r="B17" s="4"/>
      <c r="C17" s="58"/>
      <c r="D17" s="305" t="str">
        <f>IF(Inc_St!D18&lt;&gt;0,(Bal_Sheet!F54+Bal_Sheet!F61-Bal_Sheet!F10)/Inc_St!D18,"N/A")</f>
        <v>#REF!</v>
      </c>
      <c r="E17" s="305" t="str">
        <f>IF(Inc_St!E18&lt;&gt;0,(Bal_Sheet!G54+Bal_Sheet!G61-Bal_Sheet!G10)/Inc_St!E18,"N/A")</f>
        <v>#REF!</v>
      </c>
      <c r="F17" s="305" t="str">
        <f>IF(Inc_St!F18&lt;&gt;0,(Bal_Sheet!H54+Bal_Sheet!H61-Bal_Sheet!H10)/Inc_St!F18,"N/A")</f>
        <v>#REF!</v>
      </c>
      <c r="G17" s="305" t="str">
        <f>IF(Inc_St!G18&lt;&gt;0,(Bal_Sheet!I54+Bal_Sheet!I61-Bal_Sheet!I10)/Inc_St!G18,"N/A")</f>
        <v>#REF!</v>
      </c>
      <c r="H17" s="305" t="str">
        <f>IF(Inc_St!H18&lt;&gt;0,(Bal_Sheet!J54+Bal_Sheet!J61-Bal_Sheet!J10)/Inc_St!H18,"N/A")</f>
        <v>#REF!</v>
      </c>
      <c r="I17" s="305" t="str">
        <f>IF(Inc_St!I18&lt;&gt;0,(Bal_Sheet!K54+Bal_Sheet!K61-Bal_Sheet!K10)/Inc_St!I18,"N/A")</f>
        <v>#REF!</v>
      </c>
      <c r="J17" s="305" t="str">
        <f>IF(Inc_St!J18&lt;&gt;0,(Bal_Sheet!L54+Bal_Sheet!L61-Bal_Sheet!L10)/Inc_St!J18,"N/A")</f>
        <v>#REF!</v>
      </c>
      <c r="K17" s="305" t="str">
        <f>IF(Inc_St!K18&lt;&gt;0,(Bal_Sheet!M54+Bal_Sheet!M61-Bal_Sheet!M10)/Inc_St!K18,"N/A")</f>
        <v>#REF!</v>
      </c>
      <c r="L17" s="305" t="str">
        <f>IF(Inc_St!L18&lt;&gt;0,(Bal_Sheet!N54+Bal_Sheet!N61-Bal_Sheet!N10)/Inc_St!L18,"N/A")</f>
        <v>#REF!</v>
      </c>
      <c r="M17" s="305" t="str">
        <f>IF(Inc_St!M18&lt;&gt;0,(Bal_Sheet!O54+Bal_Sheet!O61-Bal_Sheet!O10)/Inc_St!M18,"N/A")</f>
        <v>#REF!</v>
      </c>
      <c r="N17" s="305"/>
      <c r="O17" s="4"/>
      <c r="P17" s="4"/>
      <c r="Q17" s="4"/>
      <c r="R17" s="4"/>
      <c r="S17" s="4"/>
      <c r="T17" s="4"/>
      <c r="U17" s="4"/>
      <c r="V17" s="4"/>
      <c r="W17" s="4"/>
      <c r="X17" s="4"/>
      <c r="Y17" s="4"/>
      <c r="Z17" s="4"/>
      <c r="AA17" s="4"/>
      <c r="AB17" s="4"/>
      <c r="AC17" s="4"/>
      <c r="AD17" s="4"/>
      <c r="AE17" s="4"/>
      <c r="AF17" s="4"/>
      <c r="AG17" s="4"/>
    </row>
    <row r="18" ht="11.25" customHeight="1">
      <c r="A18" s="150" t="s">
        <v>340</v>
      </c>
      <c r="B18" s="4"/>
      <c r="C18" s="58"/>
      <c r="D18" s="305" t="str">
        <f>IF(Inc_St!D18&lt;&gt;0,SUM(Bal_Sheet!F46:F50)/Inc_St!D18,"N/A")</f>
        <v>#REF!</v>
      </c>
      <c r="E18" s="305" t="str">
        <f>IF(Inc_St!E18&lt;&gt;0,SUM(Bal_Sheet!G46:G50)/Inc_St!E18,"N/A")</f>
        <v>#REF!</v>
      </c>
      <c r="F18" s="305" t="str">
        <f>IF(Inc_St!F18&lt;&gt;0,SUM(Bal_Sheet!H46:H50)/Inc_St!F18,"N/A")</f>
        <v>#REF!</v>
      </c>
      <c r="G18" s="305" t="str">
        <f>IF(Inc_St!G18&lt;&gt;0,SUM(Bal_Sheet!I46:I50)/Inc_St!G18,"N/A")</f>
        <v>#REF!</v>
      </c>
      <c r="H18" s="305" t="str">
        <f>IF(Inc_St!H18&lt;&gt;0,SUM(Bal_Sheet!J46:J50)/Inc_St!H18,"N/A")</f>
        <v>#REF!</v>
      </c>
      <c r="I18" s="305" t="str">
        <f>IF(Inc_St!I18&lt;&gt;0,SUM(Bal_Sheet!K46:K50)/Inc_St!I18,"N/A")</f>
        <v>#REF!</v>
      </c>
      <c r="J18" s="305" t="str">
        <f>IF(Inc_St!J18&lt;&gt;0,SUM(Bal_Sheet!L46:L50)/Inc_St!J18,"N/A")</f>
        <v>#REF!</v>
      </c>
      <c r="K18" s="305" t="str">
        <f>IF(Inc_St!K18&lt;&gt;0,SUM(Bal_Sheet!M46:M50)/Inc_St!K18,"N/A")</f>
        <v>#REF!</v>
      </c>
      <c r="L18" s="305" t="str">
        <f>IF(Inc_St!L18&lt;&gt;0,SUM(Bal_Sheet!N46:N50)/Inc_St!L18,"N/A")</f>
        <v>#REF!</v>
      </c>
      <c r="M18" s="305" t="str">
        <f>IF(Inc_St!M18&lt;&gt;0,SUM(Bal_Sheet!O46:O50)/Inc_St!M18,"N/A")</f>
        <v>#REF!</v>
      </c>
      <c r="N18" s="305"/>
      <c r="O18" s="4"/>
      <c r="P18" s="4"/>
      <c r="Q18" s="4"/>
      <c r="R18" s="4"/>
      <c r="S18" s="4"/>
      <c r="T18" s="4"/>
      <c r="U18" s="4"/>
      <c r="V18" s="4"/>
      <c r="W18" s="4"/>
      <c r="X18" s="4"/>
      <c r="Y18" s="4"/>
      <c r="Z18" s="4"/>
      <c r="AA18" s="4"/>
      <c r="AB18" s="4"/>
      <c r="AC18" s="4"/>
      <c r="AD18" s="4"/>
      <c r="AE18" s="4"/>
      <c r="AF18" s="4"/>
      <c r="AG18" s="4"/>
    </row>
    <row r="19" ht="11.25" customHeight="1">
      <c r="A19" s="4"/>
      <c r="B19" s="4"/>
      <c r="C19" s="58"/>
      <c r="D19" s="305"/>
      <c r="E19" s="305"/>
      <c r="F19" s="305"/>
      <c r="G19" s="305"/>
      <c r="H19" s="305"/>
      <c r="I19" s="305"/>
      <c r="J19" s="305"/>
      <c r="K19" s="305"/>
      <c r="L19" s="305"/>
      <c r="M19" s="305"/>
      <c r="N19" s="305"/>
      <c r="O19" s="4"/>
      <c r="P19" s="4"/>
      <c r="Q19" s="4"/>
      <c r="R19" s="4"/>
      <c r="S19" s="4"/>
      <c r="T19" s="4"/>
      <c r="U19" s="4"/>
      <c r="V19" s="4"/>
      <c r="W19" s="4"/>
      <c r="X19" s="4"/>
      <c r="Y19" s="4"/>
      <c r="Z19" s="4"/>
      <c r="AA19" s="4"/>
      <c r="AB19" s="4"/>
      <c r="AC19" s="4"/>
      <c r="AD19" s="4"/>
      <c r="AE19" s="4"/>
      <c r="AF19" s="4"/>
      <c r="AG19" s="4"/>
    </row>
    <row r="20" ht="11.25" customHeight="1">
      <c r="A20" s="4"/>
      <c r="B20" s="4"/>
      <c r="C20" s="58"/>
      <c r="D20" s="305"/>
      <c r="E20" s="305"/>
      <c r="F20" s="305"/>
      <c r="G20" s="305"/>
      <c r="H20" s="305"/>
      <c r="I20" s="305"/>
      <c r="J20" s="305"/>
      <c r="K20" s="305"/>
      <c r="L20" s="305"/>
      <c r="M20" s="305"/>
      <c r="N20" s="305"/>
      <c r="O20" s="4"/>
      <c r="P20" s="4"/>
      <c r="Q20" s="4"/>
      <c r="R20" s="4"/>
      <c r="S20" s="4"/>
      <c r="T20" s="4"/>
      <c r="U20" s="4"/>
      <c r="V20" s="4"/>
      <c r="W20" s="4"/>
      <c r="X20" s="4"/>
      <c r="Y20" s="4"/>
      <c r="Z20" s="4"/>
      <c r="AA20" s="4"/>
      <c r="AB20" s="4"/>
      <c r="AC20" s="4"/>
      <c r="AD20" s="4"/>
      <c r="AE20" s="4"/>
      <c r="AF20" s="4"/>
      <c r="AG20" s="4"/>
    </row>
    <row r="21" ht="12.0" customHeight="1">
      <c r="A21" s="149" t="s">
        <v>341</v>
      </c>
      <c r="B21" s="4"/>
      <c r="C21" s="58"/>
      <c r="D21" s="305"/>
      <c r="E21" s="305"/>
      <c r="F21" s="305"/>
      <c r="G21" s="305"/>
      <c r="H21" s="305"/>
      <c r="I21" s="305"/>
      <c r="J21" s="305"/>
      <c r="K21" s="305"/>
      <c r="L21" s="305"/>
      <c r="M21" s="305"/>
      <c r="N21" s="305"/>
      <c r="O21" s="4"/>
      <c r="P21" s="4"/>
      <c r="Q21" s="4"/>
      <c r="R21" s="4"/>
      <c r="S21" s="4"/>
      <c r="T21" s="4"/>
      <c r="U21" s="4"/>
      <c r="V21" s="4"/>
      <c r="W21" s="4"/>
      <c r="X21" s="4"/>
      <c r="Y21" s="4"/>
      <c r="Z21" s="4"/>
      <c r="AA21" s="4"/>
      <c r="AB21" s="4"/>
      <c r="AC21" s="4"/>
      <c r="AD21" s="4"/>
      <c r="AE21" s="4"/>
      <c r="AF21" s="4"/>
      <c r="AG21" s="4"/>
    </row>
    <row r="22" ht="11.25" customHeight="1">
      <c r="A22" s="150" t="s">
        <v>342</v>
      </c>
      <c r="B22" s="4"/>
      <c r="C22" s="58"/>
      <c r="D22" s="305" t="str">
        <f>IF(Inc_St!D24+Inc_St!D46&gt;0,Inc_St!D18/(Inc_St!D24+Inc_St!D46),"N/A")</f>
        <v>#REF!</v>
      </c>
      <c r="E22" s="305" t="str">
        <f>IF(Inc_St!E24+Inc_St!E46&gt;0,Inc_St!E18/(Inc_St!E24+Inc_St!E46),"N/A")</f>
        <v>#REF!</v>
      </c>
      <c r="F22" s="305" t="str">
        <f>IF(Inc_St!F24+Inc_St!F46&gt;0,Inc_St!F18/(Inc_St!F24+Inc_St!F46),"N/A")</f>
        <v>#REF!</v>
      </c>
      <c r="G22" s="305" t="str">
        <f>IF(Inc_St!G24+Inc_St!G46&gt;0,Inc_St!G18/(Inc_St!G24+Inc_St!G46),"N/A")</f>
        <v>#REF!</v>
      </c>
      <c r="H22" s="305" t="str">
        <f>IF(Inc_St!H24+Inc_St!H46&gt;0,Inc_St!H18/(Inc_St!H24+Inc_St!H46),"N/A")</f>
        <v>#REF!</v>
      </c>
      <c r="I22" s="305" t="str">
        <f>IF(Inc_St!I24+Inc_St!I46&gt;0,Inc_St!I18/(Inc_St!I24+Inc_St!I46),"N/A")</f>
        <v>#REF!</v>
      </c>
      <c r="J22" s="305" t="str">
        <f>IF(Inc_St!J24+Inc_St!J46&gt;0,Inc_St!J18/(Inc_St!J24+Inc_St!J46),"N/A")</f>
        <v>#REF!</v>
      </c>
      <c r="K22" s="305" t="str">
        <f>IF(Inc_St!K24+Inc_St!K46&gt;0,Inc_St!K18/(Inc_St!K24+Inc_St!K46),"N/A")</f>
        <v>#REF!</v>
      </c>
      <c r="L22" s="305" t="str">
        <f>IF(Inc_St!L24+Inc_St!L46&gt;0,Inc_St!L18/(Inc_St!L24+Inc_St!L46),"N/A")</f>
        <v>#REF!</v>
      </c>
      <c r="M22" s="305" t="str">
        <f>IF(Inc_St!M24+Inc_St!M46&gt;0,Inc_St!M18/(Inc_St!M24+Inc_St!M46),"N/A")</f>
        <v>#REF!</v>
      </c>
      <c r="N22" s="305"/>
      <c r="O22" s="4"/>
      <c r="P22" s="4"/>
      <c r="Q22" s="4"/>
      <c r="R22" s="4"/>
      <c r="S22" s="4"/>
      <c r="T22" s="4"/>
      <c r="U22" s="4"/>
      <c r="V22" s="4"/>
      <c r="W22" s="4"/>
      <c r="X22" s="4"/>
      <c r="Y22" s="4"/>
      <c r="Z22" s="4"/>
      <c r="AA22" s="4"/>
      <c r="AB22" s="4"/>
      <c r="AC22" s="4"/>
      <c r="AD22" s="4"/>
      <c r="AE22" s="4"/>
      <c r="AF22" s="4"/>
      <c r="AG22" s="4"/>
    </row>
    <row r="23" ht="11.25" customHeight="1">
      <c r="A23" s="150" t="s">
        <v>343</v>
      </c>
      <c r="B23" s="4"/>
      <c r="C23" s="58"/>
      <c r="D23" s="305" t="str">
        <f>IF(SUM(Inc_St!D25:D29)&gt;0,Inc_St!D18/SUM(Inc_St!D25:D29),"N/A")</f>
        <v>#REF!</v>
      </c>
      <c r="E23" s="305" t="str">
        <f>IF(SUM(Inc_St!E25:E29)&gt;0,Inc_St!E18/SUM(Inc_St!E25:E29),"N/A")</f>
        <v>#REF!</v>
      </c>
      <c r="F23" s="305" t="str">
        <f>IF(SUM(Inc_St!F25:F29)&gt;0,Inc_St!F18/SUM(Inc_St!F25:F29),"N/A")</f>
        <v>#REF!</v>
      </c>
      <c r="G23" s="305" t="str">
        <f>IF(SUM(Inc_St!G25:G29)&gt;0,Inc_St!G18/SUM(Inc_St!G25:G29),"N/A")</f>
        <v>#REF!</v>
      </c>
      <c r="H23" s="305" t="str">
        <f>IF(SUM(Inc_St!H25:H29)&gt;0,Inc_St!H18/SUM(Inc_St!H25:H29),"N/A")</f>
        <v>#REF!</v>
      </c>
      <c r="I23" s="305" t="str">
        <f>IF(SUM(Inc_St!I25:I29)&gt;0,Inc_St!I18/SUM(Inc_St!I25:I29),"N/A")</f>
        <v>#REF!</v>
      </c>
      <c r="J23" s="305" t="str">
        <f>IF(SUM(Inc_St!J25:J29)&gt;0,Inc_St!J18/SUM(Inc_St!J25:J29),"N/A")</f>
        <v>#REF!</v>
      </c>
      <c r="K23" s="305" t="str">
        <f>IF(SUM(Inc_St!K25:K29)&gt;0,Inc_St!K18/SUM(Inc_St!K25:K29),"N/A")</f>
        <v>#REF!</v>
      </c>
      <c r="L23" s="305" t="str">
        <f>IF(SUM(Inc_St!L25:L29)&gt;0,Inc_St!L18/SUM(Inc_St!L25:L29),"N/A")</f>
        <v>#REF!</v>
      </c>
      <c r="M23" s="305" t="str">
        <f>IF(SUM(Inc_St!M25:M29)&gt;0,Inc_St!M18/SUM(Inc_St!M25:M29),"N/A")</f>
        <v>#REF!</v>
      </c>
      <c r="N23" s="305"/>
      <c r="O23" s="4"/>
      <c r="P23" s="4"/>
      <c r="Q23" s="4"/>
      <c r="R23" s="4"/>
      <c r="S23" s="4"/>
      <c r="T23" s="4"/>
      <c r="U23" s="4"/>
      <c r="V23" s="4"/>
      <c r="W23" s="4"/>
      <c r="X23" s="4"/>
      <c r="Y23" s="4"/>
      <c r="Z23" s="4"/>
      <c r="AA23" s="4"/>
      <c r="AB23" s="4"/>
      <c r="AC23" s="4"/>
      <c r="AD23" s="4"/>
      <c r="AE23" s="4"/>
      <c r="AF23" s="4"/>
      <c r="AG23" s="4"/>
    </row>
    <row r="24" ht="11.25" customHeight="1">
      <c r="A24" s="150" t="s">
        <v>344</v>
      </c>
      <c r="B24" s="4"/>
      <c r="C24" s="58"/>
      <c r="D24" s="305" t="str">
        <f>IF(Inc_St!D24+Inc_St!D46-SUM(Cash_Flow!D15:D18)&gt;0,Inc_St!D18/(Inc_St!D24+Inc_St!D46-SUM(Cash_Flow!D15:D18)),"N/A")</f>
        <v>#REF!</v>
      </c>
      <c r="E24" s="305" t="str">
        <f>IF(Inc_St!E24+Inc_St!E46-SUM(Cash_Flow!E15:E18)&gt;0,Inc_St!E18/(Inc_St!E24+Inc_St!E46-SUM(Cash_Flow!E15:E18)),"N/A")</f>
        <v>#REF!</v>
      </c>
      <c r="F24" s="305" t="str">
        <f>IF(Inc_St!F24+Inc_St!F46-SUM(Cash_Flow!F15:F18)&gt;0,Inc_St!F18/(Inc_St!F24+Inc_St!F46-SUM(Cash_Flow!F15:F18)),"N/A")</f>
        <v>#REF!</v>
      </c>
      <c r="G24" s="305" t="str">
        <f>IF(Inc_St!G24+Inc_St!G46-SUM(Cash_Flow!G15:G18)&gt;0,Inc_St!G18/(Inc_St!G24+Inc_St!G46-SUM(Cash_Flow!G15:G18)),"N/A")</f>
        <v>#REF!</v>
      </c>
      <c r="H24" s="305" t="str">
        <f>IF(Inc_St!H24+Inc_St!H46-SUM(Cash_Flow!H15:H18)&gt;0,Inc_St!H18/(Inc_St!H24+Inc_St!H46-SUM(Cash_Flow!H15:H18)),"N/A")</f>
        <v>#REF!</v>
      </c>
      <c r="I24" s="305" t="str">
        <f>IF(Inc_St!I24+Inc_St!I46-SUM(Cash_Flow!I15:I18)&gt;0,Inc_St!I18/(Inc_St!I24+Inc_St!I46-SUM(Cash_Flow!I15:I18)),"N/A")</f>
        <v>#REF!</v>
      </c>
      <c r="J24" s="305" t="str">
        <f>IF(Inc_St!J24+Inc_St!J46-SUM(Cash_Flow!J15:J18)&gt;0,Inc_St!J18/(Inc_St!J24+Inc_St!J46-SUM(Cash_Flow!J15:J18)),"N/A")</f>
        <v>#REF!</v>
      </c>
      <c r="K24" s="305" t="str">
        <f>IF(Inc_St!K24+Inc_St!K46-SUM(Cash_Flow!K15:K18)&gt;0,Inc_St!K18/(Inc_St!K24+Inc_St!K46-SUM(Cash_Flow!K15:K18)),"N/A")</f>
        <v>#REF!</v>
      </c>
      <c r="L24" s="305" t="str">
        <f>IF(Inc_St!L24+Inc_St!L46-SUM(Cash_Flow!L15:L18)&gt;0,Inc_St!L18/(Inc_St!L24+Inc_St!L46-SUM(Cash_Flow!L15:L18)),"N/A")</f>
        <v>#REF!</v>
      </c>
      <c r="M24" s="305" t="str">
        <f>IF(Inc_St!M24+Inc_St!M46-SUM(Cash_Flow!M15:M18)&gt;0,Inc_St!M18/(Inc_St!M24+Inc_St!M46-SUM(Cash_Flow!M15:M18)),"N/A")</f>
        <v>#REF!</v>
      </c>
      <c r="N24" s="305"/>
      <c r="O24" s="4"/>
      <c r="P24" s="4"/>
      <c r="Q24" s="4"/>
      <c r="R24" s="4"/>
      <c r="S24" s="4"/>
      <c r="T24" s="4"/>
      <c r="U24" s="4"/>
      <c r="V24" s="4"/>
      <c r="W24" s="4"/>
      <c r="X24" s="4"/>
      <c r="Y24" s="4"/>
      <c r="Z24" s="4"/>
      <c r="AA24" s="4"/>
      <c r="AB24" s="4"/>
      <c r="AC24" s="4"/>
      <c r="AD24" s="4"/>
      <c r="AE24" s="4"/>
      <c r="AF24" s="4"/>
      <c r="AG24" s="4"/>
    </row>
    <row r="25" ht="11.25" customHeight="1">
      <c r="A25" s="150"/>
      <c r="B25" s="4"/>
      <c r="C25" s="58"/>
      <c r="D25" s="305"/>
      <c r="E25" s="305"/>
      <c r="F25" s="305"/>
      <c r="G25" s="305"/>
      <c r="H25" s="305"/>
      <c r="I25" s="305"/>
      <c r="J25" s="305"/>
      <c r="K25" s="305"/>
      <c r="L25" s="305"/>
      <c r="M25" s="305"/>
      <c r="N25" s="305"/>
      <c r="O25" s="4"/>
      <c r="P25" s="4"/>
      <c r="Q25" s="4"/>
      <c r="R25" s="4"/>
      <c r="S25" s="4"/>
      <c r="T25" s="4"/>
      <c r="U25" s="4"/>
      <c r="V25" s="4"/>
      <c r="W25" s="4"/>
      <c r="X25" s="4"/>
      <c r="Y25" s="4"/>
      <c r="Z25" s="4"/>
      <c r="AA25" s="4"/>
      <c r="AB25" s="4"/>
      <c r="AC25" s="4"/>
      <c r="AD25" s="4"/>
      <c r="AE25" s="4"/>
      <c r="AF25" s="4"/>
      <c r="AG25" s="4"/>
    </row>
    <row r="26" ht="11.25" customHeight="1">
      <c r="A26" s="150" t="s">
        <v>345</v>
      </c>
      <c r="B26" s="4"/>
      <c r="C26" s="58"/>
      <c r="D26" s="305" t="str">
        <f>IF(Inc_St!D24+Inc_St!D46&gt;0,(Inc_St!D18+Cash_Flow!D30)/(Inc_St!D24+Inc_St!D46),"N/A")</f>
        <v>#REF!</v>
      </c>
      <c r="E26" s="305" t="str">
        <f>IF(Inc_St!E24+Inc_St!E46&gt;0,(Inc_St!E18+Cash_Flow!E30)/(Inc_St!E24+Inc_St!E46),"N/A")</f>
        <v>#REF!</v>
      </c>
      <c r="F26" s="305" t="str">
        <f>IF(Inc_St!F24+Inc_St!F46&gt;0,(Inc_St!F18+Cash_Flow!F30)/(Inc_St!F24+Inc_St!F46),"N/A")</f>
        <v>#REF!</v>
      </c>
      <c r="G26" s="305" t="str">
        <f>IF(Inc_St!G24+Inc_St!G46&gt;0,(Inc_St!G18+Cash_Flow!G30)/(Inc_St!G24+Inc_St!G46),"N/A")</f>
        <v>#REF!</v>
      </c>
      <c r="H26" s="305" t="str">
        <f>IF(Inc_St!H24+Inc_St!H46&gt;0,(Inc_St!H18+Cash_Flow!H30)/(Inc_St!H24+Inc_St!H46),"N/A")</f>
        <v>#REF!</v>
      </c>
      <c r="I26" s="305" t="str">
        <f>IF(Inc_St!I24+Inc_St!I46&gt;0,(Inc_St!I18+Cash_Flow!I30)/(Inc_St!I24+Inc_St!I46),"N/A")</f>
        <v>#REF!</v>
      </c>
      <c r="J26" s="305" t="str">
        <f>IF(Inc_St!J24+Inc_St!J46&gt;0,(Inc_St!J18+Cash_Flow!J30)/(Inc_St!J24+Inc_St!J46),"N/A")</f>
        <v>#REF!</v>
      </c>
      <c r="K26" s="305" t="str">
        <f>IF(Inc_St!K24+Inc_St!K46&gt;0,(Inc_St!K18+Cash_Flow!K30)/(Inc_St!K24+Inc_St!K46),"N/A")</f>
        <v>#REF!</v>
      </c>
      <c r="L26" s="305" t="str">
        <f>IF(Inc_St!L24+Inc_St!L46&gt;0,(Inc_St!L18+Cash_Flow!L30)/(Inc_St!L24+Inc_St!L46),"N/A")</f>
        <v>#REF!</v>
      </c>
      <c r="M26" s="305" t="str">
        <f>IF(Inc_St!M24+Inc_St!M46&gt;0,(Inc_St!M18+Cash_Flow!M30)/(Inc_St!M24+Inc_St!M46),"N/A")</f>
        <v>#REF!</v>
      </c>
      <c r="N26" s="305"/>
      <c r="O26" s="4"/>
      <c r="P26" s="4"/>
      <c r="Q26" s="4"/>
      <c r="R26" s="4"/>
      <c r="S26" s="4"/>
      <c r="T26" s="4"/>
      <c r="U26" s="4"/>
      <c r="V26" s="4"/>
      <c r="W26" s="4"/>
      <c r="X26" s="4"/>
      <c r="Y26" s="4"/>
      <c r="Z26" s="4"/>
      <c r="AA26" s="4"/>
      <c r="AB26" s="4"/>
      <c r="AC26" s="4"/>
      <c r="AD26" s="4"/>
      <c r="AE26" s="4"/>
      <c r="AF26" s="4"/>
      <c r="AG26" s="4"/>
    </row>
    <row r="27" ht="11.25" customHeight="1">
      <c r="A27" s="150" t="s">
        <v>346</v>
      </c>
      <c r="B27" s="4"/>
      <c r="C27" s="58"/>
      <c r="D27" s="305" t="str">
        <f>IF(SUM(Inc_St!D25:D29)&gt;0,(Inc_St!D18+Cash_Flow!D30)/SUM(Inc_St!D25:D29),"N/A")</f>
        <v>#REF!</v>
      </c>
      <c r="E27" s="305" t="str">
        <f>IF(SUM(Inc_St!E25:E29)&gt;0,(Inc_St!E18+Cash_Flow!E30)/SUM(Inc_St!E25:E29),"N/A")</f>
        <v>#REF!</v>
      </c>
      <c r="F27" s="305" t="str">
        <f>IF(SUM(Inc_St!F25:F29)&gt;0,(Inc_St!F18+Cash_Flow!F30)/SUM(Inc_St!F25:F29),"N/A")</f>
        <v>#REF!</v>
      </c>
      <c r="G27" s="305" t="str">
        <f>IF(SUM(Inc_St!G25:G29)&gt;0,(Inc_St!G18+Cash_Flow!G30)/SUM(Inc_St!G25:G29),"N/A")</f>
        <v>#REF!</v>
      </c>
      <c r="H27" s="305" t="str">
        <f>IF(SUM(Inc_St!H25:H29)&gt;0,(Inc_St!H18+Cash_Flow!H30)/SUM(Inc_St!H25:H29),"N/A")</f>
        <v>#REF!</v>
      </c>
      <c r="I27" s="305" t="str">
        <f>IF(SUM(Inc_St!I25:I29)&gt;0,(Inc_St!I18+Cash_Flow!I30)/SUM(Inc_St!I25:I29),"N/A")</f>
        <v>#REF!</v>
      </c>
      <c r="J27" s="305" t="str">
        <f>IF(SUM(Inc_St!J25:J29)&gt;0,(Inc_St!J18+Cash_Flow!J30)/SUM(Inc_St!J25:J29),"N/A")</f>
        <v>#REF!</v>
      </c>
      <c r="K27" s="305" t="str">
        <f>IF(SUM(Inc_St!K25:K29)&gt;0,(Inc_St!K18+Cash_Flow!K30)/SUM(Inc_St!K25:K29),"N/A")</f>
        <v>#REF!</v>
      </c>
      <c r="L27" s="305" t="str">
        <f>IF(SUM(Inc_St!L25:L29)&gt;0,(Inc_St!L18+Cash_Flow!L30)/SUM(Inc_St!L25:L29),"N/A")</f>
        <v>#REF!</v>
      </c>
      <c r="M27" s="305" t="str">
        <f>IF(SUM(Inc_St!M25:M29)&gt;0,(Inc_St!M18+Cash_Flow!M30)/SUM(Inc_St!M25:M29),"N/A")</f>
        <v>#REF!</v>
      </c>
      <c r="N27" s="305"/>
      <c r="O27" s="4"/>
      <c r="P27" s="4"/>
      <c r="Q27" s="4"/>
      <c r="R27" s="4"/>
      <c r="S27" s="4"/>
      <c r="T27" s="4"/>
      <c r="U27" s="4"/>
      <c r="V27" s="4"/>
      <c r="W27" s="4"/>
      <c r="X27" s="4"/>
      <c r="Y27" s="4"/>
      <c r="Z27" s="4"/>
      <c r="AA27" s="4"/>
      <c r="AB27" s="4"/>
      <c r="AC27" s="4"/>
      <c r="AD27" s="4"/>
      <c r="AE27" s="4"/>
      <c r="AF27" s="4"/>
      <c r="AG27" s="4"/>
    </row>
    <row r="28" ht="11.25" customHeight="1">
      <c r="A28" s="150" t="s">
        <v>347</v>
      </c>
      <c r="B28" s="4"/>
      <c r="C28" s="58"/>
      <c r="D28" s="305" t="str">
        <f>IF(Inc_St!D24+Inc_St!D46-SUM(Cash_Flow!D15:D18)&gt;0,(Inc_St!D18+Cash_Flow!D30)/(Inc_St!D24+Inc_St!D46-SUM(Cash_Flow!D15:D18)),"N/A")</f>
        <v>#REF!</v>
      </c>
      <c r="E28" s="305" t="str">
        <f>IF(Inc_St!E24+Inc_St!E46-SUM(Cash_Flow!E15:E18)&gt;0,(Inc_St!E18+Cash_Flow!E30)/(Inc_St!E24+Inc_St!E46-SUM(Cash_Flow!E15:E18)),"N/A")</f>
        <v>#REF!</v>
      </c>
      <c r="F28" s="305" t="str">
        <f>IF(Inc_St!F24+Inc_St!F46-SUM(Cash_Flow!F15:F18)&gt;0,(Inc_St!F18+Cash_Flow!F30)/(Inc_St!F24+Inc_St!F46-SUM(Cash_Flow!F15:F18)),"N/A")</f>
        <v>#REF!</v>
      </c>
      <c r="G28" s="305" t="str">
        <f>IF(Inc_St!G24+Inc_St!G46-SUM(Cash_Flow!G15:G18)&gt;0,(Inc_St!G18+Cash_Flow!G30)/(Inc_St!G24+Inc_St!G46-SUM(Cash_Flow!G15:G18)),"N/A")</f>
        <v>#REF!</v>
      </c>
      <c r="H28" s="305" t="str">
        <f>IF(Inc_St!H24+Inc_St!H46-SUM(Cash_Flow!H15:H18)&gt;0,(Inc_St!H18+Cash_Flow!H30)/(Inc_St!H24+Inc_St!H46-SUM(Cash_Flow!H15:H18)),"N/A")</f>
        <v>#REF!</v>
      </c>
      <c r="I28" s="305" t="str">
        <f>IF(Inc_St!I24+Inc_St!I46-SUM(Cash_Flow!I15:I18)&gt;0,(Inc_St!I18+Cash_Flow!I30)/(Inc_St!I24+Inc_St!I46-SUM(Cash_Flow!I15:I18)),"N/A")</f>
        <v>#REF!</v>
      </c>
      <c r="J28" s="305" t="str">
        <f>IF(Inc_St!J24+Inc_St!J46-SUM(Cash_Flow!J15:J18)&gt;0,(Inc_St!J18+Cash_Flow!J30)/(Inc_St!J24+Inc_St!J46-SUM(Cash_Flow!J15:J18)),"N/A")</f>
        <v>#REF!</v>
      </c>
      <c r="K28" s="305" t="str">
        <f>IF(Inc_St!K24+Inc_St!K46-SUM(Cash_Flow!K15:K18)&gt;0,(Inc_St!K18+Cash_Flow!K30)/(Inc_St!K24+Inc_St!K46-SUM(Cash_Flow!K15:K18)),"N/A")</f>
        <v>#REF!</v>
      </c>
      <c r="L28" s="305" t="str">
        <f>IF(Inc_St!L24+Inc_St!L46-SUM(Cash_Flow!L15:L18)&gt;0,(Inc_St!L18+Cash_Flow!L30)/(Inc_St!L24+Inc_St!L46-SUM(Cash_Flow!L15:L18)),"N/A")</f>
        <v>#REF!</v>
      </c>
      <c r="M28" s="305" t="str">
        <f>IF(Inc_St!M24+Inc_St!M46-SUM(Cash_Flow!M15:M18)&gt;0,(Inc_St!M18+Cash_Flow!M30)/(Inc_St!M24+Inc_St!M46-SUM(Cash_Flow!M15:M18)),"N/A")</f>
        <v>#REF!</v>
      </c>
      <c r="N28" s="305"/>
      <c r="O28" s="4"/>
      <c r="P28" s="4"/>
      <c r="Q28" s="4"/>
      <c r="R28" s="4"/>
      <c r="S28" s="4"/>
      <c r="T28" s="4"/>
      <c r="U28" s="4"/>
      <c r="V28" s="4"/>
      <c r="W28" s="4"/>
      <c r="X28" s="4"/>
      <c r="Y28" s="4"/>
      <c r="Z28" s="4"/>
      <c r="AA28" s="4"/>
      <c r="AB28" s="4"/>
      <c r="AC28" s="4"/>
      <c r="AD28" s="4"/>
      <c r="AE28" s="4"/>
      <c r="AF28" s="4"/>
      <c r="AG28" s="4"/>
    </row>
    <row r="29" ht="11.25" customHeight="1">
      <c r="A29" s="150"/>
      <c r="B29" s="4"/>
      <c r="C29" s="58"/>
      <c r="D29" s="305"/>
      <c r="E29" s="305"/>
      <c r="F29" s="305"/>
      <c r="G29" s="305"/>
      <c r="H29" s="305"/>
      <c r="I29" s="305"/>
      <c r="J29" s="305"/>
      <c r="K29" s="305"/>
      <c r="L29" s="305"/>
      <c r="M29" s="305"/>
      <c r="N29" s="305"/>
      <c r="O29" s="4"/>
      <c r="P29" s="4"/>
      <c r="Q29" s="4"/>
      <c r="R29" s="4"/>
      <c r="S29" s="4"/>
      <c r="T29" s="4"/>
      <c r="U29" s="4"/>
      <c r="V29" s="4"/>
      <c r="W29" s="4"/>
      <c r="X29" s="4"/>
      <c r="Y29" s="4"/>
      <c r="Z29" s="4"/>
      <c r="AA29" s="4"/>
      <c r="AB29" s="4"/>
      <c r="AC29" s="4"/>
      <c r="AD29" s="4"/>
      <c r="AE29" s="4"/>
      <c r="AF29" s="4"/>
      <c r="AG29" s="4"/>
    </row>
    <row r="30" ht="11.25" customHeight="1">
      <c r="A30" s="150" t="s">
        <v>348</v>
      </c>
      <c r="B30" s="4"/>
      <c r="C30" s="58"/>
      <c r="D30" s="305" t="str">
        <f>IF(Inc_St!D24+Inc_St!D46&gt;0,Inc_St!D22/(Inc_St!D24+Inc_St!D46),"N/A")</f>
        <v>#REF!</v>
      </c>
      <c r="E30" s="305" t="str">
        <f>IF(Inc_St!E24+Inc_St!E46&gt;0,Inc_St!E22/(Inc_St!E24+Inc_St!E46),"N/A")</f>
        <v>#REF!</v>
      </c>
      <c r="F30" s="305" t="str">
        <f>IF(Inc_St!F24+Inc_St!F46&gt;0,Inc_St!F22/(Inc_St!F24+Inc_St!F46),"N/A")</f>
        <v>#REF!</v>
      </c>
      <c r="G30" s="305" t="str">
        <f>IF(Inc_St!G24+Inc_St!G46&gt;0,Inc_St!G22/(Inc_St!G24+Inc_St!G46),"N/A")</f>
        <v>#REF!</v>
      </c>
      <c r="H30" s="305" t="str">
        <f>IF(Inc_St!H24+Inc_St!H46&gt;0,Inc_St!H22/(Inc_St!H24+Inc_St!H46),"N/A")</f>
        <v>#REF!</v>
      </c>
      <c r="I30" s="305" t="str">
        <f>IF(Inc_St!I24+Inc_St!I46&gt;0,Inc_St!I22/(Inc_St!I24+Inc_St!I46),"N/A")</f>
        <v>#REF!</v>
      </c>
      <c r="J30" s="305" t="str">
        <f>IF(Inc_St!J24+Inc_St!J46&gt;0,Inc_St!J22/(Inc_St!J24+Inc_St!J46),"N/A")</f>
        <v>#REF!</v>
      </c>
      <c r="K30" s="305" t="str">
        <f>IF(Inc_St!K24+Inc_St!K46&gt;0,Inc_St!K22/(Inc_St!K24+Inc_St!K46),"N/A")</f>
        <v>#REF!</v>
      </c>
      <c r="L30" s="305" t="str">
        <f>IF(Inc_St!L24+Inc_St!L46&gt;0,Inc_St!L22/(Inc_St!L24+Inc_St!L46),"N/A")</f>
        <v>#REF!</v>
      </c>
      <c r="M30" s="305" t="str">
        <f>IF(Inc_St!M24+Inc_St!M46&gt;0,Inc_St!M22/(Inc_St!M24+Inc_St!M46),"N/A")</f>
        <v>#REF!</v>
      </c>
      <c r="N30" s="305"/>
      <c r="O30" s="4"/>
      <c r="P30" s="4"/>
      <c r="Q30" s="4"/>
      <c r="R30" s="4"/>
      <c r="S30" s="4"/>
      <c r="T30" s="4"/>
      <c r="U30" s="4"/>
      <c r="V30" s="4"/>
      <c r="W30" s="4"/>
      <c r="X30" s="4"/>
      <c r="Y30" s="4"/>
      <c r="Z30" s="4"/>
      <c r="AA30" s="4"/>
      <c r="AB30" s="4"/>
      <c r="AC30" s="4"/>
      <c r="AD30" s="4"/>
      <c r="AE30" s="4"/>
      <c r="AF30" s="4"/>
      <c r="AG30" s="4"/>
    </row>
    <row r="31" ht="11.25" customHeight="1">
      <c r="A31" s="150"/>
      <c r="B31" s="4"/>
      <c r="C31" s="58"/>
      <c r="D31" s="305"/>
      <c r="E31" s="305"/>
      <c r="F31" s="305"/>
      <c r="G31" s="305"/>
      <c r="H31" s="305"/>
      <c r="I31" s="305"/>
      <c r="J31" s="305"/>
      <c r="K31" s="305"/>
      <c r="L31" s="305"/>
      <c r="M31" s="305"/>
      <c r="N31" s="305"/>
      <c r="O31" s="4"/>
      <c r="P31" s="4"/>
      <c r="Q31" s="4"/>
      <c r="R31" s="4"/>
      <c r="S31" s="4"/>
      <c r="T31" s="4"/>
      <c r="U31" s="4"/>
      <c r="V31" s="4"/>
      <c r="W31" s="4"/>
      <c r="X31" s="4"/>
      <c r="Y31" s="4"/>
      <c r="Z31" s="4"/>
      <c r="AA31" s="4"/>
      <c r="AB31" s="4"/>
      <c r="AC31" s="4"/>
      <c r="AD31" s="4"/>
      <c r="AE31" s="4"/>
      <c r="AF31" s="4"/>
      <c r="AG31" s="4"/>
    </row>
    <row r="32" ht="11.25" customHeight="1">
      <c r="A32" s="150"/>
      <c r="B32" s="4"/>
      <c r="C32" s="58"/>
      <c r="D32" s="305"/>
      <c r="E32" s="305"/>
      <c r="F32" s="305"/>
      <c r="G32" s="305"/>
      <c r="H32" s="305"/>
      <c r="I32" s="305"/>
      <c r="J32" s="305"/>
      <c r="K32" s="305"/>
      <c r="L32" s="305"/>
      <c r="M32" s="305"/>
      <c r="N32" s="305"/>
      <c r="O32" s="4"/>
      <c r="P32" s="4"/>
      <c r="Q32" s="4"/>
      <c r="R32" s="4"/>
      <c r="S32" s="4"/>
      <c r="T32" s="4"/>
      <c r="U32" s="4"/>
      <c r="V32" s="4"/>
      <c r="W32" s="4"/>
      <c r="X32" s="4"/>
      <c r="Y32" s="4"/>
      <c r="Z32" s="4"/>
      <c r="AA32" s="4"/>
      <c r="AB32" s="4"/>
      <c r="AC32" s="4"/>
      <c r="AD32" s="4"/>
      <c r="AE32" s="4"/>
      <c r="AF32" s="4"/>
      <c r="AG32" s="4"/>
    </row>
    <row r="33" ht="12.0" customHeight="1">
      <c r="A33" s="183" t="s">
        <v>349</v>
      </c>
      <c r="B33" s="4"/>
      <c r="C33" s="58"/>
      <c r="D33" s="305"/>
      <c r="E33" s="305"/>
      <c r="F33" s="305"/>
      <c r="G33" s="305"/>
      <c r="H33" s="305"/>
      <c r="I33" s="305"/>
      <c r="J33" s="305"/>
      <c r="K33" s="305"/>
      <c r="L33" s="305"/>
      <c r="M33" s="305"/>
      <c r="N33" s="305"/>
      <c r="O33" s="4"/>
      <c r="P33" s="4"/>
      <c r="Q33" s="4"/>
      <c r="R33" s="4"/>
      <c r="S33" s="4"/>
      <c r="T33" s="4"/>
      <c r="U33" s="4"/>
      <c r="V33" s="4"/>
      <c r="W33" s="4"/>
      <c r="X33" s="4"/>
      <c r="Y33" s="4"/>
      <c r="Z33" s="4"/>
      <c r="AA33" s="4"/>
      <c r="AB33" s="4"/>
      <c r="AC33" s="4"/>
      <c r="AD33" s="4"/>
      <c r="AE33" s="4"/>
      <c r="AF33" s="4"/>
      <c r="AG33" s="4"/>
    </row>
    <row r="34" ht="11.25" customHeight="1">
      <c r="A34" s="150" t="s">
        <v>350</v>
      </c>
      <c r="B34" s="4"/>
      <c r="C34" s="58"/>
      <c r="D34" s="305" t="str">
        <f>IF(OR(Bal_Sheet!F32&gt;0,Bal_Sheet!E32&gt;0),Inc_St!D8/AVERAGE(Bal_Sheet!F32,Bal_Sheet!E32),0)</f>
        <v>#REF!</v>
      </c>
      <c r="E34" s="305" t="str">
        <f>IF(OR(Bal_Sheet!G32&gt;0,Bal_Sheet!F32&gt;0),Inc_St!E8/AVERAGE(Bal_Sheet!G32,Bal_Sheet!F32),0)</f>
        <v>#REF!</v>
      </c>
      <c r="F34" s="305" t="str">
        <f>IF(OR(Bal_Sheet!H32&gt;0,Bal_Sheet!G32&gt;0),Inc_St!F8/AVERAGE(Bal_Sheet!H32,Bal_Sheet!G32),0)</f>
        <v>#REF!</v>
      </c>
      <c r="G34" s="305" t="str">
        <f>IF(OR(Bal_Sheet!I32&gt;0,Bal_Sheet!H32&gt;0),Inc_St!G8/AVERAGE(Bal_Sheet!I32,Bal_Sheet!H32),0)</f>
        <v>#REF!</v>
      </c>
      <c r="H34" s="305" t="str">
        <f>IF(OR(Bal_Sheet!J32&gt;0,Bal_Sheet!I32&gt;0),Inc_St!H8/AVERAGE(Bal_Sheet!J32,Bal_Sheet!I32),0)</f>
        <v>#REF!</v>
      </c>
      <c r="I34" s="305" t="str">
        <f>IF(OR(Bal_Sheet!K32&gt;0,Bal_Sheet!J32&gt;0),Inc_St!I8/AVERAGE(Bal_Sheet!K32,Bal_Sheet!J32),0)</f>
        <v>#REF!</v>
      </c>
      <c r="J34" s="305" t="str">
        <f>IF(OR(Bal_Sheet!L32&gt;0,Bal_Sheet!K32&gt;0),Inc_St!J8/AVERAGE(Bal_Sheet!L32,Bal_Sheet!K32),0)</f>
        <v>#REF!</v>
      </c>
      <c r="K34" s="305" t="str">
        <f>IF(OR(Bal_Sheet!M32&gt;0,Bal_Sheet!L32&gt;0),Inc_St!K8/AVERAGE(Bal_Sheet!M32,Bal_Sheet!L32),0)</f>
        <v>#REF!</v>
      </c>
      <c r="L34" s="305" t="str">
        <f>IF(OR(Bal_Sheet!N32&gt;0,Bal_Sheet!M32&gt;0),Inc_St!L8/AVERAGE(Bal_Sheet!N32,Bal_Sheet!M32),0)</f>
        <v>#REF!</v>
      </c>
      <c r="M34" s="305" t="str">
        <f>IF(OR(Bal_Sheet!O32&gt;0,Bal_Sheet!N32&gt;0),Inc_St!M8/AVERAGE(Bal_Sheet!O32,Bal_Sheet!N32),0)</f>
        <v>#REF!</v>
      </c>
      <c r="N34" s="305"/>
      <c r="O34" s="4"/>
      <c r="P34" s="4"/>
      <c r="Q34" s="4"/>
      <c r="R34" s="4"/>
      <c r="S34" s="4"/>
      <c r="T34" s="4"/>
      <c r="U34" s="4"/>
      <c r="V34" s="4"/>
      <c r="W34" s="4"/>
      <c r="X34" s="4"/>
      <c r="Y34" s="4"/>
      <c r="Z34" s="4"/>
      <c r="AA34" s="4"/>
      <c r="AB34" s="4"/>
      <c r="AC34" s="4"/>
      <c r="AD34" s="4"/>
      <c r="AE34" s="4"/>
      <c r="AF34" s="4"/>
      <c r="AG34" s="4"/>
    </row>
    <row r="35" ht="11.25" customHeight="1">
      <c r="A35" s="150" t="s">
        <v>351</v>
      </c>
      <c r="B35" s="4"/>
      <c r="C35" s="58"/>
      <c r="D35" s="305">
        <f>IF(OR(Bal_Sheet!F28&gt;0,Bal_Sheet!E28&gt;0),Inc_St!D8/AVERAGE(Bal_Sheet!F28,Bal_Sheet!E28),0)</f>
        <v>2.217395467</v>
      </c>
      <c r="E35" s="305">
        <f>IF(OR(Bal_Sheet!G28&gt;0,Bal_Sheet!F28&gt;0),Inc_St!E8/AVERAGE(Bal_Sheet!G28,Bal_Sheet!F28),0)</f>
        <v>2.271095616</v>
      </c>
      <c r="F35" s="305">
        <f>IF(OR(Bal_Sheet!H28&gt;0,Bal_Sheet!G28&gt;0),Inc_St!F8/AVERAGE(Bal_Sheet!H28,Bal_Sheet!G28),0)</f>
        <v>2.332833329</v>
      </c>
      <c r="G35" s="305">
        <f>IF(OR(Bal_Sheet!I28&gt;0,Bal_Sheet!H28&gt;0),Inc_St!G8/AVERAGE(Bal_Sheet!I28,Bal_Sheet!H28),0)</f>
        <v>2.394830249</v>
      </c>
      <c r="H35" s="305">
        <f>IF(OR(Bal_Sheet!J28&gt;0,Bal_Sheet!I28&gt;0),Inc_St!H8/AVERAGE(Bal_Sheet!J28,Bal_Sheet!I28),0)</f>
        <v>2.461791556</v>
      </c>
      <c r="I35" s="305">
        <f>IF(OR(Bal_Sheet!K28&gt;0,Bal_Sheet!J28&gt;0),Inc_St!I8/AVERAGE(Bal_Sheet!K28,Bal_Sheet!J28),0)</f>
        <v>2.530177063</v>
      </c>
      <c r="J35" s="305">
        <f>IF(OR(Bal_Sheet!L28&gt;0,Bal_Sheet!K28&gt;0),Inc_St!J8/AVERAGE(Bal_Sheet!L28,Bal_Sheet!K28),0)</f>
        <v>2.52694301</v>
      </c>
      <c r="K35" s="305">
        <f>IF(OR(Bal_Sheet!M28&gt;0,Bal_Sheet!L28&gt;0),Inc_St!K8/AVERAGE(Bal_Sheet!M28,Bal_Sheet!L28),0)</f>
        <v>2.471584813</v>
      </c>
      <c r="L35" s="305">
        <f>IF(OR(Bal_Sheet!N28&gt;0,Bal_Sheet!M28&gt;0),Inc_St!L8/AVERAGE(Bal_Sheet!N28,Bal_Sheet!M28),0)</f>
        <v>2.429334367</v>
      </c>
      <c r="M35" s="305">
        <f>IF(OR(Bal_Sheet!O28&gt;0,Bal_Sheet!N28&gt;0),Inc_St!M8/AVERAGE(Bal_Sheet!O28,Bal_Sheet!N28),0)</f>
        <v>2.402671607</v>
      </c>
      <c r="N35" s="305"/>
      <c r="O35" s="4"/>
      <c r="P35" s="4"/>
      <c r="Q35" s="4"/>
      <c r="R35" s="4"/>
      <c r="S35" s="4"/>
      <c r="T35" s="4"/>
      <c r="U35" s="4"/>
      <c r="V35" s="4"/>
      <c r="W35" s="4"/>
      <c r="X35" s="4"/>
      <c r="Y35" s="4"/>
      <c r="Z35" s="4"/>
      <c r="AA35" s="4"/>
      <c r="AB35" s="4"/>
      <c r="AC35" s="4"/>
      <c r="AD35" s="4"/>
      <c r="AE35" s="4"/>
      <c r="AF35" s="4"/>
      <c r="AG35" s="4"/>
    </row>
    <row r="36" ht="11.25" customHeight="1">
      <c r="A36" s="4"/>
      <c r="B36" s="4"/>
      <c r="C36" s="58"/>
      <c r="D36" s="305"/>
      <c r="E36" s="305"/>
      <c r="F36" s="305"/>
      <c r="G36" s="305"/>
      <c r="H36" s="305"/>
      <c r="I36" s="305"/>
      <c r="J36" s="305"/>
      <c r="K36" s="305"/>
      <c r="L36" s="305"/>
      <c r="M36" s="305"/>
      <c r="N36" s="305"/>
      <c r="O36" s="4"/>
      <c r="P36" s="4"/>
      <c r="Q36" s="4"/>
      <c r="R36" s="4"/>
      <c r="S36" s="4"/>
      <c r="T36" s="4"/>
      <c r="U36" s="4"/>
      <c r="V36" s="4"/>
      <c r="W36" s="4"/>
      <c r="X36" s="4"/>
      <c r="Y36" s="4"/>
      <c r="Z36" s="4"/>
      <c r="AA36" s="4"/>
      <c r="AB36" s="4"/>
      <c r="AC36" s="4"/>
      <c r="AD36" s="4"/>
      <c r="AE36" s="4"/>
      <c r="AF36" s="4"/>
      <c r="AG36" s="4"/>
    </row>
    <row r="37" ht="11.25" customHeight="1">
      <c r="A37" s="4"/>
      <c r="B37" s="4"/>
      <c r="C37" s="58"/>
      <c r="D37" s="305"/>
      <c r="E37" s="305"/>
      <c r="F37" s="305"/>
      <c r="G37" s="305"/>
      <c r="H37" s="305"/>
      <c r="I37" s="305"/>
      <c r="J37" s="305"/>
      <c r="K37" s="305"/>
      <c r="L37" s="305"/>
      <c r="M37" s="305"/>
      <c r="N37" s="305"/>
      <c r="O37" s="4"/>
      <c r="P37" s="4"/>
      <c r="Q37" s="4"/>
      <c r="R37" s="4"/>
      <c r="S37" s="4"/>
      <c r="T37" s="4"/>
      <c r="U37" s="4"/>
      <c r="V37" s="4"/>
      <c r="W37" s="4"/>
      <c r="X37" s="4"/>
      <c r="Y37" s="4"/>
      <c r="Z37" s="4"/>
      <c r="AA37" s="4"/>
      <c r="AB37" s="4"/>
      <c r="AC37" s="4"/>
      <c r="AD37" s="4"/>
      <c r="AE37" s="4"/>
      <c r="AF37" s="4"/>
      <c r="AG37" s="4"/>
    </row>
    <row r="38" ht="12.0" customHeight="1">
      <c r="A38" s="149" t="s">
        <v>352</v>
      </c>
      <c r="B38" s="4"/>
      <c r="C38" s="58"/>
      <c r="D38" s="305"/>
      <c r="E38" s="305"/>
      <c r="F38" s="305"/>
      <c r="G38" s="305"/>
      <c r="H38" s="305"/>
      <c r="I38" s="305"/>
      <c r="J38" s="305"/>
      <c r="K38" s="305"/>
      <c r="L38" s="305"/>
      <c r="M38" s="305"/>
      <c r="N38" s="305"/>
      <c r="O38" s="4"/>
      <c r="P38" s="4"/>
      <c r="Q38" s="4"/>
      <c r="R38" s="4"/>
      <c r="S38" s="4"/>
      <c r="T38" s="4"/>
      <c r="U38" s="4"/>
      <c r="V38" s="4"/>
      <c r="W38" s="4"/>
      <c r="X38" s="4"/>
      <c r="Y38" s="4"/>
      <c r="Z38" s="4"/>
      <c r="AA38" s="4"/>
      <c r="AB38" s="4"/>
      <c r="AC38" s="4"/>
      <c r="AD38" s="4"/>
      <c r="AE38" s="4"/>
      <c r="AF38" s="4"/>
      <c r="AG38" s="4"/>
    </row>
    <row r="39" ht="11.25" customHeight="1">
      <c r="A39" s="150" t="s">
        <v>353</v>
      </c>
      <c r="B39" s="4"/>
      <c r="C39" s="58"/>
      <c r="D39" s="305">
        <f>IF(OR(Bal_Sheet!F12&gt;0,Bal_Sheet!E12&gt;0),Inc_St!D10/AVERAGE(Bal_Sheet!F12,Bal_Sheet!E12),"N/A")</f>
        <v>5.076949113</v>
      </c>
      <c r="E39" s="305">
        <f>IF(OR(Bal_Sheet!G12&gt;0,Bal_Sheet!F12&gt;0),Inc_St!E10/AVERAGE(Bal_Sheet!G12,Bal_Sheet!F12),"N/A")</f>
        <v>5.136571551</v>
      </c>
      <c r="F39" s="305">
        <f>IF(OR(Bal_Sheet!H12&gt;0,Bal_Sheet!G12&gt;0),Inc_St!F10/AVERAGE(Bal_Sheet!H12,Bal_Sheet!G12),"N/A")</f>
        <v>4.939011107</v>
      </c>
      <c r="G39" s="305">
        <f>IF(OR(Bal_Sheet!I12&gt;0,Bal_Sheet!H12&gt;0),Inc_St!G10/AVERAGE(Bal_Sheet!I12,Bal_Sheet!H12),"N/A")</f>
        <v>4.749049141</v>
      </c>
      <c r="H39" s="305">
        <f>IF(OR(Bal_Sheet!J12&gt;0,Bal_Sheet!I12&gt;0),Inc_St!H10/AVERAGE(Bal_Sheet!J12,Bal_Sheet!I12),"N/A")</f>
        <v>4.566393405</v>
      </c>
      <c r="I39" s="305">
        <f>IF(OR(Bal_Sheet!K12&gt;0,Bal_Sheet!J12&gt;0),Inc_St!I10/AVERAGE(Bal_Sheet!K12,Bal_Sheet!J12),"N/A")</f>
        <v>4.390762889</v>
      </c>
      <c r="J39" s="305">
        <f>IF(OR(Bal_Sheet!L12&gt;0,Bal_Sheet!K12&gt;0),Inc_St!J10/AVERAGE(Bal_Sheet!L12,Bal_Sheet!K12),"N/A")</f>
        <v>4.221887394</v>
      </c>
      <c r="K39" s="305">
        <f>IF(OR(Bal_Sheet!M12&gt;0,Bal_Sheet!L12&gt;0),Inc_St!K10/AVERAGE(Bal_Sheet!M12,Bal_Sheet!L12),"N/A")</f>
        <v>4.059507109</v>
      </c>
      <c r="L39" s="305">
        <f>IF(OR(Bal_Sheet!N12&gt;0,Bal_Sheet!M12&gt;0),Inc_St!L10/AVERAGE(Bal_Sheet!N12,Bal_Sheet!M12),"N/A")</f>
        <v>3.90337222</v>
      </c>
      <c r="M39" s="305">
        <f>IF(OR(Bal_Sheet!O12&gt;0,Bal_Sheet!N12&gt;0),Inc_St!M10/AVERAGE(Bal_Sheet!O12,Bal_Sheet!N12),"N/A")</f>
        <v>3.75324252</v>
      </c>
      <c r="N39" s="305"/>
      <c r="O39" s="4"/>
      <c r="P39" s="4"/>
      <c r="Q39" s="4"/>
      <c r="R39" s="4"/>
      <c r="S39" s="4"/>
      <c r="T39" s="4"/>
      <c r="U39" s="4"/>
      <c r="V39" s="4"/>
      <c r="W39" s="4"/>
      <c r="X39" s="4"/>
      <c r="Y39" s="4"/>
      <c r="Z39" s="4"/>
      <c r="AA39" s="4"/>
      <c r="AB39" s="4"/>
      <c r="AC39" s="4"/>
      <c r="AD39" s="4"/>
      <c r="AE39" s="4"/>
      <c r="AF39" s="4"/>
      <c r="AG39" s="4"/>
    </row>
    <row r="40" ht="11.25" customHeight="1">
      <c r="A40" s="150" t="s">
        <v>354</v>
      </c>
      <c r="B40" s="4"/>
      <c r="C40" s="58"/>
      <c r="D40" s="305">
        <f>IF(OR(Bal_Sheet!F11&gt;0,Bal_Sheet!E11&gt;0),Inc_St!D8/AVERAGE(Bal_Sheet!F11,Bal_Sheet!E11),"N/A")</f>
        <v>7.77385159</v>
      </c>
      <c r="E40" s="305">
        <f>IF(OR(Bal_Sheet!G11&gt;0,Bal_Sheet!F11&gt;0),Inc_St!E8/AVERAGE(Bal_Sheet!G11,Bal_Sheet!F11),"N/A")</f>
        <v>5.671564836</v>
      </c>
      <c r="F40" s="305">
        <f>IF(OR(Bal_Sheet!H11&gt;0,Bal_Sheet!G11&gt;0),Inc_St!F8/AVERAGE(Bal_Sheet!H11,Bal_Sheet!G11),"N/A")</f>
        <v>5.40149032</v>
      </c>
      <c r="G40" s="305">
        <f>IF(OR(Bal_Sheet!I11&gt;0,Bal_Sheet!H11&gt;0),Inc_St!G8/AVERAGE(Bal_Sheet!I11,Bal_Sheet!H11),"N/A")</f>
        <v>5.144276496</v>
      </c>
      <c r="H40" s="305">
        <f>IF(OR(Bal_Sheet!J11&gt;0,Bal_Sheet!I11&gt;0),Inc_St!H8/AVERAGE(Bal_Sheet!J11,Bal_Sheet!I11),"N/A")</f>
        <v>4.899310948</v>
      </c>
      <c r="I40" s="305">
        <f>IF(OR(Bal_Sheet!K11&gt;0,Bal_Sheet!J11&gt;0),Inc_St!I8/AVERAGE(Bal_Sheet!K11,Bal_Sheet!J11),"N/A")</f>
        <v>4.666010427</v>
      </c>
      <c r="J40" s="305">
        <f>IF(OR(Bal_Sheet!L11&gt;0,Bal_Sheet!K11&gt;0),Inc_St!J8/AVERAGE(Bal_Sheet!L11,Bal_Sheet!K11),"N/A")</f>
        <v>4.443819454</v>
      </c>
      <c r="K40" s="305">
        <f>IF(OR(Bal_Sheet!M11&gt;0,Bal_Sheet!L11&gt;0),Inc_St!K8/AVERAGE(Bal_Sheet!M11,Bal_Sheet!L11),"N/A")</f>
        <v>4.232209004</v>
      </c>
      <c r="L40" s="305">
        <f>IF(OR(Bal_Sheet!N11&gt;0,Bal_Sheet!M11&gt;0),Inc_St!L8/AVERAGE(Bal_Sheet!N11,Bal_Sheet!M11),"N/A")</f>
        <v>4.030675242</v>
      </c>
      <c r="M40" s="305">
        <f>IF(OR(Bal_Sheet!O11&gt;0,Bal_Sheet!N11&gt;0),Inc_St!M8/AVERAGE(Bal_Sheet!O11,Bal_Sheet!N11),"N/A")</f>
        <v>3.838738326</v>
      </c>
      <c r="N40" s="305"/>
      <c r="O40" s="4"/>
      <c r="P40" s="4"/>
      <c r="Q40" s="4"/>
      <c r="R40" s="4"/>
      <c r="S40" s="4"/>
      <c r="T40" s="4"/>
      <c r="U40" s="4"/>
      <c r="V40" s="4"/>
      <c r="W40" s="4"/>
      <c r="X40" s="4"/>
      <c r="Y40" s="4"/>
      <c r="Z40" s="4"/>
      <c r="AA40" s="4"/>
      <c r="AB40" s="4"/>
      <c r="AC40" s="4"/>
      <c r="AD40" s="4"/>
      <c r="AE40" s="4"/>
      <c r="AF40" s="4"/>
      <c r="AG40" s="4"/>
    </row>
    <row r="41" ht="11.25" customHeight="1">
      <c r="A41" s="150" t="s">
        <v>355</v>
      </c>
      <c r="B41" s="4"/>
      <c r="C41" s="58"/>
      <c r="D41" s="305">
        <f>IF(OR(Bal_Sheet!F38&gt;0,Bal_Sheet!E38&gt;0),(Inc_St!D10+Bal_Sheet!F12-Bal_Sheet!E12)/AVERAGE(Bal_Sheet!F38,Bal_Sheet!E38),"N/A")</f>
        <v>7.873524261</v>
      </c>
      <c r="E41" s="305">
        <f>IF(OR(Bal_Sheet!G38&gt;0,Bal_Sheet!F38&gt;0),(Inc_St!E10+Bal_Sheet!G12-Bal_Sheet!F12)/AVERAGE(Bal_Sheet!G38,Bal_Sheet!F38),"N/A")</f>
        <v>6.985732563</v>
      </c>
      <c r="F41" s="305">
        <f>IF(OR(Bal_Sheet!H38&gt;0,Bal_Sheet!G38&gt;0),(Inc_St!F10+Bal_Sheet!H12-Bal_Sheet!G12)/AVERAGE(Bal_Sheet!H38,Bal_Sheet!G38),"N/A")</f>
        <v>6.787478948</v>
      </c>
      <c r="G41" s="305">
        <f>IF(OR(Bal_Sheet!I38&gt;0,Bal_Sheet!H38&gt;0),(Inc_St!G10+Bal_Sheet!I12-Bal_Sheet!H12)/AVERAGE(Bal_Sheet!I38,Bal_Sheet!H38),"N/A")</f>
        <v>6.65451742</v>
      </c>
      <c r="H41" s="305">
        <f>IF(OR(Bal_Sheet!J38&gt;0,Bal_Sheet!I38&gt;0),(Inc_St!H10+Bal_Sheet!J12-Bal_Sheet!I12)/AVERAGE(Bal_Sheet!J38,Bal_Sheet!I38),"N/A")</f>
        <v>6.52416518</v>
      </c>
      <c r="I41" s="305">
        <f>IF(OR(Bal_Sheet!K38&gt;0,Bal_Sheet!J38&gt;0),(Inc_St!I10+Bal_Sheet!K12-Bal_Sheet!J12)/AVERAGE(Bal_Sheet!K38,Bal_Sheet!J38),"N/A")</f>
        <v>6.396371091</v>
      </c>
      <c r="J41" s="305">
        <f>IF(OR(Bal_Sheet!L38&gt;0,Bal_Sheet!K38&gt;0),(Inc_St!J10+Bal_Sheet!L12-Bal_Sheet!K12)/AVERAGE(Bal_Sheet!L38,Bal_Sheet!K38),"N/A")</f>
        <v>6.271085023</v>
      </c>
      <c r="K41" s="305">
        <f>IF(OR(Bal_Sheet!M38&gt;0,Bal_Sheet!L38&gt;0),(Inc_St!K10+Bal_Sheet!M12-Bal_Sheet!L12)/AVERAGE(Bal_Sheet!M38,Bal_Sheet!L38),"N/A")</f>
        <v>6.148257823</v>
      </c>
      <c r="L41" s="305">
        <f>IF(OR(Bal_Sheet!N38&gt;0,Bal_Sheet!M38&gt;0),(Inc_St!L10+Bal_Sheet!N12-Bal_Sheet!M12)/AVERAGE(Bal_Sheet!N38,Bal_Sheet!M38),"N/A")</f>
        <v>6.027841306</v>
      </c>
      <c r="M41" s="305">
        <f>IF(OR(Bal_Sheet!O38&gt;0,Bal_Sheet!N38&gt;0),(Inc_St!M10+Bal_Sheet!O12-Bal_Sheet!N12)/AVERAGE(Bal_Sheet!O38,Bal_Sheet!N38),"N/A")</f>
        <v>5.909788229</v>
      </c>
      <c r="N41" s="305"/>
      <c r="O41" s="4"/>
      <c r="P41" s="4"/>
      <c r="Q41" s="4"/>
      <c r="R41" s="4"/>
      <c r="S41" s="4"/>
      <c r="T41" s="4"/>
      <c r="U41" s="4"/>
      <c r="V41" s="4"/>
      <c r="W41" s="4"/>
      <c r="X41" s="4"/>
      <c r="Y41" s="4"/>
      <c r="Z41" s="4"/>
      <c r="AA41" s="4"/>
      <c r="AB41" s="4"/>
      <c r="AC41" s="4"/>
      <c r="AD41" s="4"/>
      <c r="AE41" s="4"/>
      <c r="AF41" s="4"/>
      <c r="AG41" s="4"/>
    </row>
    <row r="42" ht="11.25" customHeight="1">
      <c r="A42" s="150" t="s">
        <v>356</v>
      </c>
      <c r="B42" s="4"/>
      <c r="C42" s="58"/>
      <c r="D42" s="306">
        <f t="shared" ref="D42:M42" si="3">IF(OR(D39="N/A",D39=0),"N/A",365/D39)</f>
        <v>71.89357071</v>
      </c>
      <c r="E42" s="306">
        <f t="shared" si="3"/>
        <v>71.05907051</v>
      </c>
      <c r="F42" s="306">
        <f t="shared" si="3"/>
        <v>73.90143333</v>
      </c>
      <c r="G42" s="306">
        <f t="shared" si="3"/>
        <v>76.85749066</v>
      </c>
      <c r="H42" s="306">
        <f t="shared" si="3"/>
        <v>79.93179029</v>
      </c>
      <c r="I42" s="306">
        <f t="shared" si="3"/>
        <v>83.1290619</v>
      </c>
      <c r="J42" s="306">
        <f t="shared" si="3"/>
        <v>86.45422437</v>
      </c>
      <c r="K42" s="306">
        <f t="shared" si="3"/>
        <v>89.91239335</v>
      </c>
      <c r="L42" s="306">
        <f t="shared" si="3"/>
        <v>93.50888908</v>
      </c>
      <c r="M42" s="306">
        <f t="shared" si="3"/>
        <v>97.24924464</v>
      </c>
      <c r="N42" s="305"/>
      <c r="O42" s="4"/>
      <c r="P42" s="4"/>
      <c r="Q42" s="4"/>
      <c r="R42" s="4"/>
      <c r="S42" s="4"/>
      <c r="T42" s="4"/>
      <c r="U42" s="4"/>
      <c r="V42" s="4"/>
      <c r="W42" s="4"/>
      <c r="X42" s="4"/>
      <c r="Y42" s="4"/>
      <c r="Z42" s="4"/>
      <c r="AA42" s="4"/>
      <c r="AB42" s="4"/>
      <c r="AC42" s="4"/>
      <c r="AD42" s="4"/>
      <c r="AE42" s="4"/>
      <c r="AF42" s="4"/>
      <c r="AG42" s="4"/>
    </row>
    <row r="43" ht="11.25" customHeight="1">
      <c r="A43" s="150" t="s">
        <v>357</v>
      </c>
      <c r="B43" s="4"/>
      <c r="C43" s="4"/>
      <c r="D43" s="306">
        <f t="shared" ref="D43:M43" si="4">IF(OR(D40="N/A",D40=0),"N/A",365/D40)</f>
        <v>46.95227273</v>
      </c>
      <c r="E43" s="306">
        <f t="shared" si="4"/>
        <v>64.35613636</v>
      </c>
      <c r="F43" s="306">
        <f t="shared" si="4"/>
        <v>67.57394318</v>
      </c>
      <c r="G43" s="306">
        <f t="shared" si="4"/>
        <v>70.95264034</v>
      </c>
      <c r="H43" s="306">
        <f t="shared" si="4"/>
        <v>74.50027236</v>
      </c>
      <c r="I43" s="306">
        <f t="shared" si="4"/>
        <v>78.22528598</v>
      </c>
      <c r="J43" s="306">
        <f t="shared" si="4"/>
        <v>82.13655027</v>
      </c>
      <c r="K43" s="306">
        <f t="shared" si="4"/>
        <v>86.24337779</v>
      </c>
      <c r="L43" s="306">
        <f t="shared" si="4"/>
        <v>90.55554668</v>
      </c>
      <c r="M43" s="306">
        <f t="shared" si="4"/>
        <v>95.08332401</v>
      </c>
      <c r="N43" s="305"/>
      <c r="O43" s="4"/>
      <c r="P43" s="4"/>
      <c r="Q43" s="4"/>
      <c r="R43" s="4"/>
      <c r="S43" s="4"/>
      <c r="T43" s="4"/>
      <c r="U43" s="4"/>
      <c r="V43" s="4"/>
      <c r="W43" s="4"/>
      <c r="X43" s="4"/>
      <c r="Y43" s="4"/>
      <c r="Z43" s="4"/>
      <c r="AA43" s="4"/>
      <c r="AB43" s="4"/>
      <c r="AC43" s="4"/>
      <c r="AD43" s="4"/>
      <c r="AE43" s="4"/>
      <c r="AF43" s="4"/>
      <c r="AG43" s="4"/>
    </row>
    <row r="44" ht="11.25" customHeight="1">
      <c r="A44" s="150" t="s">
        <v>358</v>
      </c>
      <c r="B44" s="4"/>
      <c r="C44" s="4"/>
      <c r="D44" s="306">
        <f t="shared" ref="D44:M44" si="5">IF(OR(D41="N/A",D41=0),"N/A",365/D41)</f>
        <v>46.35789361</v>
      </c>
      <c r="E44" s="306">
        <f t="shared" si="5"/>
        <v>52.24935205</v>
      </c>
      <c r="F44" s="306">
        <f t="shared" si="5"/>
        <v>53.77548907</v>
      </c>
      <c r="G44" s="306">
        <f t="shared" si="5"/>
        <v>54.84995785</v>
      </c>
      <c r="H44" s="306">
        <f t="shared" si="5"/>
        <v>55.94585513</v>
      </c>
      <c r="I44" s="306">
        <f t="shared" si="5"/>
        <v>57.06360603</v>
      </c>
      <c r="J44" s="306">
        <f t="shared" si="5"/>
        <v>58.20364397</v>
      </c>
      <c r="K44" s="306">
        <f t="shared" si="5"/>
        <v>59.36641086</v>
      </c>
      <c r="L44" s="306">
        <f t="shared" si="5"/>
        <v>60.55235721</v>
      </c>
      <c r="M44" s="306">
        <f t="shared" si="5"/>
        <v>61.76194237</v>
      </c>
      <c r="N44" s="305"/>
      <c r="O44" s="4"/>
      <c r="P44" s="4"/>
      <c r="Q44" s="4"/>
      <c r="R44" s="4"/>
      <c r="S44" s="4"/>
      <c r="T44" s="4"/>
      <c r="U44" s="4"/>
      <c r="V44" s="4"/>
      <c r="W44" s="4"/>
      <c r="X44" s="4"/>
      <c r="Y44" s="4"/>
      <c r="Z44" s="4"/>
      <c r="AA44" s="4"/>
      <c r="AB44" s="4"/>
      <c r="AC44" s="4"/>
      <c r="AD44" s="4"/>
      <c r="AE44" s="4"/>
      <c r="AF44" s="4"/>
      <c r="AG44" s="4"/>
    </row>
    <row r="45" ht="11.25" customHeight="1">
      <c r="A45" s="4"/>
      <c r="B45" s="4"/>
      <c r="C45" s="58"/>
      <c r="D45" s="305"/>
      <c r="E45" s="305"/>
      <c r="F45" s="305"/>
      <c r="G45" s="305"/>
      <c r="H45" s="305"/>
      <c r="I45" s="305"/>
      <c r="J45" s="305"/>
      <c r="K45" s="305"/>
      <c r="L45" s="305"/>
      <c r="M45" s="305"/>
      <c r="N45" s="305"/>
      <c r="O45" s="4"/>
      <c r="P45" s="4"/>
      <c r="Q45" s="4"/>
      <c r="R45" s="4"/>
      <c r="S45" s="4"/>
      <c r="T45" s="4"/>
      <c r="U45" s="4"/>
      <c r="V45" s="4"/>
      <c r="W45" s="4"/>
      <c r="X45" s="4"/>
      <c r="Y45" s="4"/>
      <c r="Z45" s="4"/>
      <c r="AA45" s="4"/>
      <c r="AB45" s="4"/>
      <c r="AC45" s="4"/>
      <c r="AD45" s="4"/>
      <c r="AE45" s="4"/>
      <c r="AF45" s="4"/>
      <c r="AG45" s="4"/>
    </row>
    <row r="46" ht="11.25" customHeight="1">
      <c r="A46" s="4"/>
      <c r="B46" s="4"/>
      <c r="C46" s="58"/>
      <c r="D46" s="305"/>
      <c r="E46" s="305"/>
      <c r="F46" s="305"/>
      <c r="G46" s="305"/>
      <c r="H46" s="305"/>
      <c r="I46" s="305"/>
      <c r="J46" s="305"/>
      <c r="K46" s="305"/>
      <c r="L46" s="305"/>
      <c r="M46" s="305"/>
      <c r="N46" s="305"/>
      <c r="O46" s="4"/>
      <c r="P46" s="4"/>
      <c r="Q46" s="4"/>
      <c r="R46" s="4"/>
      <c r="S46" s="4"/>
      <c r="T46" s="4"/>
      <c r="U46" s="4"/>
      <c r="V46" s="4"/>
      <c r="W46" s="4"/>
      <c r="X46" s="4"/>
      <c r="Y46" s="4"/>
      <c r="Z46" s="4"/>
      <c r="AA46" s="4"/>
      <c r="AB46" s="4"/>
      <c r="AC46" s="4"/>
      <c r="AD46" s="4"/>
      <c r="AE46" s="4"/>
      <c r="AF46" s="4"/>
      <c r="AG46" s="4"/>
    </row>
    <row r="47" ht="12.0" customHeight="1">
      <c r="A47" s="149" t="s">
        <v>359</v>
      </c>
      <c r="B47" s="4"/>
      <c r="C47" s="58"/>
      <c r="D47" s="305"/>
      <c r="E47" s="305"/>
      <c r="F47" s="305"/>
      <c r="G47" s="305"/>
      <c r="H47" s="305"/>
      <c r="I47" s="305"/>
      <c r="J47" s="305"/>
      <c r="K47" s="305"/>
      <c r="L47" s="305"/>
      <c r="M47" s="305"/>
      <c r="N47" s="305"/>
      <c r="O47" s="4"/>
      <c r="P47" s="4"/>
      <c r="Q47" s="4"/>
      <c r="R47" s="4"/>
      <c r="S47" s="4"/>
      <c r="T47" s="4"/>
      <c r="U47" s="4"/>
      <c r="V47" s="4"/>
      <c r="W47" s="4"/>
      <c r="X47" s="4"/>
      <c r="Y47" s="4"/>
      <c r="Z47" s="4"/>
      <c r="AA47" s="4"/>
      <c r="AB47" s="4"/>
      <c r="AC47" s="4"/>
      <c r="AD47" s="4"/>
      <c r="AE47" s="4"/>
      <c r="AF47" s="4"/>
      <c r="AG47" s="4"/>
    </row>
    <row r="48" ht="11.25" customHeight="1">
      <c r="A48" s="150" t="s">
        <v>360</v>
      </c>
      <c r="B48" s="4"/>
      <c r="C48" s="58"/>
      <c r="D48" s="305" t="str">
        <f>IF(Bal_Sheet!F42&gt;0,Bal_Sheet!F16/Bal_Sheet!F42,"N/A")</f>
        <v>#REF!</v>
      </c>
      <c r="E48" s="305" t="str">
        <f>IF(Bal_Sheet!G42&gt;0,Bal_Sheet!G16/Bal_Sheet!G42,"N/A")</f>
        <v>#REF!</v>
      </c>
      <c r="F48" s="305" t="str">
        <f>IF(Bal_Sheet!H42&gt;0,Bal_Sheet!H16/Bal_Sheet!H42,"N/A")</f>
        <v>#REF!</v>
      </c>
      <c r="G48" s="305" t="str">
        <f>IF(Bal_Sheet!I42&gt;0,Bal_Sheet!I16/Bal_Sheet!I42,"N/A")</f>
        <v>#REF!</v>
      </c>
      <c r="H48" s="305" t="str">
        <f>IF(Bal_Sheet!J42&gt;0,Bal_Sheet!J16/Bal_Sheet!J42,"N/A")</f>
        <v>#REF!</v>
      </c>
      <c r="I48" s="305" t="str">
        <f>IF(Bal_Sheet!K42&gt;0,Bal_Sheet!K16/Bal_Sheet!K42,"N/A")</f>
        <v>#REF!</v>
      </c>
      <c r="J48" s="305" t="str">
        <f>IF(Bal_Sheet!L42&gt;0,Bal_Sheet!L16/Bal_Sheet!L42,"N/A")</f>
        <v>#REF!</v>
      </c>
      <c r="K48" s="305" t="str">
        <f>IF(Bal_Sheet!M42&gt;0,Bal_Sheet!M16/Bal_Sheet!M42,"N/A")</f>
        <v>#REF!</v>
      </c>
      <c r="L48" s="305" t="str">
        <f>IF(Bal_Sheet!N42&gt;0,Bal_Sheet!N16/Bal_Sheet!N42,"N/A")</f>
        <v>#REF!</v>
      </c>
      <c r="M48" s="305" t="str">
        <f>IF(Bal_Sheet!O42&gt;0,Bal_Sheet!O16/Bal_Sheet!O42,"N/A")</f>
        <v>#REF!</v>
      </c>
      <c r="N48" s="305"/>
      <c r="O48" s="4"/>
      <c r="P48" s="4"/>
      <c r="Q48" s="4"/>
      <c r="R48" s="4"/>
      <c r="S48" s="4"/>
      <c r="T48" s="4"/>
      <c r="U48" s="4"/>
      <c r="V48" s="4"/>
      <c r="W48" s="4"/>
      <c r="X48" s="4"/>
      <c r="Y48" s="4"/>
      <c r="Z48" s="4"/>
      <c r="AA48" s="4"/>
      <c r="AB48" s="4"/>
      <c r="AC48" s="4"/>
      <c r="AD48" s="4"/>
      <c r="AE48" s="4"/>
      <c r="AF48" s="4"/>
      <c r="AG48" s="4"/>
    </row>
    <row r="49" ht="11.25" customHeight="1">
      <c r="A49" s="150" t="s">
        <v>361</v>
      </c>
      <c r="B49" s="4"/>
      <c r="C49" s="58"/>
      <c r="D49" s="305" t="str">
        <f>IF(Bal_Sheet!F42&gt;0,(Bal_Sheet!F10+Bal_Sheet!F11)/Bal_Sheet!F42,"N/A")</f>
        <v>#REF!</v>
      </c>
      <c r="E49" s="305" t="str">
        <f>IF(Bal_Sheet!G42&gt;0,(Bal_Sheet!G10+Bal_Sheet!G11)/Bal_Sheet!G42,"N/A")</f>
        <v>#REF!</v>
      </c>
      <c r="F49" s="305" t="str">
        <f>IF(Bal_Sheet!H42&gt;0,(Bal_Sheet!H10+Bal_Sheet!H11)/Bal_Sheet!H42,"N/A")</f>
        <v>#REF!</v>
      </c>
      <c r="G49" s="305" t="str">
        <f>IF(Bal_Sheet!I42&gt;0,(Bal_Sheet!I10+Bal_Sheet!I11)/Bal_Sheet!I42,"N/A")</f>
        <v>#REF!</v>
      </c>
      <c r="H49" s="305" t="str">
        <f>IF(Bal_Sheet!J42&gt;0,(Bal_Sheet!J10+Bal_Sheet!J11)/Bal_Sheet!J42,"N/A")</f>
        <v>#REF!</v>
      </c>
      <c r="I49" s="305" t="str">
        <f>IF(Bal_Sheet!K42&gt;0,(Bal_Sheet!K10+Bal_Sheet!K11)/Bal_Sheet!K42,"N/A")</f>
        <v>#REF!</v>
      </c>
      <c r="J49" s="305" t="str">
        <f>IF(Bal_Sheet!L42&gt;0,(Bal_Sheet!L10+Bal_Sheet!L11)/Bal_Sheet!L42,"N/A")</f>
        <v>#REF!</v>
      </c>
      <c r="K49" s="305" t="str">
        <f>IF(Bal_Sheet!M42&gt;0,(Bal_Sheet!M10+Bal_Sheet!M11)/Bal_Sheet!M42,"N/A")</f>
        <v>#REF!</v>
      </c>
      <c r="L49" s="305" t="str">
        <f>IF(Bal_Sheet!N42&gt;0,(Bal_Sheet!N10+Bal_Sheet!N11)/Bal_Sheet!N42,"N/A")</f>
        <v>#REF!</v>
      </c>
      <c r="M49" s="305" t="str">
        <f>IF(Bal_Sheet!O42&gt;0,(Bal_Sheet!O10+Bal_Sheet!O11)/Bal_Sheet!O42,"N/A")</f>
        <v>#REF!</v>
      </c>
      <c r="N49" s="305"/>
      <c r="O49" s="4"/>
      <c r="P49" s="4"/>
      <c r="Q49" s="4"/>
      <c r="R49" s="4"/>
      <c r="S49" s="4"/>
      <c r="T49" s="4"/>
      <c r="U49" s="4"/>
      <c r="V49" s="4"/>
      <c r="W49" s="4"/>
      <c r="X49" s="4"/>
      <c r="Y49" s="4"/>
      <c r="Z49" s="4"/>
      <c r="AA49" s="4"/>
      <c r="AB49" s="4"/>
      <c r="AC49" s="4"/>
      <c r="AD49" s="4"/>
      <c r="AE49" s="4"/>
      <c r="AF49" s="4"/>
      <c r="AG49" s="4"/>
    </row>
    <row r="50" ht="11.25" customHeight="1">
      <c r="A50" s="4"/>
      <c r="B50" s="4"/>
      <c r="C50" s="58"/>
      <c r="D50" s="305"/>
      <c r="E50" s="305"/>
      <c r="F50" s="305"/>
      <c r="G50" s="305"/>
      <c r="H50" s="305"/>
      <c r="I50" s="305"/>
      <c r="J50" s="305"/>
      <c r="K50" s="305"/>
      <c r="L50" s="305"/>
      <c r="M50" s="305"/>
      <c r="N50" s="305"/>
      <c r="O50" s="4"/>
      <c r="P50" s="4"/>
      <c r="Q50" s="4"/>
      <c r="R50" s="4"/>
      <c r="S50" s="4"/>
      <c r="T50" s="4"/>
      <c r="U50" s="4"/>
      <c r="V50" s="4"/>
      <c r="W50" s="4"/>
      <c r="X50" s="4"/>
      <c r="Y50" s="4"/>
      <c r="Z50" s="4"/>
      <c r="AA50" s="4"/>
      <c r="AB50" s="4"/>
      <c r="AC50" s="4"/>
      <c r="AD50" s="4"/>
      <c r="AE50" s="4"/>
      <c r="AF50" s="4"/>
      <c r="AG50" s="4"/>
    </row>
    <row r="51" ht="11.25" customHeight="1">
      <c r="A51" s="4"/>
      <c r="B51" s="4"/>
      <c r="C51" s="58"/>
      <c r="D51" s="146"/>
      <c r="E51" s="146"/>
      <c r="F51" s="146"/>
      <c r="G51" s="146"/>
      <c r="H51" s="146"/>
      <c r="I51" s="146"/>
      <c r="J51" s="146"/>
      <c r="K51" s="146"/>
      <c r="L51" s="146"/>
      <c r="M51" s="146"/>
      <c r="N51" s="146"/>
      <c r="O51" s="4"/>
      <c r="P51" s="4"/>
      <c r="Q51" s="4"/>
      <c r="R51" s="4"/>
      <c r="S51" s="4"/>
      <c r="T51" s="4"/>
      <c r="U51" s="4"/>
      <c r="V51" s="4"/>
      <c r="W51" s="4"/>
      <c r="X51" s="4"/>
      <c r="Y51" s="4"/>
      <c r="Z51" s="4"/>
      <c r="AA51" s="4"/>
      <c r="AB51" s="4"/>
      <c r="AC51" s="4"/>
      <c r="AD51" s="4"/>
      <c r="AE51" s="4"/>
      <c r="AF51" s="4"/>
      <c r="AG51" s="4"/>
    </row>
    <row r="52" ht="12.0" customHeight="1">
      <c r="A52" s="149" t="s">
        <v>362</v>
      </c>
      <c r="B52" s="4"/>
      <c r="C52" s="58"/>
      <c r="D52" s="146"/>
      <c r="E52" s="146"/>
      <c r="F52" s="146"/>
      <c r="G52" s="146"/>
      <c r="H52" s="146"/>
      <c r="I52" s="146"/>
      <c r="J52" s="146"/>
      <c r="K52" s="146"/>
      <c r="L52" s="146"/>
      <c r="M52" s="146"/>
      <c r="N52" s="146"/>
      <c r="O52" s="4"/>
      <c r="P52" s="4"/>
      <c r="Q52" s="4"/>
      <c r="R52" s="4"/>
      <c r="S52" s="4"/>
      <c r="T52" s="4"/>
      <c r="U52" s="4"/>
      <c r="V52" s="4"/>
      <c r="W52" s="4"/>
      <c r="X52" s="4"/>
      <c r="Y52" s="4"/>
      <c r="Z52" s="4"/>
      <c r="AA52" s="4"/>
      <c r="AB52" s="4"/>
      <c r="AC52" s="4"/>
      <c r="AD52" s="4"/>
      <c r="AE52" s="4"/>
      <c r="AF52" s="4"/>
      <c r="AG52" s="4"/>
    </row>
    <row r="53" ht="11.25" customHeight="1">
      <c r="A53" s="150" t="s">
        <v>363</v>
      </c>
      <c r="B53" s="4"/>
      <c r="C53" s="58"/>
      <c r="D53" s="221" t="str">
        <f>IF(AND(Bal_Sheet!F62+Bal_Sheet!F63&gt;0,Bal_Sheet!E62+Bal_Sheet!E63&gt;0),(Inc_St!D43-Inc_St!D46)/AVERAGE((Bal_Sheet!F62+Bal_Sheet!F63),(Bal_Sheet!E62+Bal_Sheet!E63)),"N/A")</f>
        <v>#REF!</v>
      </c>
      <c r="E53" s="221" t="str">
        <f>IF(AND(Bal_Sheet!G62+Bal_Sheet!G63&gt;0,Bal_Sheet!F62+Bal_Sheet!F63&gt;0),(Inc_St!E43-Inc_St!E46)/AVERAGE((Bal_Sheet!G62+Bal_Sheet!G63),(Bal_Sheet!F62+Bal_Sheet!F63)),"N/A")</f>
        <v>#REF!</v>
      </c>
      <c r="F53" s="221" t="str">
        <f>IF(AND(Bal_Sheet!H62+Bal_Sheet!H63&gt;0,Bal_Sheet!G62+Bal_Sheet!G63&gt;0),(Inc_St!F43-Inc_St!F46)/AVERAGE((Bal_Sheet!H62+Bal_Sheet!H63),(Bal_Sheet!G62+Bal_Sheet!G63)),"N/A")</f>
        <v>#REF!</v>
      </c>
      <c r="G53" s="221" t="str">
        <f>IF(AND(Bal_Sheet!I62+Bal_Sheet!I63&gt;0,Bal_Sheet!H62+Bal_Sheet!H63&gt;0),(Inc_St!G43-Inc_St!G46)/AVERAGE((Bal_Sheet!I62+Bal_Sheet!I63),(Bal_Sheet!H62+Bal_Sheet!H63)),"N/A")</f>
        <v>#REF!</v>
      </c>
      <c r="H53" s="221" t="str">
        <f>IF(AND(Bal_Sheet!J62+Bal_Sheet!J63&gt;0,Bal_Sheet!I62+Bal_Sheet!I63&gt;0),(Inc_St!H43-Inc_St!H46)/AVERAGE((Bal_Sheet!J62+Bal_Sheet!J63),(Bal_Sheet!I62+Bal_Sheet!I63)),"N/A")</f>
        <v>#REF!</v>
      </c>
      <c r="I53" s="221" t="str">
        <f>IF(AND(Bal_Sheet!K62+Bal_Sheet!K63&gt;0,Bal_Sheet!J62+Bal_Sheet!J63&gt;0),(Inc_St!I43-Inc_St!I46)/AVERAGE((Bal_Sheet!K62+Bal_Sheet!K63),(Bal_Sheet!J62+Bal_Sheet!J63)),"N/A")</f>
        <v>#REF!</v>
      </c>
      <c r="J53" s="221" t="str">
        <f>IF(AND(Bal_Sheet!L62+Bal_Sheet!L63&gt;0,Bal_Sheet!K62+Bal_Sheet!K63&gt;0),(Inc_St!J43-Inc_St!J46)/AVERAGE((Bal_Sheet!L62+Bal_Sheet!L63),(Bal_Sheet!K62+Bal_Sheet!K63)),"N/A")</f>
        <v>#REF!</v>
      </c>
      <c r="K53" s="221" t="str">
        <f>IF(AND(Bal_Sheet!M62+Bal_Sheet!M63&gt;0,Bal_Sheet!L62+Bal_Sheet!L63&gt;0),(Inc_St!K43-Inc_St!K46)/AVERAGE((Bal_Sheet!M62+Bal_Sheet!M63),(Bal_Sheet!L62+Bal_Sheet!L63)),"N/A")</f>
        <v>#REF!</v>
      </c>
      <c r="L53" s="221" t="str">
        <f>IF(AND(Bal_Sheet!N62+Bal_Sheet!N63&gt;0,Bal_Sheet!M62+Bal_Sheet!M63&gt;0),(Inc_St!L43-Inc_St!L46)/AVERAGE((Bal_Sheet!N62+Bal_Sheet!N63),(Bal_Sheet!M62+Bal_Sheet!M63)),"N/A")</f>
        <v>#REF!</v>
      </c>
      <c r="M53" s="221" t="str">
        <f>IF(AND(Bal_Sheet!O62+Bal_Sheet!O63&gt;0,Bal_Sheet!N62+Bal_Sheet!N63&gt;0),(Inc_St!M43-Inc_St!M46)/AVERAGE((Bal_Sheet!O62+Bal_Sheet!O63),(Bal_Sheet!N62+Bal_Sheet!N63)),"N/A")</f>
        <v>#REF!</v>
      </c>
      <c r="N53" s="146"/>
      <c r="O53" s="4"/>
      <c r="P53" s="4"/>
      <c r="Q53" s="4"/>
      <c r="R53" s="4"/>
      <c r="S53" s="4"/>
      <c r="T53" s="4"/>
      <c r="U53" s="4"/>
      <c r="V53" s="4"/>
      <c r="W53" s="4"/>
      <c r="X53" s="4"/>
      <c r="Y53" s="4"/>
      <c r="Z53" s="4"/>
      <c r="AA53" s="4"/>
      <c r="AB53" s="4"/>
      <c r="AC53" s="4"/>
      <c r="AD53" s="4"/>
      <c r="AE53" s="4"/>
      <c r="AF53" s="4"/>
      <c r="AG53" s="4"/>
    </row>
    <row r="54" ht="11.25" customHeight="1">
      <c r="A54" s="150" t="s">
        <v>364</v>
      </c>
      <c r="B54" s="4"/>
      <c r="C54" s="58"/>
      <c r="D54" s="221" t="str">
        <f>IF(AND(Bal_Sheet!F32&gt;0,Bal_Sheet!E32&gt;0),(Inc_St!D43-Inc_St!D46+Inc_St!D24*(1-tax_rate))/AVERAGE(Bal_Sheet!F32,Bal_Sheet!E32),"N/A")</f>
        <v>#REF!</v>
      </c>
      <c r="E54" s="221" t="str">
        <f>IF(AND(Bal_Sheet!G32&gt;0,Bal_Sheet!F32&gt;0),(Inc_St!E43-Inc_St!E46+Inc_St!E24*(1-tax_rate))/AVERAGE(Bal_Sheet!G32,Bal_Sheet!F32),"N/A")</f>
        <v>#REF!</v>
      </c>
      <c r="F54" s="221" t="str">
        <f>IF(AND(Bal_Sheet!H32&gt;0,Bal_Sheet!G32&gt;0),(Inc_St!F43-Inc_St!F46+Inc_St!F24*(1-tax_rate))/AVERAGE(Bal_Sheet!H32,Bal_Sheet!G32),"N/A")</f>
        <v>#REF!</v>
      </c>
      <c r="G54" s="221" t="str">
        <f>IF(AND(Bal_Sheet!I32&gt;0,Bal_Sheet!H32&gt;0),(Inc_St!G43-Inc_St!G46+Inc_St!G24*(1-tax_rate))/AVERAGE(Bal_Sheet!I32,Bal_Sheet!H32),"N/A")</f>
        <v>#REF!</v>
      </c>
      <c r="H54" s="221" t="str">
        <f>IF(AND(Bal_Sheet!J32&gt;0,Bal_Sheet!I32&gt;0),(Inc_St!H43-Inc_St!H46+Inc_St!H24*(1-tax_rate))/AVERAGE(Bal_Sheet!J32,Bal_Sheet!I32),"N/A")</f>
        <v>#REF!</v>
      </c>
      <c r="I54" s="221" t="str">
        <f>IF(AND(Bal_Sheet!K32&gt;0,Bal_Sheet!J32&gt;0),(Inc_St!I43-Inc_St!I46+Inc_St!I24*(1-tax_rate))/AVERAGE(Bal_Sheet!K32,Bal_Sheet!J32),"N/A")</f>
        <v>#REF!</v>
      </c>
      <c r="J54" s="221" t="str">
        <f>IF(AND(Bal_Sheet!L32&gt;0,Bal_Sheet!K32&gt;0),(Inc_St!J43-Inc_St!J46+Inc_St!J24*(1-tax_rate))/AVERAGE(Bal_Sheet!L32,Bal_Sheet!K32),"N/A")</f>
        <v>#REF!</v>
      </c>
      <c r="K54" s="221" t="str">
        <f>IF(AND(Bal_Sheet!M32&gt;0,Bal_Sheet!L32&gt;0),(Inc_St!K43-Inc_St!K46+Inc_St!K24*(1-tax_rate))/AVERAGE(Bal_Sheet!M32,Bal_Sheet!L32),"N/A")</f>
        <v>#REF!</v>
      </c>
      <c r="L54" s="221" t="str">
        <f>IF(AND(Bal_Sheet!N32&gt;0,Bal_Sheet!M32&gt;0),(Inc_St!L43-Inc_St!L46+Inc_St!L24*(1-tax_rate))/AVERAGE(Bal_Sheet!N32,Bal_Sheet!M32),"N/A")</f>
        <v>#REF!</v>
      </c>
      <c r="M54" s="221" t="str">
        <f>IF(AND(Bal_Sheet!O32&gt;0,Bal_Sheet!N32&gt;0),(Inc_St!M43-Inc_St!M46+Inc_St!M24*(1-tax_rate))/AVERAGE(Bal_Sheet!O32,Bal_Sheet!N32),"N/A")</f>
        <v>#REF!</v>
      </c>
      <c r="N54" s="146"/>
      <c r="O54" s="4"/>
      <c r="P54" s="4"/>
      <c r="Q54" s="4"/>
      <c r="R54" s="4"/>
      <c r="S54" s="4"/>
      <c r="T54" s="4"/>
      <c r="U54" s="4"/>
      <c r="V54" s="4"/>
      <c r="W54" s="4"/>
      <c r="X54" s="4"/>
      <c r="Y54" s="4"/>
      <c r="Z54" s="4"/>
      <c r="AA54" s="4"/>
      <c r="AB54" s="4"/>
      <c r="AC54" s="4"/>
      <c r="AD54" s="4"/>
      <c r="AE54" s="4"/>
      <c r="AF54" s="4"/>
      <c r="AG54" s="4"/>
    </row>
    <row r="55" ht="11.25" customHeight="1">
      <c r="A55" s="4"/>
      <c r="B55" s="4"/>
      <c r="C55" s="58"/>
      <c r="D55" s="146"/>
      <c r="E55" s="146"/>
      <c r="F55" s="146"/>
      <c r="G55" s="146"/>
      <c r="H55" s="146"/>
      <c r="I55" s="146"/>
      <c r="J55" s="146"/>
      <c r="K55" s="146"/>
      <c r="L55" s="146"/>
      <c r="M55" s="146"/>
      <c r="N55" s="146"/>
      <c r="O55" s="4"/>
      <c r="P55" s="4"/>
      <c r="Q55" s="4"/>
      <c r="R55" s="4"/>
      <c r="S55" s="4"/>
      <c r="T55" s="4"/>
      <c r="U55" s="4"/>
      <c r="V55" s="4"/>
      <c r="W55" s="4"/>
      <c r="X55" s="4"/>
      <c r="Y55" s="4"/>
      <c r="Z55" s="4"/>
      <c r="AA55" s="4"/>
      <c r="AB55" s="4"/>
      <c r="AC55" s="4"/>
      <c r="AD55" s="4"/>
      <c r="AE55" s="4"/>
      <c r="AF55" s="4"/>
      <c r="AG55" s="4"/>
    </row>
    <row r="56" ht="11.25" customHeight="1">
      <c r="A56" s="4"/>
      <c r="B56" s="4"/>
      <c r="C56" s="58"/>
      <c r="D56" s="146"/>
      <c r="E56" s="146"/>
      <c r="F56" s="146"/>
      <c r="G56" s="146"/>
      <c r="H56" s="146"/>
      <c r="I56" s="146"/>
      <c r="J56" s="146"/>
      <c r="K56" s="146"/>
      <c r="L56" s="146"/>
      <c r="M56" s="146"/>
      <c r="N56" s="146"/>
      <c r="O56" s="4"/>
      <c r="P56" s="4"/>
      <c r="Q56" s="4"/>
      <c r="R56" s="4"/>
      <c r="S56" s="4"/>
      <c r="T56" s="4"/>
      <c r="U56" s="4"/>
      <c r="V56" s="4"/>
      <c r="W56" s="4"/>
      <c r="X56" s="4"/>
      <c r="Y56" s="4"/>
      <c r="Z56" s="4"/>
      <c r="AA56" s="4"/>
      <c r="AB56" s="4"/>
      <c r="AC56" s="4"/>
      <c r="AD56" s="4"/>
      <c r="AE56" s="4"/>
      <c r="AF56" s="4"/>
      <c r="AG56" s="4"/>
    </row>
    <row r="57" ht="12.0" customHeight="1">
      <c r="A57" s="149" t="s">
        <v>365</v>
      </c>
      <c r="B57" s="4"/>
      <c r="C57" s="58"/>
      <c r="D57" s="146"/>
      <c r="E57" s="146"/>
      <c r="F57" s="146"/>
      <c r="G57" s="146"/>
      <c r="H57" s="146"/>
      <c r="I57" s="146"/>
      <c r="J57" s="146"/>
      <c r="K57" s="146"/>
      <c r="L57" s="146"/>
      <c r="M57" s="146"/>
      <c r="N57" s="146"/>
      <c r="O57" s="4"/>
      <c r="P57" s="4"/>
      <c r="Q57" s="4"/>
      <c r="R57" s="4"/>
      <c r="S57" s="4"/>
      <c r="T57" s="4"/>
      <c r="U57" s="4"/>
      <c r="V57" s="4"/>
      <c r="W57" s="4"/>
      <c r="X57" s="4"/>
      <c r="Y57" s="4"/>
      <c r="Z57" s="4"/>
      <c r="AA57" s="4"/>
      <c r="AB57" s="4"/>
      <c r="AC57" s="4"/>
      <c r="AD57" s="4"/>
      <c r="AE57" s="4"/>
      <c r="AF57" s="4"/>
      <c r="AG57" s="4"/>
    </row>
    <row r="58" ht="11.25" customHeight="1">
      <c r="A58" s="150" t="s">
        <v>366</v>
      </c>
      <c r="B58" s="4"/>
      <c r="C58" s="58"/>
      <c r="D58" s="221" t="s">
        <v>317</v>
      </c>
      <c r="E58" s="221">
        <f>IF(Inc_St!D8&gt;0,(Inc_St!E8-Inc_St!D8)/Inc_St!D8,"N/A")</f>
        <v>0.1</v>
      </c>
      <c r="F58" s="221">
        <f>IF(Inc_St!E8&gt;0,(Inc_St!F8-Inc_St!E8)/Inc_St!E8,"N/A")</f>
        <v>0.1</v>
      </c>
      <c r="G58" s="221">
        <f>IF(Inc_St!F8&gt;0,(Inc_St!G8-Inc_St!F8)/Inc_St!F8,"N/A")</f>
        <v>0.1</v>
      </c>
      <c r="H58" s="221">
        <f>IF(Inc_St!G8&gt;0,(Inc_St!H8-Inc_St!G8)/Inc_St!G8,"N/A")</f>
        <v>0.1</v>
      </c>
      <c r="I58" s="221">
        <f>IF(Inc_St!H8&gt;0,(Inc_St!I8-Inc_St!H8)/Inc_St!H8,"N/A")</f>
        <v>0.1</v>
      </c>
      <c r="J58" s="221">
        <f>IF(Inc_St!I8&gt;0,(Inc_St!J8-Inc_St!I8)/Inc_St!I8,"N/A")</f>
        <v>0.1</v>
      </c>
      <c r="K58" s="221">
        <f>IF(Inc_St!J8&gt;0,(Inc_St!K8-Inc_St!J8)/Inc_St!J8,"N/A")</f>
        <v>0.1</v>
      </c>
      <c r="L58" s="221">
        <f>IF(Inc_St!K8&gt;0,(Inc_St!L8-Inc_St!K8)/Inc_St!K8,"N/A")</f>
        <v>0.1</v>
      </c>
      <c r="M58" s="221">
        <f>IF(Inc_St!L8&gt;0,(Inc_St!M8-Inc_St!L8)/Inc_St!L8,"N/A")</f>
        <v>0.1</v>
      </c>
      <c r="N58" s="146"/>
      <c r="O58" s="4"/>
      <c r="P58" s="4"/>
      <c r="Q58" s="4"/>
      <c r="R58" s="4"/>
      <c r="S58" s="4"/>
      <c r="T58" s="4"/>
      <c r="U58" s="4"/>
      <c r="V58" s="4"/>
      <c r="W58" s="4"/>
      <c r="X58" s="4"/>
      <c r="Y58" s="4"/>
      <c r="Z58" s="4"/>
      <c r="AA58" s="4"/>
      <c r="AB58" s="4"/>
      <c r="AC58" s="4"/>
      <c r="AD58" s="4"/>
      <c r="AE58" s="4"/>
      <c r="AF58" s="4"/>
      <c r="AG58" s="4"/>
    </row>
    <row r="59" ht="11.25" customHeight="1">
      <c r="A59" s="150" t="s">
        <v>108</v>
      </c>
      <c r="B59" s="4"/>
      <c r="C59" s="58"/>
      <c r="D59" s="221">
        <f>IF(Inc_St!D8&gt;0,Inc_St!D12/Inc_St!D8,"N/A")</f>
        <v>0.55</v>
      </c>
      <c r="E59" s="221">
        <f>IF(Inc_St!E8&gt;0,Inc_St!E12/Inc_St!E8,"N/A")</f>
        <v>0.548875</v>
      </c>
      <c r="F59" s="221">
        <f>IF(Inc_St!F8&gt;0,Inc_St!F12/Inc_St!F8,"N/A")</f>
        <v>0.5477471875</v>
      </c>
      <c r="G59" s="221">
        <f>IF(Inc_St!G8&gt;0,Inc_St!G12/Inc_St!G8,"N/A")</f>
        <v>0.5466165555</v>
      </c>
      <c r="H59" s="221">
        <f>IF(Inc_St!H8&gt;0,Inc_St!H12/Inc_St!H8,"N/A")</f>
        <v>0.5454830969</v>
      </c>
      <c r="I59" s="221">
        <f>IF(Inc_St!I8&gt;0,Inc_St!I12/Inc_St!I8,"N/A")</f>
        <v>0.5443468046</v>
      </c>
      <c r="J59" s="221">
        <f>IF(Inc_St!J8&gt;0,Inc_St!J12/Inc_St!J8,"N/A")</f>
        <v>0.5432076716</v>
      </c>
      <c r="K59" s="221">
        <f>IF(Inc_St!K8&gt;0,Inc_St!K12/Inc_St!K8,"N/A")</f>
        <v>0.5420656908</v>
      </c>
      <c r="L59" s="221">
        <f>IF(Inc_St!L8&gt;0,Inc_St!L12/Inc_St!L8,"N/A")</f>
        <v>0.540920855</v>
      </c>
      <c r="M59" s="221">
        <f>IF(Inc_St!M8&gt;0,Inc_St!M12/Inc_St!M8,"N/A")</f>
        <v>0.5397731572</v>
      </c>
      <c r="N59" s="146"/>
      <c r="O59" s="4"/>
      <c r="P59" s="4"/>
      <c r="Q59" s="4"/>
      <c r="R59" s="4"/>
      <c r="S59" s="4"/>
      <c r="T59" s="4"/>
      <c r="U59" s="4"/>
      <c r="V59" s="4"/>
      <c r="W59" s="4"/>
      <c r="X59" s="4"/>
      <c r="Y59" s="4"/>
      <c r="Z59" s="4"/>
      <c r="AA59" s="4"/>
      <c r="AB59" s="4"/>
      <c r="AC59" s="4"/>
      <c r="AD59" s="4"/>
      <c r="AE59" s="4"/>
      <c r="AF59" s="4"/>
      <c r="AG59" s="4"/>
    </row>
    <row r="60" ht="11.25" customHeight="1">
      <c r="A60" s="150" t="s">
        <v>367</v>
      </c>
      <c r="B60" s="4"/>
      <c r="C60" s="58"/>
      <c r="D60" s="221">
        <f>IF(Inc_St!D8&gt;0,Inc_St!D18/Inc_St!D8,"N/A")</f>
        <v>0.29</v>
      </c>
      <c r="E60" s="221">
        <f>IF(Inc_St!E8&gt;0,Inc_St!E18/Inc_St!E8,"N/A")</f>
        <v>0.287995</v>
      </c>
      <c r="F60" s="221">
        <f>IF(Inc_St!F8&gt;0,Inc_St!F18/Inc_St!F8,"N/A")</f>
        <v>0.2859834175</v>
      </c>
      <c r="G60" s="221">
        <f>IF(Inc_St!G8&gt;0,Inc_St!G18/Inc_St!G8,"N/A")</f>
        <v>0.2839652276</v>
      </c>
      <c r="H60" s="221">
        <f>IF(Inc_St!H8&gt;0,Inc_St!H18/Inc_St!H8,"N/A")</f>
        <v>0.2819404051</v>
      </c>
      <c r="I60" s="221">
        <f>IF(Inc_St!I8&gt;0,Inc_St!I18/Inc_St!I8,"N/A")</f>
        <v>0.2799089251</v>
      </c>
      <c r="J60" s="221">
        <f>IF(Inc_St!J8&gt;0,Inc_St!J18/Inc_St!J8,"N/A")</f>
        <v>0.2778707622</v>
      </c>
      <c r="K60" s="221">
        <f>IF(Inc_St!K8&gt;0,Inc_St!K18/Inc_St!K8,"N/A")</f>
        <v>0.275825891</v>
      </c>
      <c r="L60" s="221">
        <f>IF(Inc_St!L8&gt;0,Inc_St!L18/Inc_St!L8,"N/A")</f>
        <v>0.2737742861</v>
      </c>
      <c r="M60" s="221">
        <f>IF(Inc_St!M8&gt;0,Inc_St!M18/Inc_St!M8,"N/A")</f>
        <v>0.271715922</v>
      </c>
      <c r="N60" s="146"/>
      <c r="O60" s="4"/>
      <c r="P60" s="4"/>
      <c r="Q60" s="4"/>
      <c r="R60" s="4"/>
      <c r="S60" s="4"/>
      <c r="T60" s="4"/>
      <c r="U60" s="4"/>
      <c r="V60" s="4"/>
      <c r="W60" s="4"/>
      <c r="X60" s="4"/>
      <c r="Y60" s="4"/>
      <c r="Z60" s="4"/>
      <c r="AA60" s="4"/>
      <c r="AB60" s="4"/>
      <c r="AC60" s="4"/>
      <c r="AD60" s="4"/>
      <c r="AE60" s="4"/>
      <c r="AF60" s="4"/>
      <c r="AG60" s="4"/>
    </row>
    <row r="61" ht="11.25" customHeight="1">
      <c r="A61" s="150" t="s">
        <v>368</v>
      </c>
      <c r="B61" s="4"/>
      <c r="C61" s="58"/>
      <c r="D61" s="221">
        <f>IF(Inc_St!D8&gt;0,Inc_St!D22/Inc_St!D8,"N/A")</f>
        <v>0.223705303</v>
      </c>
      <c r="E61" s="221">
        <f>IF(Inc_St!E8&gt;0,Inc_St!E22/Inc_St!E8,"N/A")</f>
        <v>0.2177270937</v>
      </c>
      <c r="F61" s="221">
        <f>IF(Inc_St!F8&gt;0,Inc_St!F22/Inc_St!F8,"N/A")</f>
        <v>0.215436836</v>
      </c>
      <c r="G61" s="221">
        <f>IF(Inc_St!G8&gt;0,Inc_St!G22/Inc_St!G8,"N/A")</f>
        <v>0.2126891145</v>
      </c>
      <c r="H61" s="221">
        <f>IF(Inc_St!H8&gt;0,Inc_St!H22/Inc_St!H8,"N/A")</f>
        <v>0.2088106054</v>
      </c>
      <c r="I61" s="221">
        <f>IF(Inc_St!I8&gt;0,Inc_St!I22/Inc_St!I8,"N/A")</f>
        <v>0.207177289</v>
      </c>
      <c r="J61" s="221">
        <f>IF(Inc_St!J8&gt;0,Inc_St!J22/Inc_St!J8,"N/A")</f>
        <v>0.2257689748</v>
      </c>
      <c r="K61" s="221">
        <f>IF(Inc_St!K8&gt;0,Inc_St!K22/Inc_St!K8,"N/A")</f>
        <v>0.2217939631</v>
      </c>
      <c r="L61" s="221">
        <f>IF(Inc_St!L8&gt;0,Inc_St!L22/Inc_St!L8,"N/A")</f>
        <v>0.2194699431</v>
      </c>
      <c r="M61" s="221">
        <f>IF(Inc_St!M8&gt;0,Inc_St!M22/Inc_St!M8,"N/A")</f>
        <v>0.2140150041</v>
      </c>
      <c r="N61" s="146"/>
      <c r="O61" s="4"/>
      <c r="P61" s="4"/>
      <c r="Q61" s="4"/>
      <c r="R61" s="4"/>
      <c r="S61" s="4"/>
      <c r="T61" s="4"/>
      <c r="U61" s="4"/>
      <c r="V61" s="4"/>
      <c r="W61" s="4"/>
      <c r="X61" s="4"/>
      <c r="Y61" s="4"/>
      <c r="Z61" s="4"/>
      <c r="AA61" s="4"/>
      <c r="AB61" s="4"/>
      <c r="AC61" s="4"/>
      <c r="AD61" s="4"/>
      <c r="AE61" s="4"/>
      <c r="AF61" s="4"/>
      <c r="AG61" s="4"/>
    </row>
    <row r="62" ht="11.25" customHeight="1">
      <c r="A62" s="150" t="s">
        <v>369</v>
      </c>
      <c r="B62" s="4"/>
      <c r="C62" s="58"/>
      <c r="D62" s="221" t="str">
        <f>IF(Inc_St!D8&gt;0,Inc_St!D39/Inc_St!D8,"N/A")</f>
        <v>#REF!</v>
      </c>
      <c r="E62" s="221" t="str">
        <f>IF(Inc_St!E8&gt;0,Inc_St!E39/Inc_St!E8,"N/A")</f>
        <v>#REF!</v>
      </c>
      <c r="F62" s="221" t="str">
        <f>IF(Inc_St!F8&gt;0,Inc_St!F39/Inc_St!F8,"N/A")</f>
        <v>#REF!</v>
      </c>
      <c r="G62" s="221" t="str">
        <f>IF(Inc_St!G8&gt;0,Inc_St!G39/Inc_St!G8,"N/A")</f>
        <v>#REF!</v>
      </c>
      <c r="H62" s="221" t="str">
        <f>IF(Inc_St!H8&gt;0,Inc_St!H39/Inc_St!H8,"N/A")</f>
        <v>#REF!</v>
      </c>
      <c r="I62" s="221" t="str">
        <f>IF(Inc_St!I8&gt;0,Inc_St!I39/Inc_St!I8,"N/A")</f>
        <v>#REF!</v>
      </c>
      <c r="J62" s="221" t="str">
        <f>IF(Inc_St!J8&gt;0,Inc_St!J39/Inc_St!J8,"N/A")</f>
        <v>#REF!</v>
      </c>
      <c r="K62" s="221" t="str">
        <f>IF(Inc_St!K8&gt;0,Inc_St!K39/Inc_St!K8,"N/A")</f>
        <v>#REF!</v>
      </c>
      <c r="L62" s="221" t="str">
        <f>IF(Inc_St!L8&gt;0,Inc_St!L39/Inc_St!L8,"N/A")</f>
        <v>#REF!</v>
      </c>
      <c r="M62" s="221" t="str">
        <f>IF(Inc_St!M8&gt;0,Inc_St!M39/Inc_St!M8,"N/A")</f>
        <v>#REF!</v>
      </c>
      <c r="N62" s="146"/>
      <c r="O62" s="4"/>
      <c r="P62" s="4"/>
      <c r="Q62" s="4"/>
      <c r="R62" s="4"/>
      <c r="S62" s="4"/>
      <c r="T62" s="4"/>
      <c r="U62" s="4"/>
      <c r="V62" s="4"/>
      <c r="W62" s="4"/>
      <c r="X62" s="4"/>
      <c r="Y62" s="4"/>
      <c r="Z62" s="4"/>
      <c r="AA62" s="4"/>
      <c r="AB62" s="4"/>
      <c r="AC62" s="4"/>
      <c r="AD62" s="4"/>
      <c r="AE62" s="4"/>
      <c r="AF62" s="4"/>
      <c r="AG62" s="4"/>
    </row>
    <row r="63" ht="11.25" customHeight="1">
      <c r="A63" s="4"/>
      <c r="B63" s="4"/>
      <c r="C63" s="58"/>
      <c r="D63" s="146"/>
      <c r="E63" s="146"/>
      <c r="F63" s="146"/>
      <c r="G63" s="146"/>
      <c r="H63" s="146"/>
      <c r="I63" s="146"/>
      <c r="J63" s="146"/>
      <c r="K63" s="146"/>
      <c r="L63" s="146"/>
      <c r="M63" s="146"/>
      <c r="N63" s="146"/>
      <c r="O63" s="4"/>
      <c r="P63" s="4"/>
      <c r="Q63" s="4"/>
      <c r="R63" s="4"/>
      <c r="S63" s="4"/>
      <c r="T63" s="4"/>
      <c r="U63" s="4"/>
      <c r="V63" s="4"/>
      <c r="W63" s="4"/>
      <c r="X63" s="4"/>
      <c r="Y63" s="4"/>
      <c r="Z63" s="4"/>
      <c r="AA63" s="4"/>
      <c r="AB63" s="4"/>
      <c r="AC63" s="4"/>
      <c r="AD63" s="4"/>
      <c r="AE63" s="4"/>
      <c r="AF63" s="4"/>
      <c r="AG63" s="4"/>
    </row>
    <row r="64" ht="11.25" customHeight="1">
      <c r="A64" s="4"/>
      <c r="B64" s="4"/>
      <c r="C64" s="58"/>
      <c r="D64" s="146"/>
      <c r="E64" s="146"/>
      <c r="F64" s="146"/>
      <c r="G64" s="146"/>
      <c r="H64" s="146"/>
      <c r="I64" s="146"/>
      <c r="J64" s="146"/>
      <c r="K64" s="146"/>
      <c r="L64" s="146"/>
      <c r="M64" s="146"/>
      <c r="N64" s="146"/>
      <c r="O64" s="4"/>
      <c r="P64" s="4"/>
      <c r="Q64" s="4"/>
      <c r="R64" s="4"/>
      <c r="S64" s="4"/>
      <c r="T64" s="4"/>
      <c r="U64" s="4"/>
      <c r="V64" s="4"/>
      <c r="W64" s="4"/>
      <c r="X64" s="4"/>
      <c r="Y64" s="4"/>
      <c r="Z64" s="4"/>
      <c r="AA64" s="4"/>
      <c r="AB64" s="4"/>
      <c r="AC64" s="4"/>
      <c r="AD64" s="4"/>
      <c r="AE64" s="4"/>
      <c r="AF64" s="4"/>
      <c r="AG64" s="4"/>
    </row>
    <row r="65" ht="11.25" customHeight="1">
      <c r="A65" s="4"/>
      <c r="B65" s="4"/>
      <c r="C65" s="58"/>
      <c r="D65" s="146"/>
      <c r="E65" s="146"/>
      <c r="F65" s="146"/>
      <c r="G65" s="146"/>
      <c r="H65" s="146"/>
      <c r="I65" s="146"/>
      <c r="J65" s="146"/>
      <c r="K65" s="146"/>
      <c r="L65" s="146"/>
      <c r="M65" s="146"/>
      <c r="N65" s="146"/>
      <c r="O65" s="4"/>
      <c r="P65" s="4"/>
      <c r="Q65" s="4"/>
      <c r="R65" s="4"/>
      <c r="S65" s="4"/>
      <c r="T65" s="4"/>
      <c r="U65" s="4"/>
      <c r="V65" s="4"/>
      <c r="W65" s="4"/>
      <c r="X65" s="4"/>
      <c r="Y65" s="4"/>
      <c r="Z65" s="4"/>
      <c r="AA65" s="4"/>
      <c r="AB65" s="4"/>
      <c r="AC65" s="4"/>
      <c r="AD65" s="4"/>
      <c r="AE65" s="4"/>
      <c r="AF65" s="4"/>
      <c r="AG65" s="4"/>
    </row>
    <row r="66" ht="11.25" customHeight="1">
      <c r="A66" s="4"/>
      <c r="B66" s="4"/>
      <c r="C66" s="58"/>
      <c r="D66" s="146"/>
      <c r="E66" s="146"/>
      <c r="F66" s="146"/>
      <c r="G66" s="146"/>
      <c r="H66" s="146"/>
      <c r="I66" s="146"/>
      <c r="J66" s="146"/>
      <c r="K66" s="146"/>
      <c r="L66" s="146"/>
      <c r="M66" s="146"/>
      <c r="N66" s="146"/>
      <c r="O66" s="4"/>
      <c r="P66" s="4"/>
      <c r="Q66" s="4"/>
      <c r="R66" s="4"/>
      <c r="S66" s="4"/>
      <c r="T66" s="4"/>
      <c r="U66" s="4"/>
      <c r="V66" s="4"/>
      <c r="W66" s="4"/>
      <c r="X66" s="4"/>
      <c r="Y66" s="4"/>
      <c r="Z66" s="4"/>
      <c r="AA66" s="4"/>
      <c r="AB66" s="4"/>
      <c r="AC66" s="4"/>
      <c r="AD66" s="4"/>
      <c r="AE66" s="4"/>
      <c r="AF66" s="4"/>
      <c r="AG66" s="4"/>
    </row>
    <row r="67" ht="11.25" customHeight="1">
      <c r="A67" s="4"/>
      <c r="B67" s="4"/>
      <c r="C67" s="58"/>
      <c r="D67" s="146"/>
      <c r="E67" s="146"/>
      <c r="F67" s="146"/>
      <c r="G67" s="146"/>
      <c r="H67" s="146"/>
      <c r="I67" s="146"/>
      <c r="J67" s="146"/>
      <c r="K67" s="146"/>
      <c r="L67" s="146"/>
      <c r="M67" s="146"/>
      <c r="N67" s="146"/>
      <c r="O67" s="4"/>
      <c r="P67" s="4"/>
      <c r="Q67" s="4"/>
      <c r="R67" s="4"/>
      <c r="S67" s="4"/>
      <c r="T67" s="4"/>
      <c r="U67" s="4"/>
      <c r="V67" s="4"/>
      <c r="W67" s="4"/>
      <c r="X67" s="4"/>
      <c r="Y67" s="4"/>
      <c r="Z67" s="4"/>
      <c r="AA67" s="4"/>
      <c r="AB67" s="4"/>
      <c r="AC67" s="4"/>
      <c r="AD67" s="4"/>
      <c r="AE67" s="4"/>
      <c r="AF67" s="4"/>
      <c r="AG67" s="4"/>
    </row>
    <row r="68" ht="11.25" customHeight="1">
      <c r="A68" s="4"/>
      <c r="B68" s="4"/>
      <c r="C68" s="58"/>
      <c r="D68" s="146"/>
      <c r="E68" s="146"/>
      <c r="F68" s="146"/>
      <c r="G68" s="146"/>
      <c r="H68" s="146"/>
      <c r="I68" s="146"/>
      <c r="J68" s="146"/>
      <c r="K68" s="146"/>
      <c r="L68" s="146"/>
      <c r="M68" s="146"/>
      <c r="N68" s="146"/>
      <c r="O68" s="4"/>
      <c r="P68" s="4"/>
      <c r="Q68" s="4"/>
      <c r="R68" s="4"/>
      <c r="S68" s="4"/>
      <c r="T68" s="4"/>
      <c r="U68" s="4"/>
      <c r="V68" s="4"/>
      <c r="W68" s="4"/>
      <c r="X68" s="4"/>
      <c r="Y68" s="4"/>
      <c r="Z68" s="4"/>
      <c r="AA68" s="4"/>
      <c r="AB68" s="4"/>
      <c r="AC68" s="4"/>
      <c r="AD68" s="4"/>
      <c r="AE68" s="4"/>
      <c r="AF68" s="4"/>
      <c r="AG68" s="4"/>
    </row>
    <row r="69" ht="11.25" customHeight="1">
      <c r="A69" s="4"/>
      <c r="B69" s="4"/>
      <c r="C69" s="58"/>
      <c r="D69" s="58"/>
      <c r="E69" s="58"/>
      <c r="F69" s="58"/>
      <c r="G69" s="58"/>
      <c r="H69" s="58"/>
      <c r="I69" s="58"/>
      <c r="J69" s="58"/>
      <c r="K69" s="58"/>
      <c r="L69" s="58"/>
      <c r="M69" s="58"/>
      <c r="N69" s="4"/>
      <c r="O69" s="4"/>
      <c r="P69" s="4"/>
      <c r="Q69" s="4"/>
      <c r="R69" s="4"/>
      <c r="S69" s="4"/>
      <c r="T69" s="4"/>
      <c r="U69" s="4"/>
      <c r="V69" s="4"/>
      <c r="W69" s="4"/>
      <c r="X69" s="4"/>
      <c r="Y69" s="4"/>
      <c r="Z69" s="4"/>
      <c r="AA69" s="4"/>
      <c r="AB69" s="4"/>
      <c r="AC69" s="4"/>
      <c r="AD69" s="4"/>
      <c r="AE69" s="4"/>
      <c r="AF69" s="4"/>
      <c r="AG69" s="4"/>
    </row>
    <row r="70" ht="11.25" customHeight="1">
      <c r="A70" s="4"/>
      <c r="B70" s="4"/>
      <c r="C70" s="58"/>
      <c r="D70" s="58"/>
      <c r="E70" s="58"/>
      <c r="F70" s="58"/>
      <c r="G70" s="58"/>
      <c r="H70" s="58"/>
      <c r="I70" s="58"/>
      <c r="J70" s="58"/>
      <c r="K70" s="58"/>
      <c r="L70" s="58"/>
      <c r="M70" s="58"/>
      <c r="N70" s="4"/>
      <c r="O70" s="4"/>
      <c r="P70" s="4"/>
      <c r="Q70" s="4"/>
      <c r="R70" s="4"/>
      <c r="S70" s="4"/>
      <c r="T70" s="4"/>
      <c r="U70" s="4"/>
      <c r="V70" s="4"/>
      <c r="W70" s="4"/>
      <c r="X70" s="4"/>
      <c r="Y70" s="4"/>
      <c r="Z70" s="4"/>
      <c r="AA70" s="4"/>
      <c r="AB70" s="4"/>
      <c r="AC70" s="4"/>
      <c r="AD70" s="4"/>
      <c r="AE70" s="4"/>
      <c r="AF70" s="4"/>
      <c r="AG70" s="4"/>
    </row>
    <row r="71" ht="11.25" customHeight="1">
      <c r="A71" s="4"/>
      <c r="B71" s="4"/>
      <c r="C71" s="58"/>
      <c r="D71" s="58"/>
      <c r="E71" s="58"/>
      <c r="F71" s="58"/>
      <c r="G71" s="58"/>
      <c r="H71" s="58"/>
      <c r="I71" s="58"/>
      <c r="J71" s="58"/>
      <c r="K71" s="58"/>
      <c r="L71" s="58"/>
      <c r="M71" s="58"/>
      <c r="N71" s="4"/>
      <c r="O71" s="4"/>
      <c r="P71" s="4"/>
      <c r="Q71" s="4"/>
      <c r="R71" s="4"/>
      <c r="S71" s="4"/>
      <c r="T71" s="4"/>
      <c r="U71" s="4"/>
      <c r="V71" s="4"/>
      <c r="W71" s="4"/>
      <c r="X71" s="4"/>
      <c r="Y71" s="4"/>
      <c r="Z71" s="4"/>
      <c r="AA71" s="4"/>
      <c r="AB71" s="4"/>
      <c r="AC71" s="4"/>
      <c r="AD71" s="4"/>
      <c r="AE71" s="4"/>
      <c r="AF71" s="4"/>
      <c r="AG71" s="4"/>
    </row>
    <row r="72" ht="11.25" customHeight="1">
      <c r="A72" s="4"/>
      <c r="B72" s="4"/>
      <c r="C72" s="58"/>
      <c r="D72" s="58"/>
      <c r="E72" s="58"/>
      <c r="F72" s="58"/>
      <c r="G72" s="58"/>
      <c r="H72" s="58"/>
      <c r="I72" s="58"/>
      <c r="J72" s="58"/>
      <c r="K72" s="58"/>
      <c r="L72" s="58"/>
      <c r="M72" s="58"/>
      <c r="N72" s="4"/>
      <c r="O72" s="4"/>
      <c r="P72" s="4"/>
      <c r="Q72" s="4"/>
      <c r="R72" s="4"/>
      <c r="S72" s="4"/>
      <c r="T72" s="4"/>
      <c r="U72" s="4"/>
      <c r="V72" s="4"/>
      <c r="W72" s="4"/>
      <c r="X72" s="4"/>
      <c r="Y72" s="4"/>
      <c r="Z72" s="4"/>
      <c r="AA72" s="4"/>
      <c r="AB72" s="4"/>
      <c r="AC72" s="4"/>
      <c r="AD72" s="4"/>
      <c r="AE72" s="4"/>
      <c r="AF72" s="4"/>
      <c r="AG72" s="4"/>
    </row>
    <row r="73" ht="11.25" customHeight="1">
      <c r="A73" s="4"/>
      <c r="B73" s="4"/>
      <c r="C73" s="58"/>
      <c r="D73" s="58"/>
      <c r="E73" s="58"/>
      <c r="F73" s="58"/>
      <c r="G73" s="58"/>
      <c r="H73" s="58"/>
      <c r="I73" s="58"/>
      <c r="J73" s="58"/>
      <c r="K73" s="58"/>
      <c r="L73" s="58"/>
      <c r="M73" s="58"/>
      <c r="N73" s="4"/>
      <c r="O73" s="4"/>
      <c r="P73" s="4"/>
      <c r="Q73" s="4"/>
      <c r="R73" s="4"/>
      <c r="S73" s="4"/>
      <c r="T73" s="4"/>
      <c r="U73" s="4"/>
      <c r="V73" s="4"/>
      <c r="W73" s="4"/>
      <c r="X73" s="4"/>
      <c r="Y73" s="4"/>
      <c r="Z73" s="4"/>
      <c r="AA73" s="4"/>
      <c r="AB73" s="4"/>
      <c r="AC73" s="4"/>
      <c r="AD73" s="4"/>
      <c r="AE73" s="4"/>
      <c r="AF73" s="4"/>
      <c r="AG73" s="4"/>
    </row>
    <row r="74" ht="11.25" customHeight="1">
      <c r="A74" s="4"/>
      <c r="B74" s="4"/>
      <c r="C74" s="58"/>
      <c r="D74" s="58"/>
      <c r="E74" s="58"/>
      <c r="F74" s="58"/>
      <c r="G74" s="58"/>
      <c r="H74" s="58"/>
      <c r="I74" s="58"/>
      <c r="J74" s="58"/>
      <c r="K74" s="58"/>
      <c r="L74" s="58"/>
      <c r="M74" s="58"/>
      <c r="N74" s="4"/>
      <c r="O74" s="4"/>
      <c r="P74" s="4"/>
      <c r="Q74" s="4"/>
      <c r="R74" s="4"/>
      <c r="S74" s="4"/>
      <c r="T74" s="4"/>
      <c r="U74" s="4"/>
      <c r="V74" s="4"/>
      <c r="W74" s="4"/>
      <c r="X74" s="4"/>
      <c r="Y74" s="4"/>
      <c r="Z74" s="4"/>
      <c r="AA74" s="4"/>
      <c r="AB74" s="4"/>
      <c r="AC74" s="4"/>
      <c r="AD74" s="4"/>
      <c r="AE74" s="4"/>
      <c r="AF74" s="4"/>
      <c r="AG74" s="4"/>
    </row>
    <row r="75" ht="11.25" customHeight="1">
      <c r="A75" s="4"/>
      <c r="B75" s="4"/>
      <c r="C75" s="58"/>
      <c r="D75" s="58"/>
      <c r="E75" s="58"/>
      <c r="F75" s="58"/>
      <c r="G75" s="58"/>
      <c r="H75" s="58"/>
      <c r="I75" s="58"/>
      <c r="J75" s="58"/>
      <c r="K75" s="58"/>
      <c r="L75" s="58"/>
      <c r="M75" s="58"/>
      <c r="N75" s="4"/>
      <c r="O75" s="4"/>
      <c r="P75" s="4"/>
      <c r="Q75" s="4"/>
      <c r="R75" s="4"/>
      <c r="S75" s="4"/>
      <c r="T75" s="4"/>
      <c r="U75" s="4"/>
      <c r="V75" s="4"/>
      <c r="W75" s="4"/>
      <c r="X75" s="4"/>
      <c r="Y75" s="4"/>
      <c r="Z75" s="4"/>
      <c r="AA75" s="4"/>
      <c r="AB75" s="4"/>
      <c r="AC75" s="4"/>
      <c r="AD75" s="4"/>
      <c r="AE75" s="4"/>
      <c r="AF75" s="4"/>
      <c r="AG75" s="4"/>
    </row>
    <row r="76" ht="11.25" customHeight="1">
      <c r="A76" s="4"/>
      <c r="B76" s="4"/>
      <c r="C76" s="58"/>
      <c r="D76" s="58"/>
      <c r="E76" s="58"/>
      <c r="F76" s="58"/>
      <c r="G76" s="58"/>
      <c r="H76" s="58"/>
      <c r="I76" s="58"/>
      <c r="J76" s="58"/>
      <c r="K76" s="58"/>
      <c r="L76" s="58"/>
      <c r="M76" s="58"/>
      <c r="N76" s="4"/>
      <c r="O76" s="4"/>
      <c r="P76" s="4"/>
      <c r="Q76" s="4"/>
      <c r="R76" s="4"/>
      <c r="S76" s="4"/>
      <c r="T76" s="4"/>
      <c r="U76" s="4"/>
      <c r="V76" s="4"/>
      <c r="W76" s="4"/>
      <c r="X76" s="4"/>
      <c r="Y76" s="4"/>
      <c r="Z76" s="4"/>
      <c r="AA76" s="4"/>
      <c r="AB76" s="4"/>
      <c r="AC76" s="4"/>
      <c r="AD76" s="4"/>
      <c r="AE76" s="4"/>
      <c r="AF76" s="4"/>
      <c r="AG76" s="4"/>
    </row>
    <row r="77" ht="11.25" customHeight="1">
      <c r="A77" s="4"/>
      <c r="B77" s="4"/>
      <c r="C77" s="58"/>
      <c r="D77" s="58"/>
      <c r="E77" s="58"/>
      <c r="F77" s="58"/>
      <c r="G77" s="58"/>
      <c r="H77" s="58"/>
      <c r="I77" s="58"/>
      <c r="J77" s="58"/>
      <c r="K77" s="58"/>
      <c r="L77" s="58"/>
      <c r="M77" s="58"/>
      <c r="N77" s="4"/>
      <c r="O77" s="4"/>
      <c r="P77" s="4"/>
      <c r="Q77" s="4"/>
      <c r="R77" s="4"/>
      <c r="S77" s="4"/>
      <c r="T77" s="4"/>
      <c r="U77" s="4"/>
      <c r="V77" s="4"/>
      <c r="W77" s="4"/>
      <c r="X77" s="4"/>
      <c r="Y77" s="4"/>
      <c r="Z77" s="4"/>
      <c r="AA77" s="4"/>
      <c r="AB77" s="4"/>
      <c r="AC77" s="4"/>
      <c r="AD77" s="4"/>
      <c r="AE77" s="4"/>
      <c r="AF77" s="4"/>
      <c r="AG77" s="4"/>
    </row>
    <row r="78" ht="11.25" customHeight="1">
      <c r="A78" s="4"/>
      <c r="B78" s="4"/>
      <c r="C78" s="58"/>
      <c r="D78" s="58"/>
      <c r="E78" s="58"/>
      <c r="F78" s="58"/>
      <c r="G78" s="58"/>
      <c r="H78" s="58"/>
      <c r="I78" s="58"/>
      <c r="J78" s="58"/>
      <c r="K78" s="58"/>
      <c r="L78" s="58"/>
      <c r="M78" s="58"/>
      <c r="N78" s="4"/>
      <c r="O78" s="4"/>
      <c r="P78" s="4"/>
      <c r="Q78" s="4"/>
      <c r="R78" s="4"/>
      <c r="S78" s="4"/>
      <c r="T78" s="4"/>
      <c r="U78" s="4"/>
      <c r="V78" s="4"/>
      <c r="W78" s="4"/>
      <c r="X78" s="4"/>
      <c r="Y78" s="4"/>
      <c r="Z78" s="4"/>
      <c r="AA78" s="4"/>
      <c r="AB78" s="4"/>
      <c r="AC78" s="4"/>
      <c r="AD78" s="4"/>
      <c r="AE78" s="4"/>
      <c r="AF78" s="4"/>
      <c r="AG78" s="4"/>
    </row>
    <row r="79" ht="11.25" customHeight="1">
      <c r="A79" s="4"/>
      <c r="B79" s="4"/>
      <c r="C79" s="58"/>
      <c r="D79" s="58"/>
      <c r="E79" s="58"/>
      <c r="F79" s="58"/>
      <c r="G79" s="58"/>
      <c r="H79" s="58"/>
      <c r="I79" s="58"/>
      <c r="J79" s="58"/>
      <c r="K79" s="58"/>
      <c r="L79" s="58"/>
      <c r="M79" s="58"/>
      <c r="N79" s="4"/>
      <c r="O79" s="4"/>
      <c r="P79" s="4"/>
      <c r="Q79" s="4"/>
      <c r="R79" s="4"/>
      <c r="S79" s="4"/>
      <c r="T79" s="4"/>
      <c r="U79" s="4"/>
      <c r="V79" s="4"/>
      <c r="W79" s="4"/>
      <c r="X79" s="4"/>
      <c r="Y79" s="4"/>
      <c r="Z79" s="4"/>
      <c r="AA79" s="4"/>
      <c r="AB79" s="4"/>
      <c r="AC79" s="4"/>
      <c r="AD79" s="4"/>
      <c r="AE79" s="4"/>
      <c r="AF79" s="4"/>
      <c r="AG79" s="4"/>
    </row>
    <row r="80" ht="11.25" customHeight="1">
      <c r="A80" s="4"/>
      <c r="B80" s="4"/>
      <c r="C80" s="58"/>
      <c r="D80" s="58"/>
      <c r="E80" s="58"/>
      <c r="F80" s="58"/>
      <c r="G80" s="58"/>
      <c r="H80" s="58"/>
      <c r="I80" s="58"/>
      <c r="J80" s="58"/>
      <c r="K80" s="58"/>
      <c r="L80" s="58"/>
      <c r="M80" s="58"/>
      <c r="N80" s="4"/>
      <c r="O80" s="4"/>
      <c r="P80" s="4"/>
      <c r="Q80" s="4"/>
      <c r="R80" s="4"/>
      <c r="S80" s="4"/>
      <c r="T80" s="4"/>
      <c r="U80" s="4"/>
      <c r="V80" s="4"/>
      <c r="W80" s="4"/>
      <c r="X80" s="4"/>
      <c r="Y80" s="4"/>
      <c r="Z80" s="4"/>
      <c r="AA80" s="4"/>
      <c r="AB80" s="4"/>
      <c r="AC80" s="4"/>
      <c r="AD80" s="4"/>
      <c r="AE80" s="4"/>
      <c r="AF80" s="4"/>
      <c r="AG80" s="4"/>
    </row>
    <row r="81" ht="11.25" customHeight="1">
      <c r="A81" s="4"/>
      <c r="B81" s="4"/>
      <c r="C81" s="58"/>
      <c r="D81" s="58"/>
      <c r="E81" s="58"/>
      <c r="F81" s="58"/>
      <c r="G81" s="58"/>
      <c r="H81" s="58"/>
      <c r="I81" s="58"/>
      <c r="J81" s="58"/>
      <c r="K81" s="58"/>
      <c r="L81" s="58"/>
      <c r="M81" s="58"/>
      <c r="N81" s="4"/>
      <c r="O81" s="4"/>
      <c r="P81" s="4"/>
      <c r="Q81" s="4"/>
      <c r="R81" s="4"/>
      <c r="S81" s="4"/>
      <c r="T81" s="4"/>
      <c r="U81" s="4"/>
      <c r="V81" s="4"/>
      <c r="W81" s="4"/>
      <c r="X81" s="4"/>
      <c r="Y81" s="4"/>
      <c r="Z81" s="4"/>
      <c r="AA81" s="4"/>
      <c r="AB81" s="4"/>
      <c r="AC81" s="4"/>
      <c r="AD81" s="4"/>
      <c r="AE81" s="4"/>
      <c r="AF81" s="4"/>
      <c r="AG81" s="4"/>
    </row>
    <row r="82" ht="11.25" customHeight="1">
      <c r="A82" s="4"/>
      <c r="B82" s="4"/>
      <c r="C82" s="58"/>
      <c r="D82" s="58"/>
      <c r="E82" s="58"/>
      <c r="F82" s="58"/>
      <c r="G82" s="58"/>
      <c r="H82" s="58"/>
      <c r="I82" s="58"/>
      <c r="J82" s="58"/>
      <c r="K82" s="58"/>
      <c r="L82" s="58"/>
      <c r="M82" s="58"/>
      <c r="N82" s="4"/>
      <c r="O82" s="4"/>
      <c r="P82" s="4"/>
      <c r="Q82" s="4"/>
      <c r="R82" s="4"/>
      <c r="S82" s="4"/>
      <c r="T82" s="4"/>
      <c r="U82" s="4"/>
      <c r="V82" s="4"/>
      <c r="W82" s="4"/>
      <c r="X82" s="4"/>
      <c r="Y82" s="4"/>
      <c r="Z82" s="4"/>
      <c r="AA82" s="4"/>
      <c r="AB82" s="4"/>
      <c r="AC82" s="4"/>
      <c r="AD82" s="4"/>
      <c r="AE82" s="4"/>
      <c r="AF82" s="4"/>
      <c r="AG82" s="4"/>
    </row>
    <row r="83" ht="11.25" customHeight="1">
      <c r="A83" s="4"/>
      <c r="B83" s="4"/>
      <c r="C83" s="58"/>
      <c r="D83" s="58"/>
      <c r="E83" s="58"/>
      <c r="F83" s="58"/>
      <c r="G83" s="58"/>
      <c r="H83" s="58"/>
      <c r="I83" s="58"/>
      <c r="J83" s="58"/>
      <c r="K83" s="58"/>
      <c r="L83" s="58"/>
      <c r="M83" s="58"/>
      <c r="N83" s="4"/>
      <c r="O83" s="4"/>
      <c r="P83" s="4"/>
      <c r="Q83" s="4"/>
      <c r="R83" s="4"/>
      <c r="S83" s="4"/>
      <c r="T83" s="4"/>
      <c r="U83" s="4"/>
      <c r="V83" s="4"/>
      <c r="W83" s="4"/>
      <c r="X83" s="4"/>
      <c r="Y83" s="4"/>
      <c r="Z83" s="4"/>
      <c r="AA83" s="4"/>
      <c r="AB83" s="4"/>
      <c r="AC83" s="4"/>
      <c r="AD83" s="4"/>
      <c r="AE83" s="4"/>
      <c r="AF83" s="4"/>
      <c r="AG83" s="4"/>
    </row>
    <row r="84" ht="11.25" customHeight="1">
      <c r="A84" s="4"/>
      <c r="B84" s="4"/>
      <c r="C84" s="58"/>
      <c r="D84" s="58"/>
      <c r="E84" s="58"/>
      <c r="F84" s="58"/>
      <c r="G84" s="58"/>
      <c r="H84" s="58"/>
      <c r="I84" s="58"/>
      <c r="J84" s="58"/>
      <c r="K84" s="58"/>
      <c r="L84" s="58"/>
      <c r="M84" s="58"/>
      <c r="N84" s="4"/>
      <c r="O84" s="4"/>
      <c r="P84" s="4"/>
      <c r="Q84" s="4"/>
      <c r="R84" s="4"/>
      <c r="S84" s="4"/>
      <c r="T84" s="4"/>
      <c r="U84" s="4"/>
      <c r="V84" s="4"/>
      <c r="W84" s="4"/>
      <c r="X84" s="4"/>
      <c r="Y84" s="4"/>
      <c r="Z84" s="4"/>
      <c r="AA84" s="4"/>
      <c r="AB84" s="4"/>
      <c r="AC84" s="4"/>
      <c r="AD84" s="4"/>
      <c r="AE84" s="4"/>
      <c r="AF84" s="4"/>
      <c r="AG84" s="4"/>
    </row>
    <row r="85" ht="11.25" customHeight="1">
      <c r="A85" s="4"/>
      <c r="B85" s="4"/>
      <c r="C85" s="58"/>
      <c r="D85" s="58"/>
      <c r="E85" s="58"/>
      <c r="F85" s="58"/>
      <c r="G85" s="58"/>
      <c r="H85" s="58"/>
      <c r="I85" s="58"/>
      <c r="J85" s="58"/>
      <c r="K85" s="58"/>
      <c r="L85" s="58"/>
      <c r="M85" s="58"/>
      <c r="N85" s="4"/>
      <c r="O85" s="4"/>
      <c r="P85" s="4"/>
      <c r="Q85" s="4"/>
      <c r="R85" s="4"/>
      <c r="S85" s="4"/>
      <c r="T85" s="4"/>
      <c r="U85" s="4"/>
      <c r="V85" s="4"/>
      <c r="W85" s="4"/>
      <c r="X85" s="4"/>
      <c r="Y85" s="4"/>
      <c r="Z85" s="4"/>
      <c r="AA85" s="4"/>
      <c r="AB85" s="4"/>
      <c r="AC85" s="4"/>
      <c r="AD85" s="4"/>
      <c r="AE85" s="4"/>
      <c r="AF85" s="4"/>
      <c r="AG85" s="4"/>
    </row>
    <row r="86" ht="11.25" customHeight="1">
      <c r="A86" s="4"/>
      <c r="B86" s="4"/>
      <c r="C86" s="58"/>
      <c r="D86" s="58"/>
      <c r="E86" s="58"/>
      <c r="F86" s="58"/>
      <c r="G86" s="58"/>
      <c r="H86" s="58"/>
      <c r="I86" s="58"/>
      <c r="J86" s="58"/>
      <c r="K86" s="58"/>
      <c r="L86" s="58"/>
      <c r="M86" s="58"/>
      <c r="N86" s="4"/>
      <c r="O86" s="4"/>
      <c r="P86" s="4"/>
      <c r="Q86" s="4"/>
      <c r="R86" s="4"/>
      <c r="S86" s="4"/>
      <c r="T86" s="4"/>
      <c r="U86" s="4"/>
      <c r="V86" s="4"/>
      <c r="W86" s="4"/>
      <c r="X86" s="4"/>
      <c r="Y86" s="4"/>
      <c r="Z86" s="4"/>
      <c r="AA86" s="4"/>
      <c r="AB86" s="4"/>
      <c r="AC86" s="4"/>
      <c r="AD86" s="4"/>
      <c r="AE86" s="4"/>
      <c r="AF86" s="4"/>
      <c r="AG86" s="4"/>
    </row>
    <row r="87" ht="11.25" customHeight="1">
      <c r="A87" s="4"/>
      <c r="B87" s="4"/>
      <c r="C87" s="58"/>
      <c r="D87" s="58"/>
      <c r="E87" s="58"/>
      <c r="F87" s="58"/>
      <c r="G87" s="58"/>
      <c r="H87" s="58"/>
      <c r="I87" s="58"/>
      <c r="J87" s="58"/>
      <c r="K87" s="58"/>
      <c r="L87" s="58"/>
      <c r="M87" s="58"/>
      <c r="N87" s="4"/>
      <c r="O87" s="4"/>
      <c r="P87" s="4"/>
      <c r="Q87" s="4"/>
      <c r="R87" s="4"/>
      <c r="S87" s="4"/>
      <c r="T87" s="4"/>
      <c r="U87" s="4"/>
      <c r="V87" s="4"/>
      <c r="W87" s="4"/>
      <c r="X87" s="4"/>
      <c r="Y87" s="4"/>
      <c r="Z87" s="4"/>
      <c r="AA87" s="4"/>
      <c r="AB87" s="4"/>
      <c r="AC87" s="4"/>
      <c r="AD87" s="4"/>
      <c r="AE87" s="4"/>
      <c r="AF87" s="4"/>
      <c r="AG87" s="4"/>
    </row>
    <row r="88" ht="11.25" customHeight="1">
      <c r="A88" s="4"/>
      <c r="B88" s="4"/>
      <c r="C88" s="58"/>
      <c r="D88" s="58"/>
      <c r="E88" s="58"/>
      <c r="F88" s="58"/>
      <c r="G88" s="58"/>
      <c r="H88" s="58"/>
      <c r="I88" s="58"/>
      <c r="J88" s="58"/>
      <c r="K88" s="58"/>
      <c r="L88" s="58"/>
      <c r="M88" s="58"/>
      <c r="N88" s="4"/>
      <c r="O88" s="4"/>
      <c r="P88" s="4"/>
      <c r="Q88" s="4"/>
      <c r="R88" s="4"/>
      <c r="S88" s="4"/>
      <c r="T88" s="4"/>
      <c r="U88" s="4"/>
      <c r="V88" s="4"/>
      <c r="W88" s="4"/>
      <c r="X88" s="4"/>
      <c r="Y88" s="4"/>
      <c r="Z88" s="4"/>
      <c r="AA88" s="4"/>
      <c r="AB88" s="4"/>
      <c r="AC88" s="4"/>
      <c r="AD88" s="4"/>
      <c r="AE88" s="4"/>
      <c r="AF88" s="4"/>
      <c r="AG88" s="4"/>
    </row>
    <row r="89" ht="11.25" customHeight="1">
      <c r="A89" s="4"/>
      <c r="B89" s="4"/>
      <c r="C89" s="58"/>
      <c r="D89" s="58"/>
      <c r="E89" s="58"/>
      <c r="F89" s="58"/>
      <c r="G89" s="58"/>
      <c r="H89" s="58"/>
      <c r="I89" s="58"/>
      <c r="J89" s="58"/>
      <c r="K89" s="58"/>
      <c r="L89" s="58"/>
      <c r="M89" s="58"/>
      <c r="N89" s="4"/>
      <c r="O89" s="4"/>
      <c r="P89" s="4"/>
      <c r="Q89" s="4"/>
      <c r="R89" s="4"/>
      <c r="S89" s="4"/>
      <c r="T89" s="4"/>
      <c r="U89" s="4"/>
      <c r="V89" s="4"/>
      <c r="W89" s="4"/>
      <c r="X89" s="4"/>
      <c r="Y89" s="4"/>
      <c r="Z89" s="4"/>
      <c r="AA89" s="4"/>
      <c r="AB89" s="4"/>
      <c r="AC89" s="4"/>
      <c r="AD89" s="4"/>
      <c r="AE89" s="4"/>
      <c r="AF89" s="4"/>
      <c r="AG89" s="4"/>
    </row>
    <row r="90" ht="11.25" customHeight="1">
      <c r="A90" s="4"/>
      <c r="B90" s="4"/>
      <c r="C90" s="58"/>
      <c r="D90" s="58"/>
      <c r="E90" s="58"/>
      <c r="F90" s="58"/>
      <c r="G90" s="58"/>
      <c r="H90" s="58"/>
      <c r="I90" s="58"/>
      <c r="J90" s="58"/>
      <c r="K90" s="58"/>
      <c r="L90" s="58"/>
      <c r="M90" s="58"/>
      <c r="N90" s="4"/>
      <c r="O90" s="4"/>
      <c r="P90" s="4"/>
      <c r="Q90" s="4"/>
      <c r="R90" s="4"/>
      <c r="S90" s="4"/>
      <c r="T90" s="4"/>
      <c r="U90" s="4"/>
      <c r="V90" s="4"/>
      <c r="W90" s="4"/>
      <c r="X90" s="4"/>
      <c r="Y90" s="4"/>
      <c r="Z90" s="4"/>
      <c r="AA90" s="4"/>
      <c r="AB90" s="4"/>
      <c r="AC90" s="4"/>
      <c r="AD90" s="4"/>
      <c r="AE90" s="4"/>
      <c r="AF90" s="4"/>
      <c r="AG90" s="4"/>
    </row>
    <row r="91" ht="11.25" customHeight="1">
      <c r="A91" s="4"/>
      <c r="B91" s="4"/>
      <c r="C91" s="4"/>
      <c r="D91" s="58"/>
      <c r="E91" s="58"/>
      <c r="F91" s="58"/>
      <c r="G91" s="58"/>
      <c r="H91" s="58"/>
      <c r="I91" s="58"/>
      <c r="J91" s="58"/>
      <c r="K91" s="58"/>
      <c r="L91" s="58"/>
      <c r="M91" s="58"/>
      <c r="N91" s="4"/>
      <c r="O91" s="4"/>
      <c r="P91" s="4"/>
      <c r="Q91" s="4"/>
      <c r="R91" s="4"/>
      <c r="S91" s="4"/>
      <c r="T91" s="4"/>
      <c r="U91" s="4"/>
      <c r="V91" s="4"/>
      <c r="W91" s="4"/>
      <c r="X91" s="4"/>
      <c r="Y91" s="4"/>
      <c r="Z91" s="4"/>
      <c r="AA91" s="4"/>
      <c r="AB91" s="4"/>
      <c r="AC91" s="4"/>
      <c r="AD91" s="4"/>
      <c r="AE91" s="4"/>
      <c r="AF91" s="4"/>
      <c r="AG91" s="4"/>
    </row>
    <row r="92" ht="11.25" customHeight="1">
      <c r="A92" s="4"/>
      <c r="B92" s="4"/>
      <c r="C92" s="4"/>
      <c r="D92" s="58"/>
      <c r="E92" s="58"/>
      <c r="F92" s="58"/>
      <c r="G92" s="58"/>
      <c r="H92" s="58"/>
      <c r="I92" s="58"/>
      <c r="J92" s="58"/>
      <c r="K92" s="58"/>
      <c r="L92" s="58"/>
      <c r="M92" s="58"/>
      <c r="N92" s="4"/>
      <c r="O92" s="4"/>
      <c r="P92" s="4"/>
      <c r="Q92" s="4"/>
      <c r="R92" s="4"/>
      <c r="S92" s="4"/>
      <c r="T92" s="4"/>
      <c r="U92" s="4"/>
      <c r="V92" s="4"/>
      <c r="W92" s="4"/>
      <c r="X92" s="4"/>
      <c r="Y92" s="4"/>
      <c r="Z92" s="4"/>
      <c r="AA92" s="4"/>
      <c r="AB92" s="4"/>
      <c r="AC92" s="4"/>
      <c r="AD92" s="4"/>
      <c r="AE92" s="4"/>
      <c r="AF92" s="4"/>
      <c r="AG92" s="4"/>
    </row>
    <row r="93" ht="11.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row>
    <row r="94" ht="11.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row>
    <row r="95" ht="11.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ht="11.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row>
    <row r="97" ht="11.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ht="11.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ht="11.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ht="11.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ht="11.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ht="11.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ht="11.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ht="11.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ht="11.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ht="11.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ht="11.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ht="11.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ht="11.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ht="11.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ht="11.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ht="11.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ht="11.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ht="11.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ht="11.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ht="11.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ht="11.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ht="11.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ht="11.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ht="11.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ht="11.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ht="11.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ht="11.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ht="11.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ht="11.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ht="11.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ht="11.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ht="11.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ht="11.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ht="11.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ht="11.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ht="11.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ht="11.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ht="11.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ht="11.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ht="11.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ht="11.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ht="11.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ht="11.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ht="11.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ht="11.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ht="11.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ht="11.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ht="11.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ht="11.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ht="11.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ht="11.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ht="11.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ht="11.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ht="11.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ht="11.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ht="11.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ht="11.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ht="11.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ht="11.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ht="11.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ht="11.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ht="11.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ht="11.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ht="11.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ht="11.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ht="11.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ht="11.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ht="11.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ht="11.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ht="11.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ht="11.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ht="11.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ht="11.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ht="11.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ht="11.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ht="11.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ht="11.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ht="11.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ht="11.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ht="11.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ht="11.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ht="11.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ht="11.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ht="11.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ht="11.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ht="11.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ht="11.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ht="11.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ht="11.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ht="11.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ht="11.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ht="11.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ht="11.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ht="11.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ht="11.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ht="11.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ht="11.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ht="11.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ht="11.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ht="11.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ht="11.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ht="11.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ht="11.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ht="11.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ht="11.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ht="11.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ht="11.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ht="11.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ht="11.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ht="11.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ht="11.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ht="11.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ht="11.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ht="11.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ht="11.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ht="11.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ht="11.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ht="11.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ht="11.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ht="11.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ht="11.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ht="11.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ht="11.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ht="11.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ht="11.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ht="11.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ht="11.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ht="11.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ht="11.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ht="11.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ht="11.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ht="11.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ht="11.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ht="11.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ht="11.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ht="11.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ht="11.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ht="11.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ht="11.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ht="11.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ht="11.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ht="11.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ht="11.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ht="11.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ht="11.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ht="11.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ht="11.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ht="11.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ht="11.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ht="11.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ht="11.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ht="11.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ht="11.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ht="11.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ht="11.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ht="11.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ht="11.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ht="11.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ht="11.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ht="11.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ht="11.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ht="11.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ht="11.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ht="11.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ht="11.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ht="11.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ht="11.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ht="11.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ht="11.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ht="11.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ht="11.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ht="11.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ht="11.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ht="11.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ht="11.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ht="11.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ht="11.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ht="11.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ht="11.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ht="11.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ht="11.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ht="11.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ht="11.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ht="11.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ht="11.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ht="11.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ht="11.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ht="11.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ht="11.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ht="11.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ht="11.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ht="11.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ht="11.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ht="11.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ht="11.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ht="11.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ht="11.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ht="11.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ht="11.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ht="11.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ht="11.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ht="11.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ht="11.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ht="11.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ht="11.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ht="11.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ht="11.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ht="11.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ht="11.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ht="11.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ht="11.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ht="11.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ht="11.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ht="11.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ht="11.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ht="11.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ht="11.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ht="11.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ht="11.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ht="11.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ht="11.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ht="11.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ht="11.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ht="11.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ht="11.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ht="11.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ht="11.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ht="11.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ht="11.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ht="11.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ht="11.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ht="11.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ht="11.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ht="11.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ht="11.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ht="11.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ht="11.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ht="11.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ht="11.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ht="11.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ht="11.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ht="11.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ht="11.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ht="11.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ht="11.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ht="11.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ht="11.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ht="11.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ht="11.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ht="11.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ht="11.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ht="11.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ht="11.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ht="11.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ht="11.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ht="11.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ht="11.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ht="11.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ht="11.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ht="11.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ht="11.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ht="11.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ht="11.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ht="11.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ht="11.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ht="11.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ht="11.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ht="11.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ht="11.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ht="11.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ht="11.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ht="11.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ht="11.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ht="11.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ht="11.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ht="11.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ht="11.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ht="11.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ht="11.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ht="11.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ht="11.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ht="11.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ht="11.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ht="11.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ht="11.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ht="11.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ht="11.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ht="11.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ht="11.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ht="11.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ht="11.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ht="11.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ht="11.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ht="11.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ht="11.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ht="11.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ht="11.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ht="11.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ht="11.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ht="11.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ht="11.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ht="11.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ht="11.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ht="11.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ht="11.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ht="11.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ht="11.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ht="11.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ht="11.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ht="11.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ht="11.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ht="11.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ht="11.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ht="11.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ht="11.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ht="11.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ht="11.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ht="11.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ht="11.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ht="11.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ht="11.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ht="11.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ht="11.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ht="11.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ht="11.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ht="11.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ht="11.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ht="11.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ht="11.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ht="11.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ht="11.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ht="11.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ht="11.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ht="11.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ht="11.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ht="11.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ht="11.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ht="11.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ht="11.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ht="11.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ht="11.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ht="11.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ht="11.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ht="11.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ht="11.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ht="11.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ht="11.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ht="11.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ht="11.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ht="11.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ht="11.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ht="11.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ht="11.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ht="11.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ht="11.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ht="11.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ht="11.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ht="11.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ht="11.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ht="11.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ht="11.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ht="11.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ht="11.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ht="11.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ht="11.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ht="11.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ht="11.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ht="11.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ht="11.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ht="11.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ht="11.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ht="11.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ht="11.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ht="11.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ht="11.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ht="11.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ht="11.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ht="11.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ht="11.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ht="11.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ht="11.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ht="11.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ht="11.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ht="11.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ht="11.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ht="11.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ht="11.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ht="11.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ht="11.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ht="11.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ht="11.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ht="11.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ht="11.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ht="11.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ht="11.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ht="11.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ht="11.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ht="11.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ht="11.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ht="11.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ht="11.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ht="11.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ht="11.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ht="11.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ht="11.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ht="11.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ht="11.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ht="11.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ht="11.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ht="11.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ht="11.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ht="11.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ht="11.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ht="11.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ht="11.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ht="11.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ht="11.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ht="11.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ht="11.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ht="11.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ht="11.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ht="11.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ht="11.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ht="11.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ht="11.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ht="11.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ht="11.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ht="11.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ht="11.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ht="11.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ht="11.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ht="11.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ht="11.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ht="11.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ht="11.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ht="11.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ht="11.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ht="11.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ht="11.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ht="11.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ht="11.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ht="11.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ht="11.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ht="11.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ht="11.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ht="11.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ht="11.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ht="11.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ht="11.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ht="11.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ht="11.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ht="11.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ht="11.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ht="11.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ht="11.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ht="11.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ht="11.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ht="11.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ht="11.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ht="11.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ht="11.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ht="11.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ht="11.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ht="11.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ht="11.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ht="11.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ht="11.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ht="11.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ht="11.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ht="11.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ht="11.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ht="11.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ht="11.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ht="11.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ht="11.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ht="11.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ht="11.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ht="11.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ht="11.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ht="11.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ht="11.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ht="11.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ht="11.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ht="11.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ht="11.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ht="11.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ht="11.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ht="11.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ht="11.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ht="11.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ht="11.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ht="11.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ht="11.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ht="11.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ht="11.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ht="11.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ht="11.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ht="11.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ht="11.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ht="11.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ht="11.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ht="11.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ht="11.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ht="11.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ht="11.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ht="11.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ht="11.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ht="11.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ht="11.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ht="11.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ht="11.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ht="11.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ht="11.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ht="11.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ht="11.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ht="11.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ht="11.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ht="11.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ht="11.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ht="11.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ht="11.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ht="11.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ht="11.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ht="11.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ht="11.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ht="11.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ht="11.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ht="11.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ht="11.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ht="11.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ht="11.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ht="11.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ht="11.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ht="11.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ht="11.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ht="11.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ht="11.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ht="11.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ht="11.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ht="11.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ht="11.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ht="11.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ht="11.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ht="11.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ht="11.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ht="11.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ht="11.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ht="11.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ht="11.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ht="11.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ht="11.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ht="11.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ht="11.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ht="11.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ht="11.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ht="11.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ht="11.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ht="11.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ht="11.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ht="11.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ht="11.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ht="11.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ht="11.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ht="11.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ht="11.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ht="11.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ht="11.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ht="11.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ht="11.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ht="11.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ht="11.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ht="11.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ht="11.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ht="11.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ht="11.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ht="11.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ht="11.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ht="11.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ht="11.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ht="11.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ht="11.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ht="11.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ht="11.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ht="11.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ht="11.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ht="11.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ht="11.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ht="11.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ht="11.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ht="11.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ht="11.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ht="11.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ht="11.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ht="11.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ht="11.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ht="11.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ht="11.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ht="11.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ht="11.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ht="11.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ht="11.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ht="11.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ht="11.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ht="11.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ht="11.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ht="11.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ht="11.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ht="11.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ht="11.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ht="11.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ht="11.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ht="11.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ht="11.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ht="11.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ht="11.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ht="11.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ht="11.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ht="11.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ht="11.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ht="11.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ht="11.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ht="11.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ht="11.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ht="11.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ht="11.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ht="11.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ht="11.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ht="11.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ht="11.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ht="11.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ht="11.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ht="11.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ht="11.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ht="11.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ht="11.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ht="11.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ht="11.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ht="11.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ht="11.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ht="11.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ht="11.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ht="11.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ht="11.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ht="11.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ht="11.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ht="11.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ht="11.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ht="11.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ht="11.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ht="11.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ht="11.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ht="11.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ht="11.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ht="11.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ht="11.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ht="11.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ht="11.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ht="11.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ht="11.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ht="11.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ht="11.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ht="11.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ht="11.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ht="11.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ht="11.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ht="11.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ht="11.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ht="11.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ht="11.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ht="11.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ht="11.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ht="11.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ht="11.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ht="11.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ht="11.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ht="11.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ht="11.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ht="11.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ht="11.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ht="11.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ht="11.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ht="11.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ht="11.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ht="11.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ht="11.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ht="11.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ht="11.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ht="11.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ht="11.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ht="11.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ht="11.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ht="11.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ht="11.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ht="11.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ht="11.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ht="11.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ht="11.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ht="11.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ht="11.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ht="11.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ht="11.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ht="11.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ht="11.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ht="11.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ht="11.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ht="11.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ht="11.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ht="11.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ht="11.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ht="11.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ht="11.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ht="11.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ht="11.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ht="11.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ht="11.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ht="11.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ht="11.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ht="11.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ht="11.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ht="11.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ht="11.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ht="11.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ht="11.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ht="11.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ht="11.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ht="11.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ht="11.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ht="11.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ht="11.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ht="11.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ht="11.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ht="11.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ht="11.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ht="11.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ht="11.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ht="11.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ht="11.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ht="11.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ht="11.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ht="11.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ht="11.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ht="11.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ht="11.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ht="11.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ht="11.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ht="11.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ht="11.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ht="11.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ht="11.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ht="11.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ht="11.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ht="11.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ht="11.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ht="11.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ht="11.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ht="11.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ht="11.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ht="11.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ht="11.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ht="11.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ht="11.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ht="11.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ht="11.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ht="11.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ht="11.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ht="11.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ht="11.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ht="11.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ht="11.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ht="11.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ht="11.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ht="11.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ht="11.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ht="11.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ht="11.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ht="11.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ht="11.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ht="11.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ht="11.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ht="11.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ht="11.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ht="11.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ht="11.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ht="11.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ht="11.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ht="11.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ht="11.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ht="11.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ht="11.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ht="11.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ht="11.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ht="11.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ht="11.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ht="11.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ht="11.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ht="11.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ht="11.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ht="11.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ht="11.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ht="11.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ht="11.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ht="11.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ht="11.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ht="11.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ht="11.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ht="11.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ht="11.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ht="11.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ht="11.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ht="11.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ht="11.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ht="11.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ht="11.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ht="11.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ht="11.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ht="11.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ht="11.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ht="11.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ht="11.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ht="11.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ht="11.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ht="11.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ht="11.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ht="11.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ht="11.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ht="11.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ht="11.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ht="11.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ht="11.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ht="11.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ht="11.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ht="11.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ht="11.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ht="11.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ht="11.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ht="11.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ht="11.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ht="11.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ht="11.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ht="11.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ht="11.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ht="11.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ht="11.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ht="11.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ht="11.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ht="11.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ht="11.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ht="11.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ht="11.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ht="11.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ht="11.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ht="11.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ht="11.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ht="11.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ht="11.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ht="11.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ht="11.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ht="11.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ht="11.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ht="11.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ht="11.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ht="11.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ht="11.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ht="11.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ht="11.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ht="11.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ht="11.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ht="11.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ht="11.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ht="11.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ht="11.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ht="11.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ht="11.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ht="11.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ht="11.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ht="11.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ht="11.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ht="11.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ht="11.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ht="11.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ht="11.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ht="11.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ht="11.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ht="11.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ht="11.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ht="11.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ht="11.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ht="11.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ht="11.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ht="11.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ht="11.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ht="11.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ht="11.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ht="11.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ht="11.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ht="11.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ht="11.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ht="11.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ht="11.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ht="11.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ht="11.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ht="11.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ht="11.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ht="11.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2009-11-02T09:42:06Z</dcterms:created>
  <dc:creator>A. Azzam</dc:creator>
</cp:coreProperties>
</file>